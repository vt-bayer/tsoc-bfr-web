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\\abrblfs0001\BCS\CONTROLLING\02. CONTROLLING PROCESS\CONTROLLING 2026\00 Manufacturing Analysis\02 TSOC\01 Fixed Analysis\01 Contracts\02 KSB1\01 Site Logistic\"/>
    </mc:Choice>
  </mc:AlternateContent>
  <xr:revisionPtr revIDLastSave="0" documentId="13_ncr:1_{3BF90498-7D21-4393-AB75-47F2879BB4D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Resumo" sheetId="2" r:id="rId1"/>
    <sheet name="KSB1" sheetId="1" r:id="rId2"/>
  </sheets>
  <definedNames>
    <definedName name="_xlnm._FilterDatabase" localSheetId="1" hidden="1">'KSB1'!$A$1:$O$1</definedName>
  </definedNames>
  <calcPr calcId="191029" concurrentManualCount="14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67" i="1" l="1"/>
  <c r="O368" i="1"/>
  <c r="O369" i="1"/>
  <c r="O370" i="1"/>
  <c r="O371" i="1"/>
  <c r="O372" i="1"/>
  <c r="O373" i="1"/>
  <c r="O361" i="1"/>
  <c r="O362" i="1"/>
  <c r="O363" i="1"/>
  <c r="O364" i="1"/>
  <c r="O365" i="1"/>
  <c r="O366" i="1"/>
  <c r="O359" i="1"/>
  <c r="O360" i="1"/>
  <c r="O355" i="1" l="1"/>
  <c r="O356" i="1"/>
  <c r="O357" i="1"/>
  <c r="O358" i="1"/>
  <c r="O353" i="1"/>
  <c r="O354" i="1"/>
  <c r="O347" i="1"/>
  <c r="O348" i="1"/>
  <c r="O349" i="1"/>
  <c r="O350" i="1"/>
  <c r="O351" i="1"/>
  <c r="O352" i="1"/>
  <c r="O346" i="1"/>
  <c r="O345" i="1"/>
  <c r="O344" i="1"/>
  <c r="O34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7" i="1"/>
  <c r="O338" i="1"/>
  <c r="O339" i="1"/>
  <c r="O340" i="1"/>
  <c r="O341" i="1"/>
  <c r="O342" i="1"/>
  <c r="O336" i="1"/>
</calcChain>
</file>

<file path=xl/sharedStrings.xml><?xml version="1.0" encoding="utf-8"?>
<sst xmlns="http://schemas.openxmlformats.org/spreadsheetml/2006/main" count="6634" uniqueCount="1040">
  <si>
    <t>3</t>
  </si>
  <si>
    <t>6658020</t>
  </si>
  <si>
    <t>Var Lease (excl.GER)</t>
  </si>
  <si>
    <t>MW09C20208</t>
  </si>
  <si>
    <t>SC Form. Ins./Fung.</t>
  </si>
  <si>
    <t>4</t>
  </si>
  <si>
    <t>2</t>
  </si>
  <si>
    <t>FIMATEC COM E REPRESENTACOES LTDA</t>
  </si>
  <si>
    <t>1</t>
  </si>
  <si>
    <t>GNEPP</t>
  </si>
  <si>
    <t>LOC DE TRANSPALETEIRA ALT SAZON</t>
  </si>
  <si>
    <t>MW09C20302</t>
  </si>
  <si>
    <t>Pack Solids 1 KG</t>
  </si>
  <si>
    <t>MW09C20200</t>
  </si>
  <si>
    <t>EC Form. Ins./Fung.</t>
  </si>
  <si>
    <t>MW09C20211</t>
  </si>
  <si>
    <t>Ethrel Paste Form.</t>
  </si>
  <si>
    <t>MW09C20100</t>
  </si>
  <si>
    <t>Quality Control</t>
  </si>
  <si>
    <t>Fiscal Year</t>
  </si>
  <si>
    <t>Created on</t>
  </si>
  <si>
    <t>Period</t>
  </si>
  <si>
    <t>Cost Element</t>
  </si>
  <si>
    <t>Cost element name</t>
  </si>
  <si>
    <t>Cost Center</t>
  </si>
  <si>
    <t>CO object name</t>
  </si>
  <si>
    <t>Val.in rep.cur.</t>
  </si>
  <si>
    <t>Name</t>
  </si>
  <si>
    <t>Name of offsetting account</t>
  </si>
  <si>
    <t>Purchasing Document</t>
  </si>
  <si>
    <t>Document Number</t>
  </si>
  <si>
    <t>User Name</t>
  </si>
  <si>
    <t>Posting row</t>
  </si>
  <si>
    <t>Empresa</t>
  </si>
  <si>
    <t>FIMATEC</t>
  </si>
  <si>
    <t>Rótulos de Coluna</t>
  </si>
  <si>
    <t>Total Geral</t>
  </si>
  <si>
    <t>Rótulos de Linha</t>
  </si>
  <si>
    <t>Custo</t>
  </si>
  <si>
    <t>2023</t>
  </si>
  <si>
    <t>660597166</t>
  </si>
  <si>
    <t>4008816277</t>
  </si>
  <si>
    <t>5108044159</t>
  </si>
  <si>
    <t>18012326300347</t>
  </si>
  <si>
    <t>660597129</t>
  </si>
  <si>
    <t>4008816278</t>
  </si>
  <si>
    <t>5108044160</t>
  </si>
  <si>
    <t>18012326300355</t>
  </si>
  <si>
    <t>660615368</t>
  </si>
  <si>
    <t>4008883436</t>
  </si>
  <si>
    <t>GEMKD</t>
  </si>
  <si>
    <t>5108156786</t>
  </si>
  <si>
    <t>S01        13022326300374</t>
  </si>
  <si>
    <t>660615344</t>
  </si>
  <si>
    <t>4008883438</t>
  </si>
  <si>
    <t>5108156800</t>
  </si>
  <si>
    <t>S01        13022326300528</t>
  </si>
  <si>
    <t>Document Date</t>
  </si>
  <si>
    <t>Ref Document Number</t>
  </si>
  <si>
    <t>Posting Date</t>
  </si>
  <si>
    <t>Document Header Text</t>
  </si>
  <si>
    <t>660631240</t>
  </si>
  <si>
    <t>4008929814</t>
  </si>
  <si>
    <t>5108267490</t>
  </si>
  <si>
    <t>S01        13032326300291</t>
  </si>
  <si>
    <t>660631222</t>
  </si>
  <si>
    <t>4008929820</t>
  </si>
  <si>
    <t>5108267619</t>
  </si>
  <si>
    <t>S01        13032326300470</t>
  </si>
  <si>
    <t>6658000</t>
  </si>
  <si>
    <t>Rent ST (excl.GER)</t>
  </si>
  <si>
    <t>LOC E MANUT DE EMPIL ELÉT PAT ABER</t>
  </si>
  <si>
    <t>660649240</t>
  </si>
  <si>
    <t>4008978624</t>
  </si>
  <si>
    <t>5108412580</t>
  </si>
  <si>
    <t>18042326300244</t>
  </si>
  <si>
    <t>LOC E MANUT DE EMPILHADEIRA ELÉT PATOLA</t>
  </si>
  <si>
    <t>660649239</t>
  </si>
  <si>
    <t>4008978627</t>
  </si>
  <si>
    <t>5108412582</t>
  </si>
  <si>
    <t>18042326300430</t>
  </si>
  <si>
    <t>LOC E MANUT DE TRANSPALETEIRA</t>
  </si>
  <si>
    <t>660649559</t>
  </si>
  <si>
    <t>4008978628</t>
  </si>
  <si>
    <t>5108412584</t>
  </si>
  <si>
    <t>18042326300465</t>
  </si>
  <si>
    <t>6658010</t>
  </si>
  <si>
    <t>Rent LVA (excl.GER)</t>
  </si>
  <si>
    <t>660651831</t>
  </si>
  <si>
    <t>4008981059</t>
  </si>
  <si>
    <t>5108422047</t>
  </si>
  <si>
    <t>S01        20042326300118</t>
  </si>
  <si>
    <t>5</t>
  </si>
  <si>
    <t>660661358</t>
  </si>
  <si>
    <t>4008999914</t>
  </si>
  <si>
    <t>GLRPT</t>
  </si>
  <si>
    <t>5108472551</t>
  </si>
  <si>
    <t>09052326300820</t>
  </si>
  <si>
    <t>660661366</t>
  </si>
  <si>
    <t>4008999919</t>
  </si>
  <si>
    <t>5108472710</t>
  </si>
  <si>
    <t>09052326300839</t>
  </si>
  <si>
    <t>660661365</t>
  </si>
  <si>
    <t>4008999922</t>
  </si>
  <si>
    <t>5108472713</t>
  </si>
  <si>
    <t>09052326300855</t>
  </si>
  <si>
    <t>660661357</t>
  </si>
  <si>
    <t>4008999921</t>
  </si>
  <si>
    <t>5108472712</t>
  </si>
  <si>
    <t>09052326300847</t>
  </si>
  <si>
    <t>Valor Var Lease (excl GER) ref  Docto Nr  15154</t>
  </si>
  <si>
    <t>660669989</t>
  </si>
  <si>
    <t>4009008012</t>
  </si>
  <si>
    <t>5108535478</t>
  </si>
  <si>
    <t>29052326300525</t>
  </si>
  <si>
    <t>MANUT POR MAU USO</t>
  </si>
  <si>
    <t>6</t>
  </si>
  <si>
    <t>660676558</t>
  </si>
  <si>
    <t>4009019384</t>
  </si>
  <si>
    <t>5108581633</t>
  </si>
  <si>
    <t>S01        12062326300432</t>
  </si>
  <si>
    <t>660676556</t>
  </si>
  <si>
    <t>4009019378</t>
  </si>
  <si>
    <t>5108581606</t>
  </si>
  <si>
    <t>S01        12062326300335</t>
  </si>
  <si>
    <t>660676557</t>
  </si>
  <si>
    <t>4009019385</t>
  </si>
  <si>
    <t>5108581635</t>
  </si>
  <si>
    <t>S01        12062326300505</t>
  </si>
  <si>
    <t>660676559</t>
  </si>
  <si>
    <t>4009019382</t>
  </si>
  <si>
    <t>5108581631</t>
  </si>
  <si>
    <t>S01        12062326300386</t>
  </si>
  <si>
    <t>Valor Var Lease (excl GER) ref  Docto Nr  15177</t>
  </si>
  <si>
    <t>660669987</t>
  </si>
  <si>
    <t>4009017967</t>
  </si>
  <si>
    <t>5108575448</t>
  </si>
  <si>
    <t>06062326300643</t>
  </si>
  <si>
    <t>7</t>
  </si>
  <si>
    <t>660691073</t>
  </si>
  <si>
    <t>4009039429</t>
  </si>
  <si>
    <t>5108654297</t>
  </si>
  <si>
    <t>07072326300896</t>
  </si>
  <si>
    <t>660691079</t>
  </si>
  <si>
    <t>4009039430</t>
  </si>
  <si>
    <t>5108654298</t>
  </si>
  <si>
    <t>07072326300918</t>
  </si>
  <si>
    <t>660691078</t>
  </si>
  <si>
    <t>4009039425</t>
  </si>
  <si>
    <t>5108654295</t>
  </si>
  <si>
    <t>07072326300837</t>
  </si>
  <si>
    <t>660691077</t>
  </si>
  <si>
    <t>4009039426</t>
  </si>
  <si>
    <t>5108654296</t>
  </si>
  <si>
    <t>07072326300900</t>
  </si>
  <si>
    <t>Valor Var Lease (excl GER) ref  Docto Nr  15343</t>
  </si>
  <si>
    <t>660693091</t>
  </si>
  <si>
    <t>4009059495</t>
  </si>
  <si>
    <t>5108707979</t>
  </si>
  <si>
    <t>26072326300702</t>
  </si>
  <si>
    <t>Valor Var Lease (excl GER) ref  Docto Nr  15339</t>
  </si>
  <si>
    <t>660687297</t>
  </si>
  <si>
    <t>4009059496</t>
  </si>
  <si>
    <t>5108707980</t>
  </si>
  <si>
    <t>26072326300745</t>
  </si>
  <si>
    <t>Valor Var Lease (excl GER) ref  Docto Nr  15342</t>
  </si>
  <si>
    <t>660693105</t>
  </si>
  <si>
    <t>4009059493</t>
  </si>
  <si>
    <t>5108707977</t>
  </si>
  <si>
    <t>26072326300680</t>
  </si>
  <si>
    <t>6420000</t>
  </si>
  <si>
    <t>Transports</t>
  </si>
  <si>
    <t>MW09C20011</t>
  </si>
  <si>
    <t>Site logistics</t>
  </si>
  <si>
    <t>Valor Transports ref  Docto Nr  15340</t>
  </si>
  <si>
    <t>660687342</t>
  </si>
  <si>
    <t>4009059481</t>
  </si>
  <si>
    <t>5108707952</t>
  </si>
  <si>
    <t>26072326300605</t>
  </si>
  <si>
    <t>Valor Var Lease (excl GER) ref  Docto Nr  15341</t>
  </si>
  <si>
    <t>660693104</t>
  </si>
  <si>
    <t>4009059485</t>
  </si>
  <si>
    <t>5108707954</t>
  </si>
  <si>
    <t>26072326300630</t>
  </si>
  <si>
    <t>8</t>
  </si>
  <si>
    <t>660703648</t>
  </si>
  <si>
    <t>4009069946</t>
  </si>
  <si>
    <t>5108732697</t>
  </si>
  <si>
    <t>S01        04082326300242</t>
  </si>
  <si>
    <t/>
  </si>
  <si>
    <t>660703647</t>
  </si>
  <si>
    <t>4009069950</t>
  </si>
  <si>
    <t>5108732739</t>
  </si>
  <si>
    <t>S01        04082326300293</t>
  </si>
  <si>
    <t>660703355</t>
  </si>
  <si>
    <t>4009069948</t>
  </si>
  <si>
    <t>5108732703</t>
  </si>
  <si>
    <t>S01        04082326300269</t>
  </si>
  <si>
    <t>660703357</t>
  </si>
  <si>
    <t>4009069949</t>
  </si>
  <si>
    <t>5108732706</t>
  </si>
  <si>
    <t>S01        04082326300277</t>
  </si>
  <si>
    <t>Purchase order text</t>
  </si>
  <si>
    <t>Total quantity</t>
  </si>
  <si>
    <t>Material</t>
  </si>
  <si>
    <t>Material Description</t>
  </si>
  <si>
    <t>9</t>
  </si>
  <si>
    <t>660717911</t>
  </si>
  <si>
    <t>4009107091</t>
  </si>
  <si>
    <t>5108818960</t>
  </si>
  <si>
    <t>S01        05092326301133</t>
  </si>
  <si>
    <t>660717910</t>
  </si>
  <si>
    <t>4009107093</t>
  </si>
  <si>
    <t>5108818998</t>
  </si>
  <si>
    <t>S01        05092326301168</t>
  </si>
  <si>
    <t>660717919</t>
  </si>
  <si>
    <t>4009107092</t>
  </si>
  <si>
    <t>5108818964</t>
  </si>
  <si>
    <t>S01        05092326301141</t>
  </si>
  <si>
    <t>660717922</t>
  </si>
  <si>
    <t>4009107094</t>
  </si>
  <si>
    <t>5108819000</t>
  </si>
  <si>
    <t>S01        05092326301184</t>
  </si>
  <si>
    <t>10</t>
  </si>
  <si>
    <t>660731585</t>
  </si>
  <si>
    <t>4009146669</t>
  </si>
  <si>
    <t>5108939782</t>
  </si>
  <si>
    <t>05102326300502</t>
  </si>
  <si>
    <t>660731563</t>
  </si>
  <si>
    <t>4009146667</t>
  </si>
  <si>
    <t>5108939780</t>
  </si>
  <si>
    <t>05102326300499</t>
  </si>
  <si>
    <t>660731558</t>
  </si>
  <si>
    <t>4009146683</t>
  </si>
  <si>
    <t>5108939786</t>
  </si>
  <si>
    <t>05102326300529</t>
  </si>
  <si>
    <t>660731559</t>
  </si>
  <si>
    <t>4009146678</t>
  </si>
  <si>
    <t>5108939785</t>
  </si>
  <si>
    <t>05102326300510</t>
  </si>
  <si>
    <t>11</t>
  </si>
  <si>
    <t>660747022</t>
  </si>
  <si>
    <t>4009189000</t>
  </si>
  <si>
    <t>5109067802</t>
  </si>
  <si>
    <t>S49        08112326300613</t>
  </si>
  <si>
    <t>660747038</t>
  </si>
  <si>
    <t>4009189001</t>
  </si>
  <si>
    <t>5109067804</t>
  </si>
  <si>
    <t>S49        08112326300885</t>
  </si>
  <si>
    <t>660747021</t>
  </si>
  <si>
    <t>4009189002</t>
  </si>
  <si>
    <t>5109067806</t>
  </si>
  <si>
    <t>S49        08112326301108</t>
  </si>
  <si>
    <t>660747015</t>
  </si>
  <si>
    <t>4009189003</t>
  </si>
  <si>
    <t>5109067827</t>
  </si>
  <si>
    <t>S49        08112326301124</t>
  </si>
  <si>
    <t>Valor Var Lease (excl GER) ref  Docto Nr  15671</t>
  </si>
  <si>
    <t>660742550</t>
  </si>
  <si>
    <t>4009198772</t>
  </si>
  <si>
    <t>GNEDA</t>
  </si>
  <si>
    <t>5109101976</t>
  </si>
  <si>
    <t>1          16112326300958</t>
  </si>
  <si>
    <t>4009198797</t>
  </si>
  <si>
    <t>5109101979</t>
  </si>
  <si>
    <t>1          16112326300966</t>
  </si>
  <si>
    <t>4009198780</t>
  </si>
  <si>
    <t>5109101978</t>
  </si>
  <si>
    <t>Valor Var Lease (excl GER) ref  Docto Nr  15678</t>
  </si>
  <si>
    <t>660742533</t>
  </si>
  <si>
    <t>4009200444</t>
  </si>
  <si>
    <t>5109105167</t>
  </si>
  <si>
    <t>16112326300923</t>
  </si>
  <si>
    <t>Valor Var Lease (excl GER) ref  Docto Nr  15693</t>
  </si>
  <si>
    <t>660734853</t>
  </si>
  <si>
    <t>4009208035</t>
  </si>
  <si>
    <t>5109125850</t>
  </si>
  <si>
    <t>27112326301016</t>
  </si>
  <si>
    <t>Valor Var Lease (excl GER) ref  Docto Nr  15692</t>
  </si>
  <si>
    <t>660742520</t>
  </si>
  <si>
    <t>4009208018</t>
  </si>
  <si>
    <t>5109125793</t>
  </si>
  <si>
    <t>27112326301180</t>
  </si>
  <si>
    <t>12</t>
  </si>
  <si>
    <t>660764306</t>
  </si>
  <si>
    <t>4009236443</t>
  </si>
  <si>
    <t>EFXNJ</t>
  </si>
  <si>
    <t>5109211872</t>
  </si>
  <si>
    <t>20122326300909</t>
  </si>
  <si>
    <t>660764311</t>
  </si>
  <si>
    <t>4009236440</t>
  </si>
  <si>
    <t>5109211871</t>
  </si>
  <si>
    <t>20122326300895</t>
  </si>
  <si>
    <t>660764328</t>
  </si>
  <si>
    <t>4009236446</t>
  </si>
  <si>
    <t>5109211873</t>
  </si>
  <si>
    <t>20122326300917</t>
  </si>
  <si>
    <t>2024</t>
  </si>
  <si>
    <t>660789811</t>
  </si>
  <si>
    <t>4009283502</t>
  </si>
  <si>
    <t>5109447363</t>
  </si>
  <si>
    <t>15022426301328</t>
  </si>
  <si>
    <t>660789812</t>
  </si>
  <si>
    <t>4009283504</t>
  </si>
  <si>
    <t>5109447396</t>
  </si>
  <si>
    <t>15022426301387</t>
  </si>
  <si>
    <t>660789818</t>
  </si>
  <si>
    <t>4009283503</t>
  </si>
  <si>
    <t>5109447375</t>
  </si>
  <si>
    <t>15022426301360</t>
  </si>
  <si>
    <t>660789821</t>
  </si>
  <si>
    <t>4009283501</t>
  </si>
  <si>
    <t>5109447362</t>
  </si>
  <si>
    <t>15022426301301</t>
  </si>
  <si>
    <t>660772653</t>
  </si>
  <si>
    <t>4009249638</t>
  </si>
  <si>
    <t>5109286087</t>
  </si>
  <si>
    <t>10012426301138</t>
  </si>
  <si>
    <t>660772642</t>
  </si>
  <si>
    <t>4009249637</t>
  </si>
  <si>
    <t>5109286066</t>
  </si>
  <si>
    <t>10012426301120</t>
  </si>
  <si>
    <t>660772643</t>
  </si>
  <si>
    <t>4009249639</t>
  </si>
  <si>
    <t>5109286088</t>
  </si>
  <si>
    <t>10012426301170</t>
  </si>
  <si>
    <t>660772640</t>
  </si>
  <si>
    <t>4009249640</t>
  </si>
  <si>
    <t>5109286089</t>
  </si>
  <si>
    <t>10012426301200</t>
  </si>
  <si>
    <t>Valor Var Lease (excl GER) ref  Docto Nr  15851</t>
  </si>
  <si>
    <t>660734858</t>
  </si>
  <si>
    <t>4009248797</t>
  </si>
  <si>
    <t>5109282859</t>
  </si>
  <si>
    <t>09012426300310</t>
  </si>
  <si>
    <t>Valor Var Lease (excl GER) ref  Docto Nr  15758</t>
  </si>
  <si>
    <t>660715682</t>
  </si>
  <si>
    <t>4009243054</t>
  </si>
  <si>
    <t>5109251239</t>
  </si>
  <si>
    <t>03012426300707</t>
  </si>
  <si>
    <t>Valor Var Lease (excl GER) ref  Docto Nr  15850</t>
  </si>
  <si>
    <t>660734878</t>
  </si>
  <si>
    <t>4009248788</t>
  </si>
  <si>
    <t>5109282804</t>
  </si>
  <si>
    <t>09012426300264</t>
  </si>
  <si>
    <t>Valor Var Lease (excl GER) ref  Docto Nr  15757</t>
  </si>
  <si>
    <t>660751297</t>
  </si>
  <si>
    <t>4009243053</t>
  </si>
  <si>
    <t>5109251238</t>
  </si>
  <si>
    <t>03012426300693</t>
  </si>
  <si>
    <t>Valor Var Lease (excl GER) ref  Docto Nr  31560</t>
  </si>
  <si>
    <t>660805640</t>
  </si>
  <si>
    <t>4009303717</t>
  </si>
  <si>
    <t>5109559324</t>
  </si>
  <si>
    <t>14032426301033</t>
  </si>
  <si>
    <t>660805633</t>
  </si>
  <si>
    <t>4009303378</t>
  </si>
  <si>
    <t>5109555013</t>
  </si>
  <si>
    <t>14032426300786</t>
  </si>
  <si>
    <t>Valor Var Lease (excl GER) ref  Docto Nr  31563</t>
  </si>
  <si>
    <t>660805637</t>
  </si>
  <si>
    <t>4009303719</t>
  </si>
  <si>
    <t>5109559487</t>
  </si>
  <si>
    <t>14032426301041</t>
  </si>
  <si>
    <t>660805634</t>
  </si>
  <si>
    <t>4009303379</t>
  </si>
  <si>
    <t>5109555015</t>
  </si>
  <si>
    <t>14032426300794</t>
  </si>
  <si>
    <t>660816405</t>
  </si>
  <si>
    <t>4009327877</t>
  </si>
  <si>
    <t>5109665407</t>
  </si>
  <si>
    <t>10042426300613</t>
  </si>
  <si>
    <t>Valor do documento Nr  31760</t>
  </si>
  <si>
    <t>660816403</t>
  </si>
  <si>
    <t>4009327878</t>
  </si>
  <si>
    <t>5109665408</t>
  </si>
  <si>
    <t>10042426300605</t>
  </si>
  <si>
    <t>660816413</t>
  </si>
  <si>
    <t>4009327880</t>
  </si>
  <si>
    <t>5109665410</t>
  </si>
  <si>
    <t>10042426300583</t>
  </si>
  <si>
    <t>660816404</t>
  </si>
  <si>
    <t>4009327882</t>
  </si>
  <si>
    <t>5109665412</t>
  </si>
  <si>
    <t>10042426300567</t>
  </si>
  <si>
    <t>6200000</t>
  </si>
  <si>
    <t>Maint &amp; Leg/Co.Compl</t>
  </si>
  <si>
    <t>MW09C20315</t>
  </si>
  <si>
    <t>Pack. Ins./Fung. 1/5</t>
  </si>
  <si>
    <t>Valor Maint &amp; Leg Co Compl ref  Docto Nr  16053</t>
  </si>
  <si>
    <t>4009328654</t>
  </si>
  <si>
    <t>5109668306</t>
  </si>
  <si>
    <t>18032426301269</t>
  </si>
  <si>
    <t>Valor Maint &amp; Leg Co Compl ref  Docto Nr  16054</t>
  </si>
  <si>
    <t>660805136</t>
  </si>
  <si>
    <t>4009372006</t>
  </si>
  <si>
    <t>5109840681</t>
  </si>
  <si>
    <t>05062426300641</t>
  </si>
  <si>
    <t>Maintenance &amp; Legal/Company Compliance</t>
  </si>
  <si>
    <t>4009372122</t>
  </si>
  <si>
    <t>5109840706</t>
  </si>
  <si>
    <t>4009372123</t>
  </si>
  <si>
    <t>5109840727</t>
  </si>
  <si>
    <t>05062426300650</t>
  </si>
  <si>
    <t>Valor Maint &amp; Leg Co Compl ref  Docto Nr  16369</t>
  </si>
  <si>
    <t>660852230</t>
  </si>
  <si>
    <t>4009409808</t>
  </si>
  <si>
    <t>5109963562</t>
  </si>
  <si>
    <t>02072431054829</t>
  </si>
  <si>
    <t>Valor do documento Nr  16376</t>
  </si>
  <si>
    <t>660852250</t>
  </si>
  <si>
    <t>4009411440</t>
  </si>
  <si>
    <t>5109966332</t>
  </si>
  <si>
    <t>02072431054420</t>
  </si>
  <si>
    <t>Valor Maint &amp; Leg Co Compl ref  Docto Nr  16370</t>
  </si>
  <si>
    <t>660852227</t>
  </si>
  <si>
    <t>4009411457</t>
  </si>
  <si>
    <t>5109966336</t>
  </si>
  <si>
    <t>02072431054667</t>
  </si>
  <si>
    <t>Valor Var Lease (excl GER) ref  Docto Nr  31955</t>
  </si>
  <si>
    <t>660834122</t>
  </si>
  <si>
    <t>4009419198</t>
  </si>
  <si>
    <t>5109991270</t>
  </si>
  <si>
    <t>16072426301743</t>
  </si>
  <si>
    <t>IFRS16 OMI: Variable Rent (excl.GER)</t>
  </si>
  <si>
    <t>660834119</t>
  </si>
  <si>
    <t>4009419200</t>
  </si>
  <si>
    <t>5109991272</t>
  </si>
  <si>
    <t>16072426301760</t>
  </si>
  <si>
    <t>4009419201</t>
  </si>
  <si>
    <t>5109991273</t>
  </si>
  <si>
    <t>4009419203</t>
  </si>
  <si>
    <t>5109991274</t>
  </si>
  <si>
    <t>660834120</t>
  </si>
  <si>
    <t>4009419204</t>
  </si>
  <si>
    <t>5109991275</t>
  </si>
  <si>
    <t>16072426301778</t>
  </si>
  <si>
    <t>660834121</t>
  </si>
  <si>
    <t>4009419205</t>
  </si>
  <si>
    <t>5109991276</t>
  </si>
  <si>
    <t>16072426301786</t>
  </si>
  <si>
    <t>660852070</t>
  </si>
  <si>
    <t>4009422626</t>
  </si>
  <si>
    <t>5109999037</t>
  </si>
  <si>
    <t>09072431038482</t>
  </si>
  <si>
    <t>660852062</t>
  </si>
  <si>
    <t>4009422628</t>
  </si>
  <si>
    <t>5109999040</t>
  </si>
  <si>
    <t>09072431038539</t>
  </si>
  <si>
    <t>660852063</t>
  </si>
  <si>
    <t>4009422629</t>
  </si>
  <si>
    <t>5109999042</t>
  </si>
  <si>
    <t>09072431038547</t>
  </si>
  <si>
    <t>660852067</t>
  </si>
  <si>
    <t>4009422635</t>
  </si>
  <si>
    <t>5109999045</t>
  </si>
  <si>
    <t>09072431038580</t>
  </si>
  <si>
    <t>660861208</t>
  </si>
  <si>
    <t>4009422905</t>
  </si>
  <si>
    <t>5110000996</t>
  </si>
  <si>
    <t>10072431034539</t>
  </si>
  <si>
    <t>660861199</t>
  </si>
  <si>
    <t>4009422910</t>
  </si>
  <si>
    <t>5110001489</t>
  </si>
  <si>
    <t>10072431037072</t>
  </si>
  <si>
    <t>660861196</t>
  </si>
  <si>
    <t>4009423621</t>
  </si>
  <si>
    <t>5110003957</t>
  </si>
  <si>
    <t>10072431037552</t>
  </si>
  <si>
    <t>660861200</t>
  </si>
  <si>
    <t>4009423622</t>
  </si>
  <si>
    <t>5110003959</t>
  </si>
  <si>
    <t>10072431037595</t>
  </si>
  <si>
    <t>Valor Maint &amp; Leg Co Compl ref  Docto Nr  16397</t>
  </si>
  <si>
    <t>660852224</t>
  </si>
  <si>
    <t>4009449294</t>
  </si>
  <si>
    <t>5110062909</t>
  </si>
  <si>
    <t>15072431033136</t>
  </si>
  <si>
    <t>Valor Transports ref  Docto Nr  16201</t>
  </si>
  <si>
    <t>660828877</t>
  </si>
  <si>
    <t>4009459578</t>
  </si>
  <si>
    <t>5110081284</t>
  </si>
  <si>
    <t>19082431017742</t>
  </si>
  <si>
    <t>4009472310</t>
  </si>
  <si>
    <t>5110108510</t>
  </si>
  <si>
    <t>4009473011</t>
  </si>
  <si>
    <t>5110108512</t>
  </si>
  <si>
    <t>4009478502</t>
  </si>
  <si>
    <t>GMGNT</t>
  </si>
  <si>
    <t>5110123293</t>
  </si>
  <si>
    <t>4009478506</t>
  </si>
  <si>
    <t>5110123294</t>
  </si>
  <si>
    <t>7514557 FIMATEC COM E REPRESENTACOES LTDA</t>
  </si>
  <si>
    <t>Código/Fornecedor</t>
  </si>
  <si>
    <t>660877710</t>
  </si>
  <si>
    <t>4009518754</t>
  </si>
  <si>
    <t>5110231814</t>
  </si>
  <si>
    <t>16082431033427</t>
  </si>
  <si>
    <t>660877722</t>
  </si>
  <si>
    <t>4009518761</t>
  </si>
  <si>
    <t>5110231816</t>
  </si>
  <si>
    <t>16082431029768</t>
  </si>
  <si>
    <t>660877725</t>
  </si>
  <si>
    <t>4009518762</t>
  </si>
  <si>
    <t>5110231967</t>
  </si>
  <si>
    <t>16082431029741</t>
  </si>
  <si>
    <t>660877718</t>
  </si>
  <si>
    <t>4009518764</t>
  </si>
  <si>
    <t>5110231969</t>
  </si>
  <si>
    <t>16082431029466</t>
  </si>
  <si>
    <t>Valor do documento Nr  32814</t>
  </si>
  <si>
    <t>660891920</t>
  </si>
  <si>
    <t>4009532110</t>
  </si>
  <si>
    <t>RCSILV7</t>
  </si>
  <si>
    <t>5110269161</t>
  </si>
  <si>
    <t>Global due 18092431033962</t>
  </si>
  <si>
    <t>Valor do documento Nr  32816</t>
  </si>
  <si>
    <t>660891907</t>
  </si>
  <si>
    <t>4009532511</t>
  </si>
  <si>
    <t>5110269162</t>
  </si>
  <si>
    <t>Global due 18092431034473</t>
  </si>
  <si>
    <t>Valor do Documento Nr 32814</t>
  </si>
  <si>
    <t>4009532533</t>
  </si>
  <si>
    <t>5110269236</t>
  </si>
  <si>
    <t>Valor do Documento Nr 32816</t>
  </si>
  <si>
    <t>4009532537</t>
  </si>
  <si>
    <t>5110269240</t>
  </si>
  <si>
    <t>4009532541</t>
  </si>
  <si>
    <t>5110269278</t>
  </si>
  <si>
    <t>4009532542</t>
  </si>
  <si>
    <t>5110269279</t>
  </si>
  <si>
    <t>660891906</t>
  </si>
  <si>
    <t>4009532546</t>
  </si>
  <si>
    <t>5110269282</t>
  </si>
  <si>
    <t>Global due 18092431034503</t>
  </si>
  <si>
    <t>660891909</t>
  </si>
  <si>
    <t>4009532548</t>
  </si>
  <si>
    <t>5110269284</t>
  </si>
  <si>
    <t>Global due 18092431034520</t>
  </si>
  <si>
    <t>4009532550</t>
  </si>
  <si>
    <t>5110269286</t>
  </si>
  <si>
    <t>4009532552</t>
  </si>
  <si>
    <t>5110269338</t>
  </si>
  <si>
    <t>Valor Var Lease (excl GER) ref  Docto Nr  16650</t>
  </si>
  <si>
    <t>660898791</t>
  </si>
  <si>
    <t>4009546734</t>
  </si>
  <si>
    <t>EAUXB</t>
  </si>
  <si>
    <t>5110297722</t>
  </si>
  <si>
    <t>23102431023618</t>
  </si>
  <si>
    <t>Valor Var Lease (excl GER) ref  Docto Nr  16651</t>
  </si>
  <si>
    <t>660898788</t>
  </si>
  <si>
    <t>4009546748</t>
  </si>
  <si>
    <t>5110297724</t>
  </si>
  <si>
    <t>23102431023782</t>
  </si>
  <si>
    <t>Valor Var Lease (excl GER) ref  Docto Nr  16654</t>
  </si>
  <si>
    <t>660898781</t>
  </si>
  <si>
    <t>4009546752</t>
  </si>
  <si>
    <t>5110297726</t>
  </si>
  <si>
    <t>23102431023820</t>
  </si>
  <si>
    <t>Valor Var Lease (excl GER) ref  Docto Nr  16653</t>
  </si>
  <si>
    <t>660898771</t>
  </si>
  <si>
    <t>4009546756</t>
  </si>
  <si>
    <t>5110297849</t>
  </si>
  <si>
    <t>23102431023847</t>
  </si>
  <si>
    <t>Valor Var Lease (excl GER) ref  Docto Nr  16652</t>
  </si>
  <si>
    <t>660898786</t>
  </si>
  <si>
    <t>4009546760</t>
  </si>
  <si>
    <t>5110297851</t>
  </si>
  <si>
    <t>23102431023880</t>
  </si>
  <si>
    <t>Valor Var Lease (excl GER) ref  Docto Nr  16655</t>
  </si>
  <si>
    <t>660898761</t>
  </si>
  <si>
    <t>4009546767</t>
  </si>
  <si>
    <t>5110297854</t>
  </si>
  <si>
    <t>23102431024064</t>
  </si>
  <si>
    <t>660904077</t>
  </si>
  <si>
    <t>4009641188</t>
  </si>
  <si>
    <t>5110476813</t>
  </si>
  <si>
    <t>12122426300426</t>
  </si>
  <si>
    <t>660904096</t>
  </si>
  <si>
    <t>4009641189</t>
  </si>
  <si>
    <t>5110476814</t>
  </si>
  <si>
    <t>12122426300434</t>
  </si>
  <si>
    <t>660904074</t>
  </si>
  <si>
    <t>4009641190</t>
  </si>
  <si>
    <t>5110476816</t>
  </si>
  <si>
    <t>12122426300442</t>
  </si>
  <si>
    <t>Valor do documento Nr  32984</t>
  </si>
  <si>
    <t>660904063</t>
  </si>
  <si>
    <t>4009641191</t>
  </si>
  <si>
    <t>5110476827</t>
  </si>
  <si>
    <t>12122426300450</t>
  </si>
  <si>
    <t>660930453</t>
  </si>
  <si>
    <t>4009643971</t>
  </si>
  <si>
    <t>5110482805</t>
  </si>
  <si>
    <t>12122431032497</t>
  </si>
  <si>
    <t>660919017</t>
  </si>
  <si>
    <t>4009644277</t>
  </si>
  <si>
    <t>5110485766</t>
  </si>
  <si>
    <t>12122431032713</t>
  </si>
  <si>
    <t>660930466</t>
  </si>
  <si>
    <t>4009644308</t>
  </si>
  <si>
    <t>5110486223</t>
  </si>
  <si>
    <t>12122431032799</t>
  </si>
  <si>
    <t>660930469</t>
  </si>
  <si>
    <t>4009644309</t>
  </si>
  <si>
    <t>5110486225</t>
  </si>
  <si>
    <t>12122431032802</t>
  </si>
  <si>
    <t>660919013</t>
  </si>
  <si>
    <t>4009644310</t>
  </si>
  <si>
    <t>5110486226</t>
  </si>
  <si>
    <t>12122431032810</t>
  </si>
  <si>
    <t>660919039</t>
  </si>
  <si>
    <t>4009644611</t>
  </si>
  <si>
    <t>5110486287</t>
  </si>
  <si>
    <t>12122431032918</t>
  </si>
  <si>
    <t>660918995</t>
  </si>
  <si>
    <t>4009644613</t>
  </si>
  <si>
    <t>5110486290</t>
  </si>
  <si>
    <t>12122431032977</t>
  </si>
  <si>
    <t>660930440</t>
  </si>
  <si>
    <t>4009644615</t>
  </si>
  <si>
    <t>5110486291</t>
  </si>
  <si>
    <t>12122431032985</t>
  </si>
  <si>
    <t>2025</t>
  </si>
  <si>
    <t>660945539</t>
  </si>
  <si>
    <t>4009673092</t>
  </si>
  <si>
    <t>5110587743</t>
  </si>
  <si>
    <t>15012531038075</t>
  </si>
  <si>
    <t>660945533</t>
  </si>
  <si>
    <t>4009673101</t>
  </si>
  <si>
    <t>5110587744</t>
  </si>
  <si>
    <t>15012531037939</t>
  </si>
  <si>
    <t>660945549</t>
  </si>
  <si>
    <t>4009674213</t>
  </si>
  <si>
    <t>5110591427</t>
  </si>
  <si>
    <t>15012531039619</t>
  </si>
  <si>
    <t>660945546</t>
  </si>
  <si>
    <t>4009674214</t>
  </si>
  <si>
    <t>5110591428</t>
  </si>
  <si>
    <t>15012531039538</t>
  </si>
  <si>
    <t>Valor Var Lease (excl GER) ref  Docto Nr  17076</t>
  </si>
  <si>
    <t>660954667</t>
  </si>
  <si>
    <t>4009701021</t>
  </si>
  <si>
    <t>5110692747</t>
  </si>
  <si>
    <t>10022531024685</t>
  </si>
  <si>
    <t>Valor Var Lease (excl GER) ref  Docto Nr  17081</t>
  </si>
  <si>
    <t>660955399</t>
  </si>
  <si>
    <t>4009701023</t>
  </si>
  <si>
    <t>5110692748</t>
  </si>
  <si>
    <t>10022531024707</t>
  </si>
  <si>
    <t>Valor Var Lease (excl GER) ref  Docto Nr  17075</t>
  </si>
  <si>
    <t>660954656</t>
  </si>
  <si>
    <t>4009701024</t>
  </si>
  <si>
    <t>5110692749</t>
  </si>
  <si>
    <t>10022531024723</t>
  </si>
  <si>
    <t>6657990</t>
  </si>
  <si>
    <t>Rent o lsd PPE</t>
  </si>
  <si>
    <t>660956684</t>
  </si>
  <si>
    <t>4009717194</t>
  </si>
  <si>
    <t>5110744270</t>
  </si>
  <si>
    <t>24022531034718</t>
  </si>
  <si>
    <t>Rent Exp other lsd Property/Plant/Equip</t>
  </si>
  <si>
    <t>660956686</t>
  </si>
  <si>
    <t>4009717195</t>
  </si>
  <si>
    <t>5110744271</t>
  </si>
  <si>
    <t>24022531034653</t>
  </si>
  <si>
    <t>660956678</t>
  </si>
  <si>
    <t>4009717202</t>
  </si>
  <si>
    <t>5110744280</t>
  </si>
  <si>
    <t>24022531034548</t>
  </si>
  <si>
    <t>660956685</t>
  </si>
  <si>
    <t>4009717206</t>
  </si>
  <si>
    <t>5110744283</t>
  </si>
  <si>
    <t>24022531034491</t>
  </si>
  <si>
    <t>Valor Var Lease (excl GER) ref  Docto Nr  16980</t>
  </si>
  <si>
    <t>4009732352</t>
  </si>
  <si>
    <t>4640002303</t>
  </si>
  <si>
    <t>15012531032283</t>
  </si>
  <si>
    <t>660975114</t>
  </si>
  <si>
    <t>4009738039</t>
  </si>
  <si>
    <t>5110829566</t>
  </si>
  <si>
    <t>18032531046664</t>
  </si>
  <si>
    <t>660975062</t>
  </si>
  <si>
    <t>4009738041</t>
  </si>
  <si>
    <t>5110829599</t>
  </si>
  <si>
    <t>18032531046729</t>
  </si>
  <si>
    <t>660975063</t>
  </si>
  <si>
    <t>4009738042</t>
  </si>
  <si>
    <t>5110829600</t>
  </si>
  <si>
    <t>18032531046737</t>
  </si>
  <si>
    <t>660975057</t>
  </si>
  <si>
    <t>4009738044</t>
  </si>
  <si>
    <t>5110829601</t>
  </si>
  <si>
    <t>18032531046770</t>
  </si>
  <si>
    <t>660989628</t>
  </si>
  <si>
    <t>4009770809</t>
  </si>
  <si>
    <t>5110946136</t>
  </si>
  <si>
    <t>16042531034900</t>
  </si>
  <si>
    <t>660989631</t>
  </si>
  <si>
    <t>4009771131</t>
  </si>
  <si>
    <t>5110945609</t>
  </si>
  <si>
    <t>16042531036763</t>
  </si>
  <si>
    <t>660989635</t>
  </si>
  <si>
    <t>4009771133</t>
  </si>
  <si>
    <t>5110945612</t>
  </si>
  <si>
    <t>16042531036500</t>
  </si>
  <si>
    <t>660989667</t>
  </si>
  <si>
    <t>4009771134</t>
  </si>
  <si>
    <t>5110945614</t>
  </si>
  <si>
    <t>16042531036380</t>
  </si>
  <si>
    <t>660999631</t>
  </si>
  <si>
    <t>4009786677</t>
  </si>
  <si>
    <t>5111007248</t>
  </si>
  <si>
    <t>12052531021109</t>
  </si>
  <si>
    <t>660999621</t>
  </si>
  <si>
    <t>4009786678</t>
  </si>
  <si>
    <t>5111007249</t>
  </si>
  <si>
    <t>12052531021354</t>
  </si>
  <si>
    <t>660999622</t>
  </si>
  <si>
    <t>4009786679</t>
  </si>
  <si>
    <t>5111007250</t>
  </si>
  <si>
    <t>12052531021427</t>
  </si>
  <si>
    <t>MW09C20110</t>
  </si>
  <si>
    <t>Environment</t>
  </si>
  <si>
    <t>660999619</t>
  </si>
  <si>
    <t>4009786680</t>
  </si>
  <si>
    <t>5111007251</t>
  </si>
  <si>
    <t>12052531021699</t>
  </si>
  <si>
    <t>660999624</t>
  </si>
  <si>
    <t>4009786681</t>
  </si>
  <si>
    <t>5111007252</t>
  </si>
  <si>
    <t>12052531022094</t>
  </si>
  <si>
    <t>Valor Transports ref  Docto Nr  17359</t>
  </si>
  <si>
    <t>660994644</t>
  </si>
  <si>
    <t>4009790047</t>
  </si>
  <si>
    <t>5111017543</t>
  </si>
  <si>
    <t>13052531040369</t>
  </si>
  <si>
    <t>6280000</t>
  </si>
  <si>
    <t>Technic. spare parts</t>
  </si>
  <si>
    <t>Valor Technic  spare parts ref  Docto Nr  17186</t>
  </si>
  <si>
    <t>4009794541</t>
  </si>
  <si>
    <t>4640004797</t>
  </si>
  <si>
    <t>13052526300543</t>
  </si>
  <si>
    <t>Technical spare parts</t>
  </si>
  <si>
    <t>Valor Technic  spare parts ref  Docto Nr  17358</t>
  </si>
  <si>
    <t>4009794543</t>
  </si>
  <si>
    <t>4640004798</t>
  </si>
  <si>
    <t>13052531040350</t>
  </si>
  <si>
    <t>Valor Technic  spare parts ref  Docto Nr  17185</t>
  </si>
  <si>
    <t>4009824061</t>
  </si>
  <si>
    <t>4640005717</t>
  </si>
  <si>
    <t>05062526300029</t>
  </si>
  <si>
    <t>Valor Technic  spare parts ref  Docto Nr  17386</t>
  </si>
  <si>
    <t>4009824062</t>
  </si>
  <si>
    <t>4640005718</t>
  </si>
  <si>
    <t>21052531017961</t>
  </si>
  <si>
    <t>661018755</t>
  </si>
  <si>
    <t>4009836259</t>
  </si>
  <si>
    <t>5111135929</t>
  </si>
  <si>
    <t>25062531033958</t>
  </si>
  <si>
    <t>661018769</t>
  </si>
  <si>
    <t>4009836261</t>
  </si>
  <si>
    <t>5111135930</t>
  </si>
  <si>
    <t>25062531033982</t>
  </si>
  <si>
    <t>661018776</t>
  </si>
  <si>
    <t>4009836266</t>
  </si>
  <si>
    <t>5111135932</t>
  </si>
  <si>
    <t>25062531034000</t>
  </si>
  <si>
    <t>Valor Var Lease (excl GER) ref  Docto Nr  34871</t>
  </si>
  <si>
    <t>661018775</t>
  </si>
  <si>
    <t>4009836268</t>
  </si>
  <si>
    <t>5111135937</t>
  </si>
  <si>
    <t>25062531034060</t>
  </si>
  <si>
    <t>661018763</t>
  </si>
  <si>
    <t>4009836286</t>
  </si>
  <si>
    <t>5111136696</t>
  </si>
  <si>
    <t>25062531032150</t>
  </si>
  <si>
    <t>Valor Var Lease (excl GER) ref  Docto Nr  17645</t>
  </si>
  <si>
    <t>4009928818</t>
  </si>
  <si>
    <t>4640007832</t>
  </si>
  <si>
    <t>13082531022497</t>
  </si>
  <si>
    <t>661041728</t>
  </si>
  <si>
    <t>4009929306</t>
  </si>
  <si>
    <t>5111276367</t>
  </si>
  <si>
    <t>15082531020497</t>
  </si>
  <si>
    <t>661041737</t>
  </si>
  <si>
    <t>4009929307</t>
  </si>
  <si>
    <t>5111276368</t>
  </si>
  <si>
    <t>15082531020489</t>
  </si>
  <si>
    <t>661041716</t>
  </si>
  <si>
    <t>4009929308</t>
  </si>
  <si>
    <t>5111276370</t>
  </si>
  <si>
    <t>15082531020284</t>
  </si>
  <si>
    <t>661057598</t>
  </si>
  <si>
    <t>4009985208</t>
  </si>
  <si>
    <t>5111372075</t>
  </si>
  <si>
    <t>19092531027177</t>
  </si>
  <si>
    <t>661057582</t>
  </si>
  <si>
    <t>4009985209</t>
  </si>
  <si>
    <t>5111372076</t>
  </si>
  <si>
    <t>19092531027150</t>
  </si>
  <si>
    <t>661057576</t>
  </si>
  <si>
    <t>4009985811</t>
  </si>
  <si>
    <t>5111373730</t>
  </si>
  <si>
    <t>19092531026968</t>
  </si>
  <si>
    <t>661057575</t>
  </si>
  <si>
    <t>4009994804</t>
  </si>
  <si>
    <t>5111395331</t>
  </si>
  <si>
    <t>24092531029089</t>
  </si>
  <si>
    <t>Valor Technic  spare parts ref  Docto Nr  17748</t>
  </si>
  <si>
    <t>4010009603</t>
  </si>
  <si>
    <t>4640009794</t>
  </si>
  <si>
    <t>23092531001382</t>
  </si>
  <si>
    <t>4010010202</t>
  </si>
  <si>
    <t>5111424459</t>
  </si>
  <si>
    <t>4010010203</t>
  </si>
  <si>
    <t>5111424460</t>
  </si>
  <si>
    <t>6720000</t>
  </si>
  <si>
    <t>Technical services</t>
  </si>
  <si>
    <t>4010010205</t>
  </si>
  <si>
    <t>5111424462</t>
  </si>
  <si>
    <t>4010010206</t>
  </si>
  <si>
    <t>5111424463</t>
  </si>
  <si>
    <t>Valor Technic  spare parts ref  Docto Nr  17749</t>
  </si>
  <si>
    <t>4010011208</t>
  </si>
  <si>
    <t>4640009865</t>
  </si>
  <si>
    <t>23092531001463</t>
  </si>
  <si>
    <t>Valor Technic  spare parts ref  Docto Nr  17750</t>
  </si>
  <si>
    <t>4010011209</t>
  </si>
  <si>
    <t>4640009866</t>
  </si>
  <si>
    <t>23092531001412</t>
  </si>
  <si>
    <t>Valor Technic  spare parts ref  Docto Nr  17746</t>
  </si>
  <si>
    <t>4010011211</t>
  </si>
  <si>
    <t>4640009867</t>
  </si>
  <si>
    <t>23092531001390</t>
  </si>
  <si>
    <t>Valor Technic  spare parts ref  Docto Nr  17747</t>
  </si>
  <si>
    <t>4010011212</t>
  </si>
  <si>
    <t>4640009868</t>
  </si>
  <si>
    <t>23092531001242</t>
  </si>
  <si>
    <t>Valor Var Lease (excl GER) ref  Docto Nr  17799</t>
  </si>
  <si>
    <t>661071203</t>
  </si>
  <si>
    <t>4010036427</t>
  </si>
  <si>
    <t>5111470721</t>
  </si>
  <si>
    <t>17102531026092</t>
  </si>
  <si>
    <t>661070643</t>
  </si>
  <si>
    <t>4010038559</t>
  </si>
  <si>
    <t>5111475142</t>
  </si>
  <si>
    <t>17102531023982</t>
  </si>
  <si>
    <t>661070639</t>
  </si>
  <si>
    <t>4010038561</t>
  </si>
  <si>
    <t>5111475143</t>
  </si>
  <si>
    <t>17102531023974</t>
  </si>
  <si>
    <t>661070642</t>
  </si>
  <si>
    <t>4010038562</t>
  </si>
  <si>
    <t>5111475144</t>
  </si>
  <si>
    <t>17102531023915</t>
  </si>
  <si>
    <t>661070650</t>
  </si>
  <si>
    <t>4010038564</t>
  </si>
  <si>
    <t>5111475145</t>
  </si>
  <si>
    <t>17102531023893</t>
  </si>
  <si>
    <t>Valor Var Lease (excl GER) ref  Docto Nr  17792</t>
  </si>
  <si>
    <t>4010066158</t>
  </si>
  <si>
    <t>YWEGT</t>
  </si>
  <si>
    <t>4640011510</t>
  </si>
  <si>
    <t>17102531015184</t>
  </si>
  <si>
    <t>4010067354</t>
  </si>
  <si>
    <t>5111526739</t>
  </si>
  <si>
    <t>4010071947</t>
  </si>
  <si>
    <t>5111529699</t>
  </si>
  <si>
    <t>661082688</t>
  </si>
  <si>
    <t>4010084532</t>
  </si>
  <si>
    <t>5111554673</t>
  </si>
  <si>
    <t>11112531032470</t>
  </si>
  <si>
    <t>661082701</t>
  </si>
  <si>
    <t>4010084533</t>
  </si>
  <si>
    <t>5111554674</t>
  </si>
  <si>
    <t>11112531032462</t>
  </si>
  <si>
    <t>661082694</t>
  </si>
  <si>
    <t>4010084534</t>
  </si>
  <si>
    <t>5111554676</t>
  </si>
  <si>
    <t>11112531032454</t>
  </si>
  <si>
    <t>661082726</t>
  </si>
  <si>
    <t>4010084536</t>
  </si>
  <si>
    <t>5111554707</t>
  </si>
  <si>
    <t>11112531032420</t>
  </si>
  <si>
    <t>2026</t>
  </si>
  <si>
    <t>Valor Var Lease (excl GER) ref  Docto Nr  17965</t>
  </si>
  <si>
    <t>661100605</t>
  </si>
  <si>
    <t>4010159205</t>
  </si>
  <si>
    <t>5111779488</t>
  </si>
  <si>
    <t>19122531020777</t>
  </si>
  <si>
    <t>Valor Var Lease (excl GER) ref  Docto Nr  251</t>
  </si>
  <si>
    <t>661114595</t>
  </si>
  <si>
    <t>4010183707</t>
  </si>
  <si>
    <t>5111877478</t>
  </si>
  <si>
    <t>28012631030016</t>
  </si>
  <si>
    <t>Valor Var Lease (excl GER) ref  Docto Nr  250</t>
  </si>
  <si>
    <t>661114597</t>
  </si>
  <si>
    <t>4010183710</t>
  </si>
  <si>
    <t>5111877480</t>
  </si>
  <si>
    <t>28012631029869</t>
  </si>
  <si>
    <t>Valor Var Lease (excl GER) ref  Docto Nr  249</t>
  </si>
  <si>
    <t>661114593</t>
  </si>
  <si>
    <t>4010184511</t>
  </si>
  <si>
    <t>5111877482</t>
  </si>
  <si>
    <t>28012631029770</t>
  </si>
  <si>
    <t>Valor Var Lease (excl GER) ref  Docto Nr  520</t>
  </si>
  <si>
    <t>661126756</t>
  </si>
  <si>
    <t>4010209536</t>
  </si>
  <si>
    <t>5111955846</t>
  </si>
  <si>
    <t>10032626300458</t>
  </si>
  <si>
    <t>Valor Var Lease (excl GER) ref  Docto Nr  521</t>
  </si>
  <si>
    <t>661126749</t>
  </si>
  <si>
    <t>4010209537</t>
  </si>
  <si>
    <t>5111955937</t>
  </si>
  <si>
    <t>10032626300474</t>
  </si>
  <si>
    <t>Valor Var Lease (excl GER) ref  Docto Nr  523</t>
  </si>
  <si>
    <t>661126812</t>
  </si>
  <si>
    <t>4010209538</t>
  </si>
  <si>
    <t>5111955938</t>
  </si>
  <si>
    <t>10032626300490</t>
  </si>
  <si>
    <t>Valor Var Lease (excl GER) ref  Docto Nr  780</t>
  </si>
  <si>
    <t>661134584</t>
  </si>
  <si>
    <t>4010217300</t>
  </si>
  <si>
    <t>5112000194</t>
  </si>
  <si>
    <t>Global dued10032631036792</t>
  </si>
  <si>
    <t>Valor Var Lease (excl GER) ref  Docto Nr  779</t>
  </si>
  <si>
    <t>661134600</t>
  </si>
  <si>
    <t>4010217301</t>
  </si>
  <si>
    <t>5112000195</t>
  </si>
  <si>
    <t>Global dued10032631036806</t>
  </si>
  <si>
    <t>Valor Var Lease (excl GER) ref  Docto Nr  778</t>
  </si>
  <si>
    <t>661134593</t>
  </si>
  <si>
    <t>4010217302</t>
  </si>
  <si>
    <t>5112000196</t>
  </si>
  <si>
    <t>Global dued10032631036814</t>
  </si>
  <si>
    <t>Valor Var Lease (excl GER) ref  Docto Nr  809</t>
  </si>
  <si>
    <t>4010219926</t>
  </si>
  <si>
    <t>4640003219</t>
  </si>
  <si>
    <t>17032631028206</t>
  </si>
  <si>
    <t>Valor Var Lease (excl GER) ref  Docto Nr  252</t>
  </si>
  <si>
    <t>661114600</t>
  </si>
  <si>
    <t>4010220006</t>
  </si>
  <si>
    <t>5112015901</t>
  </si>
  <si>
    <t>Global due 30032626300675</t>
  </si>
  <si>
    <t>Valor Var Lease (excl GER) ref  Docto Nr  1111</t>
  </si>
  <si>
    <t>661156274</t>
  </si>
  <si>
    <t>4010280433</t>
  </si>
  <si>
    <t>5112169418</t>
  </si>
  <si>
    <t>24042631015099</t>
  </si>
  <si>
    <t>Valor Var Lease (excl GER) ref  Docto Nr  1113</t>
  </si>
  <si>
    <t>661156280</t>
  </si>
  <si>
    <t>4010280434</t>
  </si>
  <si>
    <t>5112169419</t>
  </si>
  <si>
    <t>24042631015129</t>
  </si>
  <si>
    <t>Valor Var Lease (excl GER) ref  Docto Nr  1112</t>
  </si>
  <si>
    <t>661156287</t>
  </si>
  <si>
    <t>4010280436</t>
  </si>
  <si>
    <t>5112169420</t>
  </si>
  <si>
    <t>24042631015161</t>
  </si>
  <si>
    <t>Valor Var Lease (excl GER) ref  Docto Nr  1354</t>
  </si>
  <si>
    <t>661166843</t>
  </si>
  <si>
    <t>4010282605</t>
  </si>
  <si>
    <t>5112173742</t>
  </si>
  <si>
    <t>Global dued19052631019481</t>
  </si>
  <si>
    <t>Valor Var Lease (excl GER) ref  Docto Nr  1356</t>
  </si>
  <si>
    <t>661166853</t>
  </si>
  <si>
    <t>4010318614</t>
  </si>
  <si>
    <t>Valor Var Lease (excl GER) ref  Docto Nr  1355</t>
  </si>
  <si>
    <t>661166859</t>
  </si>
  <si>
    <t>4010318617</t>
  </si>
  <si>
    <t>5112261275</t>
  </si>
  <si>
    <t>Global dued17062631022257</t>
  </si>
  <si>
    <t>5112261417</t>
  </si>
  <si>
    <t>Global dued17062631022222</t>
  </si>
  <si>
    <t>Valor Var Lease (excl GER) ref  Docto Nr  1665</t>
  </si>
  <si>
    <t>661185724</t>
  </si>
  <si>
    <t>4010339703</t>
  </si>
  <si>
    <t>5112294804</t>
  </si>
  <si>
    <t>Global dued30062631030128</t>
  </si>
  <si>
    <t>Valor Var Lease (excl GER) ref  Docto Nr  1664</t>
  </si>
  <si>
    <t>661185720</t>
  </si>
  <si>
    <t>4010339704</t>
  </si>
  <si>
    <t>5112294805</t>
  </si>
  <si>
    <t>Global dued30062631030101</t>
  </si>
  <si>
    <t>Valor Var Lease (excl GER) ref  Docto Nr  1663</t>
  </si>
  <si>
    <t>661185723</t>
  </si>
  <si>
    <t>4010339706</t>
  </si>
  <si>
    <t>5112294806</t>
  </si>
  <si>
    <t>Global dued30062631030080</t>
  </si>
  <si>
    <t>Valor Var Lease (excl GER) ref  Docto Nr  1807</t>
  </si>
  <si>
    <t>661191585</t>
  </si>
  <si>
    <t>4010374235</t>
  </si>
  <si>
    <t>5112350955</t>
  </si>
  <si>
    <t>17072631011983</t>
  </si>
  <si>
    <t>Valor Var Lease (excl GER) ref  Docto Nr  1810</t>
  </si>
  <si>
    <t>661191586</t>
  </si>
  <si>
    <t>4010374236</t>
  </si>
  <si>
    <t>5112350956</t>
  </si>
  <si>
    <t>17072631011924</t>
  </si>
  <si>
    <t>Valor Var Lease (excl GER) ref  Docto Nr  1808</t>
  </si>
  <si>
    <t>661191581</t>
  </si>
  <si>
    <t>4010374238</t>
  </si>
  <si>
    <t>5112350968</t>
  </si>
  <si>
    <t>17072631011894</t>
  </si>
  <si>
    <t>Valor Var Lease (excl GER) ref  Docto Nr  1965</t>
  </si>
  <si>
    <t>661199883</t>
  </si>
  <si>
    <t>4010394674</t>
  </si>
  <si>
    <t>5112371945</t>
  </si>
  <si>
    <t>06082631023093</t>
  </si>
  <si>
    <t>Valor Var Lease (excl GER) ref  Docto Nr  1868</t>
  </si>
  <si>
    <t>661193063</t>
  </si>
  <si>
    <t>4010402020</t>
  </si>
  <si>
    <t>5112382365</t>
  </si>
  <si>
    <t>21072631019815</t>
  </si>
  <si>
    <t>Valor Var Lease (excl GER) ref  Docto Nr  1867</t>
  </si>
  <si>
    <t>661193064</t>
  </si>
  <si>
    <t>4010402021</t>
  </si>
  <si>
    <t>5112382366</t>
  </si>
  <si>
    <t>21072631019823</t>
  </si>
  <si>
    <t>Valor Var Lease (excl GER) ref  Docto Nr  1866</t>
  </si>
  <si>
    <t>661193065</t>
  </si>
  <si>
    <t>4010402022</t>
  </si>
  <si>
    <t>5112382597</t>
  </si>
  <si>
    <t>21072631019866</t>
  </si>
  <si>
    <t>Valor Transports ref  Docto Nr  2012</t>
  </si>
  <si>
    <t>661201089</t>
  </si>
  <si>
    <t>4010405837</t>
  </si>
  <si>
    <t>5112385027</t>
  </si>
  <si>
    <t>10082631019140</t>
  </si>
  <si>
    <t>Valor Var Lease (excl GER) ref  Docto Nr  2013</t>
  </si>
  <si>
    <t>661201087</t>
  </si>
  <si>
    <t>4010405838</t>
  </si>
  <si>
    <t>5112385029</t>
  </si>
  <si>
    <t>10082631019212</t>
  </si>
  <si>
    <t>Valor Var Lease (excl GER) ref  Docto Nr  2153</t>
  </si>
  <si>
    <t>661201130</t>
  </si>
  <si>
    <t>4010432801</t>
  </si>
  <si>
    <t>5112411059</t>
  </si>
  <si>
    <t>20082631008221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</si>
</sst>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#,##0.000"/>
  </numFmts>
  <fonts count="6" x14ac:knownFonts="1">
    <font>
      <sz val="10"/>
      <name val="Arial"/>
    </font>
    <font>
      <sz val="10"/>
      <name val="Arial"/>
      <family val="2"/>
    </font>
    <font>
      <b/>
      <sz val="8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2" borderId="1" xfId="0" applyFill="1" applyBorder="1" applyAlignment="1">
      <alignment vertical="top" wrapText="1"/>
    </xf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" fontId="0" fillId="0" borderId="0" xfId="0" applyNumberFormat="1" applyAlignment="1">
      <alignment vertical="top"/>
    </xf>
    <xf numFmtId="10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  <xf numFmtId="1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4" fontId="0" fillId="2" borderId="1" xfId="0" applyNumberFormat="1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3" fontId="0" fillId="0" borderId="0" xfId="1" applyFont="1" applyAlignment="1">
      <alignment vertical="top"/>
    </xf>
    <xf numFmtId="2" fontId="0" fillId="0" borderId="0" xfId="0" applyNumberFormat="1" applyAlignment="1">
      <alignment vertical="top"/>
    </xf>
    <xf numFmtId="4" fontId="0" fillId="0" borderId="0" xfId="1" applyNumberFormat="1" applyFont="1" applyAlignment="1">
      <alignment vertical="top"/>
    </xf>
    <xf numFmtId="0" fontId="2" fillId="0" borderId="0" xfId="0" applyFont="1" applyAlignment="1">
      <alignment vertical="top"/>
    </xf>
    <xf numFmtId="4" fontId="0" fillId="3" borderId="0" xfId="0" applyNumberFormat="1" applyFill="1" applyAlignment="1">
      <alignment horizontal="right" vertical="top"/>
    </xf>
    <xf numFmtId="0" fontId="0" fillId="3" borderId="0" xfId="0" applyFill="1" applyAlignment="1">
      <alignment vertical="top"/>
    </xf>
    <xf numFmtId="0" fontId="1" fillId="0" borderId="0" xfId="0" applyFont="1" applyAlignment="1">
      <alignment vertical="top"/>
    </xf>
    <xf numFmtId="0" fontId="0" fillId="3" borderId="0" xfId="0" applyFill="1" applyAlignment="1">
      <alignment horizontal="left" vertical="top"/>
    </xf>
    <xf numFmtId="0" fontId="3" fillId="4" borderId="2" xfId="0" applyFont="1" applyFill="1" applyBorder="1" applyAlignment="1">
      <alignment horizontal="left" vertical="top"/>
    </xf>
    <xf numFmtId="0" fontId="5" fillId="3" borderId="0" xfId="0" applyFont="1" applyFill="1" applyAlignment="1">
      <alignment vertical="top"/>
    </xf>
    <xf numFmtId="43" fontId="5" fillId="0" borderId="0" xfId="1" applyFont="1" applyAlignment="1">
      <alignment vertical="top"/>
    </xf>
    <xf numFmtId="0" fontId="5" fillId="0" borderId="0" xfId="0" applyFont="1" applyAlignment="1">
      <alignment vertical="top"/>
    </xf>
    <xf numFmtId="43" fontId="4" fillId="3" borderId="0" xfId="1" applyFont="1" applyFill="1" applyAlignment="1">
      <alignment vertical="top"/>
    </xf>
    <xf numFmtId="0" fontId="0" fillId="5" borderId="0" xfId="0" applyFill="1" applyAlignment="1">
      <alignment vertical="top"/>
    </xf>
    <xf numFmtId="0" fontId="0" fillId="6" borderId="0" xfId="0" applyFill="1" applyAlignment="1">
      <alignment vertical="top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tor Pinheiro" refreshedDate="46267.367081597222" createdVersion="8" refreshedVersion="8" minRefreshableVersion="3" recordCount="373" xr:uid="{64482047-2922-4CC5-9111-FE8C5069BA0E}">
  <cacheSource type="worksheet">
    <worksheetSource ref="A1:R400" sheet="KSB1"/>
  </cacheSource>
  <cacheFields count="18">
    <cacheField name="Fiscal Year" numFmtId="0">
      <sharedItems containsBlank="1" count="5">
        <s v="2023"/>
        <s v="2024"/>
        <s v="2025"/>
        <s v="2026"/>
        <m/>
      </sharedItems>
    </cacheField>
    <cacheField name="Created on" numFmtId="14">
      <sharedItems containsNonDate="0" containsDate="1" containsString="0" containsBlank="1" minDate="2023-01-19T00:00:00" maxDate="2026-09-01T00:00:00"/>
    </cacheField>
    <cacheField name="Period" numFmtId="0">
      <sharedItems containsBlank="1" count="13">
        <s v="1"/>
        <s v="2"/>
        <s v="3"/>
        <s v="4"/>
        <s v="5"/>
        <s v="6"/>
        <s v="7"/>
        <s v="8"/>
        <s v="9"/>
        <s v="10"/>
        <s v="11"/>
        <s v="12"/>
        <m/>
      </sharedItems>
    </cacheField>
    <cacheField name="Cost Element" numFmtId="0">
      <sharedItems containsBlank="1" containsMixedTypes="1" containsNumber="1" containsInteger="1" minValue="6420000" maxValue="6420000"/>
    </cacheField>
    <cacheField name="Cost element name" numFmtId="0">
      <sharedItems containsBlank="1"/>
    </cacheField>
    <cacheField name="Cost Center" numFmtId="0">
      <sharedItems containsBlank="1"/>
    </cacheField>
    <cacheField name="CO object name" numFmtId="0">
      <sharedItems containsBlank="1"/>
    </cacheField>
    <cacheField name="Val.in rep.cur." numFmtId="0">
      <sharedItems containsString="0" containsBlank="1" containsNumber="1" minValue="-58457.52" maxValue="70861.600000000006"/>
    </cacheField>
    <cacheField name="Name" numFmtId="0">
      <sharedItems containsBlank="1"/>
    </cacheField>
    <cacheField name="Name of offsetting account" numFmtId="0">
      <sharedItems containsBlank="1" count="2">
        <s v="FIMATEC COM E REPRESENTACOES LTDA"/>
        <m/>
      </sharedItems>
    </cacheField>
    <cacheField name="Purchasing Document" numFmtId="0">
      <sharedItems containsBlank="1" containsMixedTypes="1" containsNumber="1" containsInteger="1" minValue="660805132" maxValue="660805132"/>
    </cacheField>
    <cacheField name="Document Number" numFmtId="0">
      <sharedItems containsBlank="1"/>
    </cacheField>
    <cacheField name="User Name" numFmtId="0">
      <sharedItems containsBlank="1"/>
    </cacheField>
    <cacheField name="Posting row" numFmtId="0">
      <sharedItems containsBlank="1"/>
    </cacheField>
    <cacheField name="Empresa" numFmtId="0">
      <sharedItems containsDate="1" containsBlank="1" containsMixedTypes="1" minDate="1900-01-03T10:51:04" maxDate="2024-07-11T00:00:00" count="10">
        <s v="FIMATEC"/>
        <m/>
        <n v="45763" u="1"/>
        <n v="45695" u="1"/>
        <n v="45712" u="1"/>
        <d v="2024-07-01T00:00:00" u="1"/>
        <d v="2024-07-02T00:00:00" u="1"/>
        <d v="2024-05-10T00:00:00" u="1"/>
        <d v="2024-06-20T00:00:00" u="1"/>
        <d v="2024-07-10T00:00:00" u="1"/>
      </sharedItems>
    </cacheField>
    <cacheField name="Document Date" numFmtId="0">
      <sharedItems containsDate="1" containsString="0" containsBlank="1" containsMixedTypes="1" minDate="1900-01-10T04:50:04" maxDate="2026-08-21T00:00:00"/>
    </cacheField>
    <cacheField name="Ref Document Number" numFmtId="0">
      <sharedItems containsBlank="1"/>
    </cacheField>
    <cacheField name="Posting Date" numFmtId="0">
      <sharedItems containsDate="1" containsString="0" containsBlank="1" containsMixedTypes="1" minDate="2023-01-19T00:00:00" maxDate="2026-09-01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3">
  <r>
    <x v="0"/>
    <d v="2023-01-19T00:00:00"/>
    <x v="0"/>
    <s v="6658020"/>
    <s v="Var Lease (excl.GER)"/>
    <s v="MW09C20208"/>
    <s v="SC Form. Ins./Fung."/>
    <n v="7656.54"/>
    <s v="LOC DE TRANSPALETEIRA ALT SAZON"/>
    <x v="0"/>
    <s v="660597166"/>
    <s v="4008816277"/>
    <s v="GNEPP"/>
    <s v="1"/>
    <x v="0"/>
    <n v="44942"/>
    <s v="5108044159"/>
    <d v="2023-01-19T00:00:00"/>
  </r>
  <r>
    <x v="0"/>
    <d v="2023-01-19T00:00:00"/>
    <x v="0"/>
    <s v="6658020"/>
    <s v="Var Lease (excl.GER)"/>
    <s v="MW09C20100"/>
    <s v="Quality Control"/>
    <n v="2700.72"/>
    <s v="LOC DE TRANSPALETEIRA ALT SAZON"/>
    <x v="0"/>
    <s v="660597129"/>
    <s v="4008816278"/>
    <s v="GNEPP"/>
    <s v="1"/>
    <x v="0"/>
    <n v="44942"/>
    <s v="5108044160"/>
    <d v="2023-01-19T00:00:00"/>
  </r>
  <r>
    <x v="0"/>
    <d v="2023-01-19T00:00:00"/>
    <x v="0"/>
    <s v="6658020"/>
    <s v="Var Lease (excl.GER)"/>
    <s v="MW09C20200"/>
    <s v="EC Form. Ins./Fung."/>
    <n v="1579.92"/>
    <s v="LOC DE TRANSPALETEIRA ALT SAZON"/>
    <x v="0"/>
    <s v="660597166"/>
    <s v="4008816277"/>
    <s v="GNEPP"/>
    <s v="2"/>
    <x v="0"/>
    <n v="44942"/>
    <s v="5108044159"/>
    <d v="2023-01-19T00:00:00"/>
  </r>
  <r>
    <x v="0"/>
    <d v="2023-01-19T00:00:00"/>
    <x v="0"/>
    <s v="6658020"/>
    <s v="Var Lease (excl.GER)"/>
    <s v="MW09C20211"/>
    <s v="Ethrel Paste Form."/>
    <n v="1458.39"/>
    <s v="LOC DE TRANSPALETEIRA ALT SAZON"/>
    <x v="0"/>
    <s v="660597166"/>
    <s v="4008816277"/>
    <s v="GNEPP"/>
    <s v="3"/>
    <x v="0"/>
    <n v="44942"/>
    <s v="5108044159"/>
    <d v="2023-01-19T00:00:00"/>
  </r>
  <r>
    <x v="0"/>
    <d v="2023-01-19T00:00:00"/>
    <x v="0"/>
    <s v="6658020"/>
    <s v="Var Lease (excl.GER)"/>
    <s v="MW09C20302"/>
    <s v="Pack Solids 1 KG"/>
    <n v="1458.39"/>
    <s v="LOC DE TRANSPALETEIRA ALT SAZON"/>
    <x v="0"/>
    <s v="660597166"/>
    <s v="4008816277"/>
    <s v="GNEPP"/>
    <s v="4"/>
    <x v="0"/>
    <n v="44942"/>
    <s v="5108044159"/>
    <d v="2023-01-19T00:00:00"/>
  </r>
  <r>
    <x v="0"/>
    <d v="2023-02-16T00:00:00"/>
    <x v="1"/>
    <s v="6658020"/>
    <s v="Var Lease (excl.GER)"/>
    <s v="MW09C20208"/>
    <s v="SC Form. Ins./Fung."/>
    <n v="6948.31"/>
    <s v="LOC DE TRANSPALETEIRA ALT SAZON"/>
    <x v="0"/>
    <s v="660615368"/>
    <s v="4008883436"/>
    <s v="GEMKD"/>
    <s v="1"/>
    <x v="0"/>
    <n v="44966"/>
    <s v="5108156786"/>
    <d v="2023-02-16T00:00:00"/>
  </r>
  <r>
    <x v="0"/>
    <d v="2023-02-16T00:00:00"/>
    <x v="1"/>
    <s v="6658020"/>
    <s v="Var Lease (excl.GER)"/>
    <s v="MW09C20100"/>
    <s v="Quality Control"/>
    <n v="2450.9"/>
    <s v="LOC DE TRANSPALETEIRA ALT SAZON"/>
    <x v="0"/>
    <s v="660615344"/>
    <s v="4008883438"/>
    <s v="GEMKD"/>
    <s v="1"/>
    <x v="0"/>
    <n v="44966"/>
    <s v="5108156800"/>
    <d v="2023-02-16T00:00:00"/>
  </r>
  <r>
    <x v="0"/>
    <d v="2023-02-16T00:00:00"/>
    <x v="1"/>
    <s v="6658020"/>
    <s v="Var Lease (excl.GER)"/>
    <s v="MW09C20200"/>
    <s v="EC Form. Ins./Fung."/>
    <n v="1433.78"/>
    <s v="LOC DE TRANSPALETEIRA ALT SAZON"/>
    <x v="0"/>
    <s v="660615368"/>
    <s v="4008883436"/>
    <s v="GEMKD"/>
    <s v="2"/>
    <x v="0"/>
    <n v="44966"/>
    <s v="5108156786"/>
    <d v="2023-02-16T00:00:00"/>
  </r>
  <r>
    <x v="0"/>
    <d v="2023-02-16T00:00:00"/>
    <x v="1"/>
    <s v="6658020"/>
    <s v="Var Lease (excl.GER)"/>
    <s v="MW09C20211"/>
    <s v="Ethrel Paste Form."/>
    <n v="1323.49"/>
    <s v="LOC DE TRANSPALETEIRA ALT SAZON"/>
    <x v="0"/>
    <s v="660615368"/>
    <s v="4008883436"/>
    <s v="GEMKD"/>
    <s v="3"/>
    <x v="0"/>
    <n v="44966"/>
    <s v="5108156786"/>
    <d v="2023-02-16T00:00:00"/>
  </r>
  <r>
    <x v="0"/>
    <d v="2023-02-16T00:00:00"/>
    <x v="1"/>
    <s v="6658020"/>
    <s v="Var Lease (excl.GER)"/>
    <s v="MW09C20302"/>
    <s v="Pack Solids 1 KG"/>
    <n v="1323.49"/>
    <s v="LOC DE TRANSPALETEIRA ALT SAZON"/>
    <x v="0"/>
    <s v="660615368"/>
    <s v="4008883436"/>
    <s v="GEMKD"/>
    <s v="4"/>
    <x v="0"/>
    <n v="44966"/>
    <s v="5108156786"/>
    <d v="2023-02-16T00:00:00"/>
  </r>
  <r>
    <x v="0"/>
    <d v="2023-03-16T00:00:00"/>
    <x v="2"/>
    <s v="6658020"/>
    <s v="Var Lease (excl.GER)"/>
    <s v="MW09C20208"/>
    <s v="SC Form. Ins./Fung."/>
    <n v="6948.31"/>
    <s v="LOC DE TRANSPALETEIRA ALT SAZON"/>
    <x v="0"/>
    <s v="660631240"/>
    <s v="4008929814"/>
    <s v="GEMKD"/>
    <s v="1"/>
    <x v="0"/>
    <n v="44993"/>
    <s v="5108267490"/>
    <d v="2023-03-16T00:00:00"/>
  </r>
  <r>
    <x v="0"/>
    <d v="2023-03-16T00:00:00"/>
    <x v="2"/>
    <s v="6658020"/>
    <s v="Var Lease (excl.GER)"/>
    <s v="MW09C20100"/>
    <s v="Quality Control"/>
    <n v="2450.91"/>
    <s v="LOC DE TRANSPALETEIRA ALT SAZON"/>
    <x v="0"/>
    <s v="660631222"/>
    <s v="4008929820"/>
    <s v="GEMKD"/>
    <s v="1"/>
    <x v="0"/>
    <n v="44995"/>
    <s v="5108267619"/>
    <d v="2023-03-16T00:00:00"/>
  </r>
  <r>
    <x v="0"/>
    <d v="2023-03-16T00:00:00"/>
    <x v="2"/>
    <s v="6658020"/>
    <s v="Var Lease (excl.GER)"/>
    <s v="MW09C20200"/>
    <s v="EC Form. Ins./Fung."/>
    <n v="1433.78"/>
    <s v="LOC DE TRANSPALETEIRA ALT SAZON"/>
    <x v="0"/>
    <s v="660631240"/>
    <s v="4008929814"/>
    <s v="GEMKD"/>
    <s v="2"/>
    <x v="0"/>
    <n v="44993"/>
    <s v="5108267490"/>
    <d v="2023-03-16T00:00:00"/>
  </r>
  <r>
    <x v="0"/>
    <d v="2023-03-16T00:00:00"/>
    <x v="2"/>
    <s v="6658020"/>
    <s v="Var Lease (excl.GER)"/>
    <s v="MW09C20211"/>
    <s v="Ethrel Paste Form."/>
    <n v="1323.49"/>
    <s v="LOC DE TRANSPALETEIRA ALT SAZON"/>
    <x v="0"/>
    <s v="660631240"/>
    <s v="4008929814"/>
    <s v="GEMKD"/>
    <s v="3"/>
    <x v="0"/>
    <n v="44993"/>
    <s v="5108267490"/>
    <d v="2023-03-16T00:00:00"/>
  </r>
  <r>
    <x v="0"/>
    <d v="2023-03-16T00:00:00"/>
    <x v="2"/>
    <s v="6658020"/>
    <s v="Var Lease (excl.GER)"/>
    <s v="MW09C20302"/>
    <s v="Pack Solids 1 KG"/>
    <n v="1323.49"/>
    <s v="LOC DE TRANSPALETEIRA ALT SAZON"/>
    <x v="0"/>
    <s v="660631240"/>
    <s v="4008929814"/>
    <s v="GEMKD"/>
    <s v="4"/>
    <x v="0"/>
    <n v="44993"/>
    <s v="5108267490"/>
    <d v="2023-03-16T00:00:00"/>
  </r>
  <r>
    <x v="0"/>
    <d v="2023-04-24T00:00:00"/>
    <x v="3"/>
    <s v="6658000"/>
    <s v="Rent ST (excl.GER)"/>
    <s v="MW09C20208"/>
    <s v="SC Form. Ins./Fung."/>
    <n v="36828.239999999998"/>
    <s v="LOC E MANUT DE EMPIL ELÉT PAT ABER"/>
    <x v="0"/>
    <s v="660649240"/>
    <s v="4008978624"/>
    <s v="GEMKD"/>
    <s v="1"/>
    <x v="0"/>
    <n v="45029"/>
    <s v="5108412580"/>
    <d v="2023-04-24T00:00:00"/>
  </r>
  <r>
    <x v="0"/>
    <d v="2023-04-24T00:00:00"/>
    <x v="3"/>
    <s v="6658000"/>
    <s v="Rent ST (excl.GER)"/>
    <s v="MW09C20200"/>
    <s v="EC Form. Ins./Fung."/>
    <n v="7599.48"/>
    <s v="LOC E MANUT DE EMPIL ELÉT PAT ABER"/>
    <x v="0"/>
    <s v="660649240"/>
    <s v="4008978624"/>
    <s v="GEMKD"/>
    <s v="2"/>
    <x v="0"/>
    <n v="45029"/>
    <s v="5108412580"/>
    <d v="2023-04-24T00:00:00"/>
  </r>
  <r>
    <x v="0"/>
    <d v="2023-04-24T00:00:00"/>
    <x v="3"/>
    <s v="6658000"/>
    <s v="Rent ST (excl.GER)"/>
    <s v="MW09C20211"/>
    <s v="Ethrel Paste Form."/>
    <n v="7014.91"/>
    <s v="LOC E MANUT DE EMPIL ELÉT PAT ABER"/>
    <x v="0"/>
    <s v="660649240"/>
    <s v="4008978624"/>
    <s v="GEMKD"/>
    <s v="3"/>
    <x v="0"/>
    <n v="45029"/>
    <s v="5108412580"/>
    <d v="2023-04-24T00:00:00"/>
  </r>
  <r>
    <x v="0"/>
    <d v="2023-04-24T00:00:00"/>
    <x v="3"/>
    <s v="6658000"/>
    <s v="Rent ST (excl.GER)"/>
    <s v="MW09C20302"/>
    <s v="Pack Solids 1 KG"/>
    <n v="7014.91"/>
    <s v="LOC E MANUT DE EMPIL ELÉT PAT ABER"/>
    <x v="0"/>
    <s v="660649240"/>
    <s v="4008978624"/>
    <s v="GEMKD"/>
    <s v="4"/>
    <x v="0"/>
    <n v="45029"/>
    <s v="5108412580"/>
    <d v="2023-04-24T00:00:00"/>
  </r>
  <r>
    <x v="0"/>
    <d v="2023-04-24T00:00:00"/>
    <x v="3"/>
    <s v="6658000"/>
    <s v="Rent ST (excl.GER)"/>
    <s v="MW09C20208"/>
    <s v="SC Form. Ins./Fung."/>
    <n v="6629.08"/>
    <s v="LOC E MANUT DE EMPILHADEIRA ELÉT PATOLA"/>
    <x v="0"/>
    <s v="660649239"/>
    <s v="4008978627"/>
    <s v="GEMKD"/>
    <s v="1"/>
    <x v="0"/>
    <n v="45029"/>
    <s v="5108412582"/>
    <d v="2023-04-24T00:00:00"/>
  </r>
  <r>
    <x v="0"/>
    <d v="2023-04-24T00:00:00"/>
    <x v="3"/>
    <s v="6658000"/>
    <s v="Rent ST (excl.GER)"/>
    <s v="MW09C20100"/>
    <s v="Quality Control"/>
    <n v="3297"/>
    <s v="LOC E MANUT DE TRANSPALETEIRA"/>
    <x v="0"/>
    <s v="660649559"/>
    <s v="4008978628"/>
    <s v="GEMKD"/>
    <s v="1"/>
    <x v="0"/>
    <n v="45029"/>
    <s v="5108412584"/>
    <d v="2023-04-24T00:00:00"/>
  </r>
  <r>
    <x v="0"/>
    <d v="2023-04-24T00:00:00"/>
    <x v="3"/>
    <s v="6658000"/>
    <s v="Rent ST (excl.GER)"/>
    <s v="MW09C20200"/>
    <s v="EC Form. Ins./Fung."/>
    <n v="1367.9"/>
    <s v="LOC E MANUT DE EMPILHADEIRA ELÉT PATOLA"/>
    <x v="0"/>
    <s v="660649239"/>
    <s v="4008978627"/>
    <s v="GEMKD"/>
    <s v="2"/>
    <x v="0"/>
    <n v="45029"/>
    <s v="5108412582"/>
    <d v="2023-04-24T00:00:00"/>
  </r>
  <r>
    <x v="0"/>
    <d v="2023-04-24T00:00:00"/>
    <x v="3"/>
    <s v="6658000"/>
    <s v="Rent ST (excl.GER)"/>
    <s v="MW09C20211"/>
    <s v="Ethrel Paste Form."/>
    <n v="1262.68"/>
    <s v="LOC E MANUT DE EMPILHADEIRA ELÉT PATOLA"/>
    <x v="0"/>
    <s v="660649239"/>
    <s v="4008978627"/>
    <s v="GEMKD"/>
    <s v="3"/>
    <x v="0"/>
    <n v="45029"/>
    <s v="5108412582"/>
    <d v="2023-04-24T00:00:00"/>
  </r>
  <r>
    <x v="0"/>
    <d v="2023-04-24T00:00:00"/>
    <x v="3"/>
    <s v="6658000"/>
    <s v="Rent ST (excl.GER)"/>
    <s v="MW09C20302"/>
    <s v="Pack Solids 1 KG"/>
    <n v="1262.68"/>
    <s v="LOC E MANUT DE EMPILHADEIRA ELÉT PATOLA"/>
    <x v="0"/>
    <s v="660649239"/>
    <s v="4008978627"/>
    <s v="GEMKD"/>
    <s v="4"/>
    <x v="0"/>
    <n v="45029"/>
    <s v="5108412582"/>
    <d v="2023-04-24T00:00:00"/>
  </r>
  <r>
    <x v="0"/>
    <d v="2023-04-26T00:00:00"/>
    <x v="3"/>
    <s v="6658010"/>
    <s v="Rent LVA (excl.GER)"/>
    <s v="MW09C20208"/>
    <s v="SC Form. Ins./Fung."/>
    <n v="9346.99"/>
    <s v="LOC E MANUT DE TRANSPALETEIRA"/>
    <x v="0"/>
    <s v="660651831"/>
    <s v="4008981059"/>
    <s v="GEMKD"/>
    <s v="1"/>
    <x v="0"/>
    <n v="45034"/>
    <s v="5108422047"/>
    <d v="2023-04-26T00:00:00"/>
  </r>
  <r>
    <x v="0"/>
    <d v="2023-04-26T00:00:00"/>
    <x v="3"/>
    <s v="6658010"/>
    <s v="Rent LVA (excl.GER)"/>
    <s v="MW09C20200"/>
    <s v="EC Form. Ins./Fung."/>
    <n v="1928.75"/>
    <s v="LOC E MANUT DE TRANSPALETEIRA"/>
    <x v="0"/>
    <s v="660651831"/>
    <s v="4008981059"/>
    <s v="GEMKD"/>
    <s v="2"/>
    <x v="0"/>
    <n v="45034"/>
    <s v="5108422047"/>
    <d v="2023-04-26T00:00:00"/>
  </r>
  <r>
    <x v="0"/>
    <d v="2023-04-26T00:00:00"/>
    <x v="3"/>
    <s v="6658010"/>
    <s v="Rent LVA (excl.GER)"/>
    <s v="MW09C20211"/>
    <s v="Ethrel Paste Form."/>
    <n v="1780.38"/>
    <s v="LOC E MANUT DE TRANSPALETEIRA"/>
    <x v="0"/>
    <s v="660651831"/>
    <s v="4008981059"/>
    <s v="GEMKD"/>
    <s v="3"/>
    <x v="0"/>
    <n v="45034"/>
    <s v="5108422047"/>
    <d v="2023-04-26T00:00:00"/>
  </r>
  <r>
    <x v="0"/>
    <d v="2023-04-26T00:00:00"/>
    <x v="3"/>
    <s v="6658010"/>
    <s v="Rent LVA (excl.GER)"/>
    <s v="MW09C20302"/>
    <s v="Pack Solids 1 KG"/>
    <n v="1780.38"/>
    <s v="LOC E MANUT DE TRANSPALETEIRA"/>
    <x v="0"/>
    <s v="660651831"/>
    <s v="4008981059"/>
    <s v="GEMKD"/>
    <s v="4"/>
    <x v="0"/>
    <n v="45034"/>
    <s v="5108422047"/>
    <d v="2023-04-26T00:00:00"/>
  </r>
  <r>
    <x v="0"/>
    <d v="2023-05-10T00:00:00"/>
    <x v="4"/>
    <s v="6658020"/>
    <s v="Var Lease (excl.GER)"/>
    <s v="MW09C20208"/>
    <s v="SC Form. Ins./Fung."/>
    <n v="36828.26"/>
    <s v="LOC E MANUT DE EMPIL ELÉT PAT ABER"/>
    <x v="0"/>
    <s v="660661358"/>
    <s v="4008999914"/>
    <s v="GLRPT"/>
    <s v="1"/>
    <x v="0"/>
    <d v="2023-05-04T00:00:00"/>
    <s v="5108472551"/>
    <d v="2023-05-10T00:00:00"/>
  </r>
  <r>
    <x v="0"/>
    <d v="2023-05-10T00:00:00"/>
    <x v="4"/>
    <s v="6658020"/>
    <s v="Var Lease (excl.GER)"/>
    <s v="MW09C20208"/>
    <s v="SC Form. Ins./Fung."/>
    <n v="9346.99"/>
    <s v="LOC E MANUT DE TRANSPALETEIRA"/>
    <x v="0"/>
    <s v="660661366"/>
    <s v="4008999919"/>
    <s v="GLRPT"/>
    <s v="1"/>
    <x v="0"/>
    <d v="2023-05-04T00:00:00"/>
    <s v="5108472710"/>
    <d v="2023-05-10T00:00:00"/>
  </r>
  <r>
    <x v="0"/>
    <d v="2023-05-10T00:00:00"/>
    <x v="4"/>
    <s v="6658020"/>
    <s v="Var Lease (excl.GER)"/>
    <s v="MW09C20200"/>
    <s v="EC Form. Ins./Fung."/>
    <n v="7599.48"/>
    <s v="LOC E MANUT DE EMPIL ELÉT PAT ABER"/>
    <x v="0"/>
    <s v="660661358"/>
    <s v="4008999914"/>
    <s v="GLRPT"/>
    <s v="2"/>
    <x v="0"/>
    <d v="2023-05-04T00:00:00"/>
    <s v="5108472551"/>
    <d v="2023-05-10T00:00:00"/>
  </r>
  <r>
    <x v="0"/>
    <d v="2023-05-10T00:00:00"/>
    <x v="4"/>
    <s v="6658020"/>
    <s v="Var Lease (excl.GER)"/>
    <s v="MW09C20211"/>
    <s v="Ethrel Paste Form."/>
    <n v="7014.9"/>
    <s v="LOC E MANUT DE EMPIL ELÉT PAT ABER"/>
    <x v="0"/>
    <s v="660661358"/>
    <s v="4008999914"/>
    <s v="GLRPT"/>
    <s v="3"/>
    <x v="0"/>
    <d v="2023-05-04T00:00:00"/>
    <s v="5108472551"/>
    <d v="2023-05-10T00:00:00"/>
  </r>
  <r>
    <x v="0"/>
    <d v="2023-05-10T00:00:00"/>
    <x v="4"/>
    <s v="6658020"/>
    <s v="Var Lease (excl.GER)"/>
    <s v="MW09C20302"/>
    <s v="Pack Solids 1 KG"/>
    <n v="7014.9"/>
    <s v="LOC E MANUT DE EMPIL ELÉT PAT ABER"/>
    <x v="0"/>
    <s v="660661358"/>
    <s v="4008999914"/>
    <s v="GLRPT"/>
    <s v="4"/>
    <x v="0"/>
    <d v="2023-05-04T00:00:00"/>
    <s v="5108472551"/>
    <d v="2023-05-10T00:00:00"/>
  </r>
  <r>
    <x v="0"/>
    <d v="2023-05-10T00:00:00"/>
    <x v="4"/>
    <s v="6658020"/>
    <s v="Var Lease (excl.GER)"/>
    <s v="MW09C20208"/>
    <s v="SC Form. Ins./Fung."/>
    <n v="6629.08"/>
    <s v="LOC E MANUT DE EMPILHADEIRA ELÉT PATOLA"/>
    <x v="0"/>
    <s v="660661365"/>
    <s v="4008999922"/>
    <s v="GLRPT"/>
    <s v="1"/>
    <x v="0"/>
    <d v="2023-05-04T00:00:00"/>
    <s v="5108472713"/>
    <d v="2023-05-10T00:00:00"/>
  </r>
  <r>
    <x v="0"/>
    <d v="2023-05-10T00:00:00"/>
    <x v="4"/>
    <s v="6658020"/>
    <s v="Var Lease (excl.GER)"/>
    <s v="MW09C20100"/>
    <s v="Quality Control"/>
    <n v="3297"/>
    <s v="LOC E MANUT DE TRANSPALETEIRA"/>
    <x v="0"/>
    <s v="660661357"/>
    <s v="4008999921"/>
    <s v="GLRPT"/>
    <s v="1"/>
    <x v="0"/>
    <d v="2023-05-04T00:00:00"/>
    <s v="5108472712"/>
    <d v="2023-05-10T00:00:00"/>
  </r>
  <r>
    <x v="0"/>
    <d v="2023-05-10T00:00:00"/>
    <x v="4"/>
    <s v="6658020"/>
    <s v="Var Lease (excl.GER)"/>
    <s v="MW09C20200"/>
    <s v="EC Form. Ins./Fung."/>
    <n v="1928.75"/>
    <s v="LOC E MANUT DE TRANSPALETEIRA"/>
    <x v="0"/>
    <s v="660661366"/>
    <s v="4008999919"/>
    <s v="GLRPT"/>
    <s v="2"/>
    <x v="0"/>
    <d v="2023-05-04T00:00:00"/>
    <s v="5108472710"/>
    <d v="2023-05-10T00:00:00"/>
  </r>
  <r>
    <x v="0"/>
    <d v="2023-05-10T00:00:00"/>
    <x v="4"/>
    <s v="6658020"/>
    <s v="Var Lease (excl.GER)"/>
    <s v="MW09C20211"/>
    <s v="Ethrel Paste Form."/>
    <n v="1780.38"/>
    <s v="LOC E MANUT DE TRANSPALETEIRA"/>
    <x v="0"/>
    <s v="660661366"/>
    <s v="4008999919"/>
    <s v="GLRPT"/>
    <s v="3"/>
    <x v="0"/>
    <d v="2023-05-04T00:00:00"/>
    <s v="5108472710"/>
    <d v="2023-05-10T00:00:00"/>
  </r>
  <r>
    <x v="0"/>
    <d v="2023-05-10T00:00:00"/>
    <x v="4"/>
    <s v="6658020"/>
    <s v="Var Lease (excl.GER)"/>
    <s v="MW09C20302"/>
    <s v="Pack Solids 1 KG"/>
    <n v="1780.38"/>
    <s v="LOC E MANUT DE TRANSPALETEIRA"/>
    <x v="0"/>
    <s v="660661366"/>
    <s v="4008999919"/>
    <s v="GLRPT"/>
    <s v="4"/>
    <x v="0"/>
    <d v="2023-05-04T00:00:00"/>
    <s v="5108472710"/>
    <d v="2023-05-10T00:00:00"/>
  </r>
  <r>
    <x v="0"/>
    <d v="2023-05-10T00:00:00"/>
    <x v="4"/>
    <s v="6658020"/>
    <s v="Var Lease (excl.GER)"/>
    <s v="MW09C20200"/>
    <s v="EC Form. Ins./Fung."/>
    <n v="1367.9"/>
    <s v="LOC E MANUT DE EMPILHADEIRA ELÉT PATOLA"/>
    <x v="0"/>
    <s v="660661365"/>
    <s v="4008999922"/>
    <s v="GLRPT"/>
    <s v="2"/>
    <x v="0"/>
    <d v="2023-05-04T00:00:00"/>
    <s v="5108472713"/>
    <d v="2023-05-10T00:00:00"/>
  </r>
  <r>
    <x v="0"/>
    <d v="2023-05-10T00:00:00"/>
    <x v="4"/>
    <s v="6658020"/>
    <s v="Var Lease (excl.GER)"/>
    <s v="MW09C20211"/>
    <s v="Ethrel Paste Form."/>
    <n v="1262.68"/>
    <s v="LOC E MANUT DE EMPILHADEIRA ELÉT PATOLA"/>
    <x v="0"/>
    <s v="660661365"/>
    <s v="4008999922"/>
    <s v="GLRPT"/>
    <s v="3"/>
    <x v="0"/>
    <d v="2023-05-04T00:00:00"/>
    <s v="5108472713"/>
    <d v="2023-05-10T00:00:00"/>
  </r>
  <r>
    <x v="0"/>
    <d v="2023-05-10T00:00:00"/>
    <x v="4"/>
    <s v="6658020"/>
    <s v="Var Lease (excl.GER)"/>
    <s v="MW09C20302"/>
    <s v="Pack Solids 1 KG"/>
    <n v="1262.68"/>
    <s v="LOC E MANUT DE EMPILHADEIRA ELÉT PATOLA"/>
    <x v="0"/>
    <s v="660661365"/>
    <s v="4008999922"/>
    <s v="GLRPT"/>
    <s v="4"/>
    <x v="0"/>
    <d v="2023-05-04T00:00:00"/>
    <s v="5108472713"/>
    <d v="2023-05-10T00:00:00"/>
  </r>
  <r>
    <x v="0"/>
    <d v="2023-05-31T00:00:00"/>
    <x v="4"/>
    <s v="6658020"/>
    <s v="Var Lease (excl.GER)"/>
    <s v="MW09C20208"/>
    <s v="SC Form. Ins./Fung."/>
    <n v="800"/>
    <s v="Valor Var Lease (excl GER) ref  Docto Nr  15154"/>
    <x v="0"/>
    <s v="660669989"/>
    <s v="4009008012"/>
    <s v="GEMKD"/>
    <s v="1"/>
    <x v="0"/>
    <d v="2023-05-24T00:00:00"/>
    <s v="5108535478"/>
    <d v="2023-05-31T00:00:00"/>
  </r>
  <r>
    <x v="0"/>
    <d v="2023-06-15T00:00:00"/>
    <x v="5"/>
    <s v="6658020"/>
    <s v="Var Lease (excl.GER)"/>
    <s v="MW09C20208"/>
    <s v="SC Form. Ins./Fung."/>
    <n v="36828.26"/>
    <s v="LOC E MANUT DE EMPIL ELÉT PAT ABER"/>
    <x v="0"/>
    <s v="660676558"/>
    <s v="4009019384"/>
    <s v="GEMKD"/>
    <s v="1"/>
    <x v="0"/>
    <n v="45082"/>
    <s v="5108581633"/>
    <d v="2023-06-15T00:00:00"/>
  </r>
  <r>
    <x v="0"/>
    <d v="2023-06-15T00:00:00"/>
    <x v="5"/>
    <s v="6658020"/>
    <s v="Var Lease (excl.GER)"/>
    <s v="MW09C20208"/>
    <s v="SC Form. Ins./Fung."/>
    <n v="9346.99"/>
    <s v="LOC E MANUT DE TRANSPALETEIRA"/>
    <x v="0"/>
    <s v="660676556"/>
    <s v="4009019378"/>
    <s v="GEMKD"/>
    <s v="1"/>
    <x v="0"/>
    <n v="45082"/>
    <s v="5108581606"/>
    <d v="2023-06-15T00:00:00"/>
  </r>
  <r>
    <x v="0"/>
    <d v="2023-06-15T00:00:00"/>
    <x v="5"/>
    <s v="6658020"/>
    <s v="Var Lease (excl.GER)"/>
    <s v="MW09C20200"/>
    <s v="EC Form. Ins./Fung."/>
    <n v="7599.48"/>
    <s v="LOC E MANUT DE EMPIL ELÉT PAT ABER"/>
    <x v="0"/>
    <s v="660676558"/>
    <s v="4009019384"/>
    <s v="GEMKD"/>
    <s v="2"/>
    <x v="0"/>
    <n v="45082"/>
    <s v="5108581633"/>
    <d v="2023-06-15T00:00:00"/>
  </r>
  <r>
    <x v="0"/>
    <d v="2023-06-15T00:00:00"/>
    <x v="5"/>
    <s v="6658020"/>
    <s v="Var Lease (excl.GER)"/>
    <s v="MW09C20211"/>
    <s v="Ethrel Paste Form."/>
    <n v="7014.9"/>
    <s v="LOC E MANUT DE EMPIL ELÉT PAT ABER"/>
    <x v="0"/>
    <s v="660676558"/>
    <s v="4009019384"/>
    <s v="GEMKD"/>
    <s v="3"/>
    <x v="0"/>
    <n v="45082"/>
    <s v="5108581633"/>
    <d v="2023-06-15T00:00:00"/>
  </r>
  <r>
    <x v="0"/>
    <d v="2023-06-15T00:00:00"/>
    <x v="5"/>
    <s v="6658020"/>
    <s v="Var Lease (excl.GER)"/>
    <s v="MW09C20302"/>
    <s v="Pack Solids 1 KG"/>
    <n v="7014.9"/>
    <s v="LOC E MANUT DE EMPIL ELÉT PAT ABER"/>
    <x v="0"/>
    <s v="660676558"/>
    <s v="4009019384"/>
    <s v="GEMKD"/>
    <s v="4"/>
    <x v="0"/>
    <n v="45082"/>
    <s v="5108581633"/>
    <d v="2023-06-15T00:00:00"/>
  </r>
  <r>
    <x v="0"/>
    <d v="2023-06-15T00:00:00"/>
    <x v="5"/>
    <s v="6658020"/>
    <s v="Var Lease (excl.GER)"/>
    <s v="MW09C20208"/>
    <s v="SC Form. Ins./Fung."/>
    <n v="6629.08"/>
    <s v="LOC E MANUT DE EMPILHADEIRA ELÉT PATOLA"/>
    <x v="0"/>
    <s v="660676557"/>
    <s v="4009019385"/>
    <s v="GEMKD"/>
    <s v="1"/>
    <x v="0"/>
    <n v="45082"/>
    <s v="5108581635"/>
    <d v="2023-06-15T00:00:00"/>
  </r>
  <r>
    <x v="0"/>
    <d v="2023-06-15T00:00:00"/>
    <x v="5"/>
    <s v="6658020"/>
    <s v="Var Lease (excl.GER)"/>
    <s v="MW09C20100"/>
    <s v="Quality Control"/>
    <n v="3297"/>
    <s v="LOC E MANUT DE TRANSPALETEIRA"/>
    <x v="0"/>
    <s v="660676559"/>
    <s v="4009019382"/>
    <s v="GEMKD"/>
    <s v="1"/>
    <x v="0"/>
    <n v="45082"/>
    <s v="5108581631"/>
    <d v="2023-06-15T00:00:00"/>
  </r>
  <r>
    <x v="0"/>
    <d v="2023-06-15T00:00:00"/>
    <x v="5"/>
    <s v="6658020"/>
    <s v="Var Lease (excl.GER)"/>
    <s v="MW09C20200"/>
    <s v="EC Form. Ins./Fung."/>
    <n v="1928.75"/>
    <s v="LOC E MANUT DE TRANSPALETEIRA"/>
    <x v="0"/>
    <s v="660676556"/>
    <s v="4009019378"/>
    <s v="GEMKD"/>
    <s v="2"/>
    <x v="0"/>
    <n v="45082"/>
    <s v="5108581606"/>
    <d v="2023-06-15T00:00:00"/>
  </r>
  <r>
    <x v="0"/>
    <d v="2023-06-15T00:00:00"/>
    <x v="5"/>
    <s v="6658020"/>
    <s v="Var Lease (excl.GER)"/>
    <s v="MW09C20211"/>
    <s v="Ethrel Paste Form."/>
    <n v="1780.38"/>
    <s v="LOC E MANUT DE TRANSPALETEIRA"/>
    <x v="0"/>
    <s v="660676556"/>
    <s v="4009019378"/>
    <s v="GEMKD"/>
    <s v="3"/>
    <x v="0"/>
    <n v="45082"/>
    <s v="5108581606"/>
    <d v="2023-06-15T00:00:00"/>
  </r>
  <r>
    <x v="0"/>
    <d v="2023-06-15T00:00:00"/>
    <x v="5"/>
    <s v="6658020"/>
    <s v="Var Lease (excl.GER)"/>
    <s v="MW09C20302"/>
    <s v="Pack Solids 1 KG"/>
    <n v="1780.38"/>
    <s v="LOC E MANUT DE TRANSPALETEIRA"/>
    <x v="0"/>
    <s v="660676556"/>
    <s v="4009019378"/>
    <s v="GEMKD"/>
    <s v="4"/>
    <x v="0"/>
    <n v="45082"/>
    <s v="5108581606"/>
    <d v="2023-06-15T00:00:00"/>
  </r>
  <r>
    <x v="0"/>
    <d v="2023-06-13T00:00:00"/>
    <x v="5"/>
    <s v="6658020"/>
    <s v="Var Lease (excl.GER)"/>
    <s v="MW09C20208"/>
    <s v="SC Form. Ins./Fung."/>
    <n v="1560"/>
    <s v="Valor Var Lease (excl GER) ref  Docto Nr  15177"/>
    <x v="0"/>
    <s v="660669987"/>
    <s v="4009017967"/>
    <s v="GEMKD"/>
    <s v="1"/>
    <x v="0"/>
    <n v="45077"/>
    <s v="5108575448"/>
    <d v="2023-06-13T00:00:00"/>
  </r>
  <r>
    <x v="0"/>
    <d v="2023-06-15T00:00:00"/>
    <x v="5"/>
    <s v="6658020"/>
    <s v="Var Lease (excl.GER)"/>
    <s v="MW09C20200"/>
    <s v="EC Form. Ins./Fung."/>
    <n v="1367.9"/>
    <s v="LOC E MANUT DE EMPILHADEIRA ELÉT PATOLA"/>
    <x v="0"/>
    <s v="660676557"/>
    <s v="4009019385"/>
    <s v="GEMKD"/>
    <s v="2"/>
    <x v="0"/>
    <n v="45082"/>
    <s v="5108581635"/>
    <d v="2023-06-15T00:00:00"/>
  </r>
  <r>
    <x v="0"/>
    <d v="2023-06-15T00:00:00"/>
    <x v="5"/>
    <s v="6658020"/>
    <s v="Var Lease (excl.GER)"/>
    <s v="MW09C20211"/>
    <s v="Ethrel Paste Form."/>
    <n v="1262.68"/>
    <s v="LOC E MANUT DE EMPILHADEIRA ELÉT PATOLA"/>
    <x v="0"/>
    <s v="660676557"/>
    <s v="4009019385"/>
    <s v="GEMKD"/>
    <s v="3"/>
    <x v="0"/>
    <n v="45082"/>
    <s v="5108581635"/>
    <d v="2023-06-15T00:00:00"/>
  </r>
  <r>
    <x v="0"/>
    <d v="2023-06-15T00:00:00"/>
    <x v="5"/>
    <s v="6658020"/>
    <s v="Var Lease (excl.GER)"/>
    <s v="MW09C20302"/>
    <s v="Pack Solids 1 KG"/>
    <n v="1262.68"/>
    <s v="LOC E MANUT DE EMPILHADEIRA ELÉT PATOLA"/>
    <x v="0"/>
    <s v="660676557"/>
    <s v="4009019385"/>
    <s v="GEMKD"/>
    <s v="4"/>
    <x v="0"/>
    <n v="45082"/>
    <s v="5108581635"/>
    <d v="2023-06-15T00:00:00"/>
  </r>
  <r>
    <x v="0"/>
    <d v="2023-07-10T00:00:00"/>
    <x v="6"/>
    <s v="6658020"/>
    <s v="Var Lease (excl.GER)"/>
    <s v="MW09C20208"/>
    <s v="SC Form. Ins./Fung."/>
    <n v="36828.26"/>
    <s v="LOC E MANUT DE EMPIL ELÉT PAT ABER"/>
    <x v="0"/>
    <s v="660691073"/>
    <s v="4009039429"/>
    <s v="GEMKD"/>
    <s v="1"/>
    <x v="0"/>
    <d v="2023-07-05T00:00:00"/>
    <s v="5108654297"/>
    <d v="2023-07-10T00:00:00"/>
  </r>
  <r>
    <x v="0"/>
    <d v="2023-07-10T00:00:00"/>
    <x v="6"/>
    <s v="6658020"/>
    <s v="Var Lease (excl.GER)"/>
    <s v="MW09C20208"/>
    <s v="SC Form. Ins./Fung."/>
    <n v="9346.99"/>
    <s v="LOC E MANUT DE TRANSPALETEIRA"/>
    <x v="0"/>
    <s v="660691079"/>
    <s v="4009039430"/>
    <s v="GEMKD"/>
    <s v="1"/>
    <x v="0"/>
    <d v="2023-07-05T00:00:00"/>
    <s v="5108654298"/>
    <d v="2023-07-10T00:00:00"/>
  </r>
  <r>
    <x v="0"/>
    <d v="2023-07-10T00:00:00"/>
    <x v="6"/>
    <s v="6658020"/>
    <s v="Var Lease (excl.GER)"/>
    <s v="MW09C20200"/>
    <s v="EC Form. Ins./Fung."/>
    <n v="7599.48"/>
    <s v="LOC E MANUT DE EMPIL ELÉT PAT ABER"/>
    <x v="0"/>
    <s v="660691073"/>
    <s v="4009039429"/>
    <s v="GEMKD"/>
    <s v="2"/>
    <x v="0"/>
    <d v="2023-07-05T00:00:00"/>
    <s v="5108654297"/>
    <d v="2023-07-10T00:00:00"/>
  </r>
  <r>
    <x v="0"/>
    <d v="2023-07-10T00:00:00"/>
    <x v="6"/>
    <s v="6658020"/>
    <s v="Var Lease (excl.GER)"/>
    <s v="MW09C20211"/>
    <s v="Ethrel Paste Form."/>
    <n v="7014.9"/>
    <s v="LOC E MANUT DE EMPIL ELÉT PAT ABER"/>
    <x v="0"/>
    <s v="660691073"/>
    <s v="4009039429"/>
    <s v="GEMKD"/>
    <s v="3"/>
    <x v="0"/>
    <d v="2023-07-05T00:00:00"/>
    <s v="5108654297"/>
    <d v="2023-07-10T00:00:00"/>
  </r>
  <r>
    <x v="0"/>
    <d v="2023-07-10T00:00:00"/>
    <x v="6"/>
    <s v="6658020"/>
    <s v="Var Lease (excl.GER)"/>
    <s v="MW09C20302"/>
    <s v="Pack Solids 1 KG"/>
    <n v="7014.9"/>
    <s v="LOC E MANUT DE EMPIL ELÉT PAT ABER"/>
    <x v="0"/>
    <s v="660691073"/>
    <s v="4009039429"/>
    <s v="GEMKD"/>
    <s v="4"/>
    <x v="0"/>
    <d v="2023-07-05T00:00:00"/>
    <s v="5108654297"/>
    <d v="2023-07-10T00:00:00"/>
  </r>
  <r>
    <x v="0"/>
    <d v="2023-07-10T00:00:00"/>
    <x v="6"/>
    <s v="6658020"/>
    <s v="Var Lease (excl.GER)"/>
    <s v="MW09C20208"/>
    <s v="SC Form. Ins./Fung."/>
    <n v="6629.08"/>
    <s v="LOC E MANUT DE EMPILHADEIRA ELÉT PATOLA"/>
    <x v="0"/>
    <s v="660691078"/>
    <s v="4009039425"/>
    <s v="GEMKD"/>
    <s v="1"/>
    <x v="0"/>
    <d v="2023-07-05T00:00:00"/>
    <s v="5108654295"/>
    <d v="2023-07-10T00:00:00"/>
  </r>
  <r>
    <x v="0"/>
    <d v="2023-07-10T00:00:00"/>
    <x v="6"/>
    <s v="6658020"/>
    <s v="Var Lease (excl.GER)"/>
    <s v="MW09C20100"/>
    <s v="Quality Control"/>
    <n v="3297"/>
    <s v="LOC E MANUT DE TRANSPALETEIRA"/>
    <x v="0"/>
    <s v="660691077"/>
    <s v="4009039426"/>
    <s v="GEMKD"/>
    <s v="1"/>
    <x v="0"/>
    <d v="2023-07-05T00:00:00"/>
    <s v="5108654296"/>
    <d v="2023-07-10T00:00:00"/>
  </r>
  <r>
    <x v="0"/>
    <d v="2023-07-10T00:00:00"/>
    <x v="6"/>
    <s v="6658020"/>
    <s v="Var Lease (excl.GER)"/>
    <s v="MW09C20200"/>
    <s v="EC Form. Ins./Fung."/>
    <n v="1928.75"/>
    <s v="LOC E MANUT DE TRANSPALETEIRA"/>
    <x v="0"/>
    <s v="660691079"/>
    <s v="4009039430"/>
    <s v="GEMKD"/>
    <s v="2"/>
    <x v="0"/>
    <d v="2023-07-05T00:00:00"/>
    <s v="5108654298"/>
    <d v="2023-07-10T00:00:00"/>
  </r>
  <r>
    <x v="0"/>
    <d v="2023-07-10T00:00:00"/>
    <x v="6"/>
    <s v="6658020"/>
    <s v="Var Lease (excl.GER)"/>
    <s v="MW09C20211"/>
    <s v="Ethrel Paste Form."/>
    <n v="1780.38"/>
    <s v="LOC E MANUT DE TRANSPALETEIRA"/>
    <x v="0"/>
    <s v="660691079"/>
    <s v="4009039430"/>
    <s v="GEMKD"/>
    <s v="3"/>
    <x v="0"/>
    <d v="2023-07-05T00:00:00"/>
    <s v="5108654298"/>
    <d v="2023-07-10T00:00:00"/>
  </r>
  <r>
    <x v="0"/>
    <d v="2023-07-10T00:00:00"/>
    <x v="6"/>
    <s v="6658020"/>
    <s v="Var Lease (excl.GER)"/>
    <s v="MW09C20302"/>
    <s v="Pack Solids 1 KG"/>
    <n v="1780.38"/>
    <s v="LOC E MANUT DE TRANSPALETEIRA"/>
    <x v="0"/>
    <s v="660691079"/>
    <s v="4009039430"/>
    <s v="GEMKD"/>
    <s v="4"/>
    <x v="0"/>
    <d v="2023-07-05T00:00:00"/>
    <s v="5108654298"/>
    <d v="2023-07-10T00:00:00"/>
  </r>
  <r>
    <x v="0"/>
    <d v="2023-07-10T00:00:00"/>
    <x v="6"/>
    <s v="6658020"/>
    <s v="Var Lease (excl.GER)"/>
    <s v="MW09C20200"/>
    <s v="EC Form. Ins./Fung."/>
    <n v="1367.9"/>
    <s v="LOC E MANUT DE EMPILHADEIRA ELÉT PATOLA"/>
    <x v="0"/>
    <s v="660691078"/>
    <s v="4009039425"/>
    <s v="GEMKD"/>
    <s v="2"/>
    <x v="0"/>
    <d v="2023-07-05T00:00:00"/>
    <s v="5108654295"/>
    <d v="2023-07-10T00:00:00"/>
  </r>
  <r>
    <x v="0"/>
    <d v="2023-07-10T00:00:00"/>
    <x v="6"/>
    <s v="6658020"/>
    <s v="Var Lease (excl.GER)"/>
    <s v="MW09C20211"/>
    <s v="Ethrel Paste Form."/>
    <n v="1262.68"/>
    <s v="LOC E MANUT DE EMPILHADEIRA ELÉT PATOLA"/>
    <x v="0"/>
    <s v="660691078"/>
    <s v="4009039425"/>
    <s v="GEMKD"/>
    <s v="3"/>
    <x v="0"/>
    <d v="2023-07-05T00:00:00"/>
    <s v="5108654295"/>
    <d v="2023-07-10T00:00:00"/>
  </r>
  <r>
    <x v="0"/>
    <d v="2023-07-10T00:00:00"/>
    <x v="6"/>
    <s v="6658020"/>
    <s v="Var Lease (excl.GER)"/>
    <s v="MW09C20302"/>
    <s v="Pack Solids 1 KG"/>
    <n v="1262.68"/>
    <s v="LOC E MANUT DE EMPILHADEIRA ELÉT PATOLA"/>
    <x v="0"/>
    <s v="660691078"/>
    <s v="4009039425"/>
    <s v="GEMKD"/>
    <s v="4"/>
    <x v="0"/>
    <d v="2023-07-05T00:00:00"/>
    <s v="5108654295"/>
    <d v="2023-07-10T00:00:00"/>
  </r>
  <r>
    <x v="0"/>
    <d v="2023-07-28T00:00:00"/>
    <x v="6"/>
    <s v="6658020"/>
    <s v="Var Lease (excl.GER)"/>
    <s v="MW09C20208"/>
    <s v="SC Form. Ins./Fung."/>
    <n v="1200"/>
    <s v="Valor Var Lease (excl GER) ref  Docto Nr  15343"/>
    <x v="0"/>
    <s v="660693091"/>
    <s v="4009059495"/>
    <s v="GEMKD"/>
    <s v="1"/>
    <x v="0"/>
    <d v="2023-07-20T00:00:00"/>
    <s v="5108707979"/>
    <d v="2023-07-28T00:00:00"/>
  </r>
  <r>
    <x v="0"/>
    <d v="2023-07-28T00:00:00"/>
    <x v="6"/>
    <s v="6658020"/>
    <s v="Var Lease (excl.GER)"/>
    <s v="MW09C20208"/>
    <s v="SC Form. Ins./Fung."/>
    <n v="770"/>
    <s v="Valor Var Lease (excl GER) ref  Docto Nr  15339"/>
    <x v="0"/>
    <s v="660687297"/>
    <s v="4009059496"/>
    <s v="GEMKD"/>
    <s v="1"/>
    <x v="0"/>
    <d v="2023-07-20T00:00:00"/>
    <s v="5108707980"/>
    <d v="2023-07-28T00:00:00"/>
  </r>
  <r>
    <x v="0"/>
    <d v="2023-07-28T00:00:00"/>
    <x v="6"/>
    <s v="6658020"/>
    <s v="Var Lease (excl.GER)"/>
    <s v="MW09C20208"/>
    <s v="SC Form. Ins./Fung."/>
    <n v="320"/>
    <s v="Valor Var Lease (excl GER) ref  Docto Nr  15342"/>
    <x v="0"/>
    <s v="660693105"/>
    <s v="4009059493"/>
    <s v="GEMKD"/>
    <s v="1"/>
    <x v="0"/>
    <d v="2023-07-20T00:00:00"/>
    <s v="5108707977"/>
    <d v="2023-07-28T00:00:00"/>
  </r>
  <r>
    <x v="0"/>
    <d v="2023-07-28T00:00:00"/>
    <x v="6"/>
    <s v="6420000"/>
    <s v="Transports"/>
    <s v="MW09C20011"/>
    <s v="Site logistics"/>
    <n v="315"/>
    <s v="Valor Transports ref  Docto Nr  15340"/>
    <x v="0"/>
    <s v="660687342"/>
    <s v="4009059481"/>
    <s v="GEMKD"/>
    <s v="1"/>
    <x v="0"/>
    <d v="2023-07-20T00:00:00"/>
    <s v="5108707952"/>
    <d v="2023-07-28T00:00:00"/>
  </r>
  <r>
    <x v="0"/>
    <d v="2023-07-28T00:00:00"/>
    <x v="6"/>
    <s v="6658020"/>
    <s v="Var Lease (excl.GER)"/>
    <s v="MW09C20208"/>
    <s v="SC Form. Ins./Fung."/>
    <n v="78"/>
    <s v="Valor Var Lease (excl GER) ref  Docto Nr  15341"/>
    <x v="0"/>
    <s v="660693104"/>
    <s v="4009059485"/>
    <s v="GEMKD"/>
    <s v="1"/>
    <x v="0"/>
    <d v="2023-07-20T00:00:00"/>
    <s v="5108707954"/>
    <d v="2023-07-28T00:00:00"/>
  </r>
  <r>
    <x v="0"/>
    <d v="2023-08-07T00:00:00"/>
    <x v="7"/>
    <s v="6658020"/>
    <s v="Var Lease (excl.GER)"/>
    <s v="MW09C20208"/>
    <s v="SC Form. Ins./Fung."/>
    <n v="36828.26"/>
    <s v="LOC E MANUT DE EMPIL ELÉT PAT ABER"/>
    <x v="0"/>
    <s v="660703648"/>
    <s v="4009069946"/>
    <s v="GEMKD"/>
    <s v="1"/>
    <x v="0"/>
    <d v="2023-08-02T00:00:00"/>
    <s v="5108732697"/>
    <d v="2023-08-07T00:00:00"/>
  </r>
  <r>
    <x v="0"/>
    <d v="2023-08-07T00:00:00"/>
    <x v="7"/>
    <s v="6658020"/>
    <s v="Var Lease (excl.GER)"/>
    <s v="MW09C20208"/>
    <s v="SC Form. Ins./Fung."/>
    <n v="9346.99"/>
    <s v="LOC E MANUT DE TRANSPALETEIRA"/>
    <x v="0"/>
    <s v="660703647"/>
    <s v="4009069950"/>
    <s v="GEMKD"/>
    <s v="1"/>
    <x v="0"/>
    <d v="2023-08-02T00:00:00"/>
    <s v="5108732739"/>
    <d v="2023-08-07T00:00:00"/>
  </r>
  <r>
    <x v="0"/>
    <d v="2023-08-07T00:00:00"/>
    <x v="7"/>
    <s v="6658020"/>
    <s v="Var Lease (excl.GER)"/>
    <s v="MW09C20200"/>
    <s v="EC Form. Ins./Fung."/>
    <n v="7599.48"/>
    <s v="LOC E MANUT DE EMPIL ELÉT PAT ABER"/>
    <x v="0"/>
    <s v="660703648"/>
    <s v="4009069946"/>
    <s v="GEMKD"/>
    <s v="2"/>
    <x v="0"/>
    <d v="2023-08-02T00:00:00"/>
    <s v="5108732697"/>
    <d v="2023-08-07T00:00:00"/>
  </r>
  <r>
    <x v="0"/>
    <d v="2023-08-07T00:00:00"/>
    <x v="7"/>
    <s v="6658020"/>
    <s v="Var Lease (excl.GER)"/>
    <s v="MW09C20211"/>
    <s v="Ethrel Paste Form."/>
    <n v="7014.9"/>
    <s v="LOC E MANUT DE EMPIL ELÉT PAT ABER"/>
    <x v="0"/>
    <s v="660703648"/>
    <s v="4009069946"/>
    <s v="GEMKD"/>
    <s v="3"/>
    <x v="0"/>
    <d v="2023-08-02T00:00:00"/>
    <s v="5108732697"/>
    <d v="2023-08-07T00:00:00"/>
  </r>
  <r>
    <x v="0"/>
    <d v="2023-08-07T00:00:00"/>
    <x v="7"/>
    <s v="6658020"/>
    <s v="Var Lease (excl.GER)"/>
    <s v="MW09C20302"/>
    <s v="Pack Solids 1 KG"/>
    <n v="7014.9"/>
    <s v="LOC E MANUT DE EMPIL ELÉT PAT ABER"/>
    <x v="0"/>
    <s v="660703648"/>
    <s v="4009069946"/>
    <s v="GEMKD"/>
    <s v="4"/>
    <x v="0"/>
    <d v="2023-08-02T00:00:00"/>
    <s v="5108732697"/>
    <d v="2023-08-07T00:00:00"/>
  </r>
  <r>
    <x v="0"/>
    <d v="2023-08-07T00:00:00"/>
    <x v="7"/>
    <s v="6658020"/>
    <s v="Var Lease (excl.GER)"/>
    <s v="MW09C20208"/>
    <s v="SC Form. Ins./Fung."/>
    <n v="6629.08"/>
    <s v="LOC E MANUT DE EMPILHADEIRA ELÉT PATOLA"/>
    <x v="0"/>
    <s v="660703355"/>
    <s v="4009069948"/>
    <s v="GEMKD"/>
    <s v="1"/>
    <x v="0"/>
    <d v="2023-08-02T00:00:00"/>
    <s v="5108732703"/>
    <d v="2023-08-07T00:00:00"/>
  </r>
  <r>
    <x v="0"/>
    <d v="2023-08-07T00:00:00"/>
    <x v="7"/>
    <s v="6658020"/>
    <s v="Var Lease (excl.GER)"/>
    <s v="MW09C20100"/>
    <s v="Quality Control"/>
    <n v="3297"/>
    <s v="LOC E MANUT DE TRANSPALETEIRA"/>
    <x v="0"/>
    <s v="660703357"/>
    <s v="4009069949"/>
    <s v="GEMKD"/>
    <s v="1"/>
    <x v="0"/>
    <d v="2023-08-02T00:00:00"/>
    <s v="5108732706"/>
    <d v="2023-08-07T00:00:00"/>
  </r>
  <r>
    <x v="0"/>
    <d v="2023-08-07T00:00:00"/>
    <x v="7"/>
    <s v="6658020"/>
    <s v="Var Lease (excl.GER)"/>
    <s v="MW09C20200"/>
    <s v="EC Form. Ins./Fung."/>
    <n v="1928.75"/>
    <s v="LOC E MANUT DE TRANSPALETEIRA"/>
    <x v="0"/>
    <s v="660703647"/>
    <s v="4009069950"/>
    <s v="GEMKD"/>
    <s v="2"/>
    <x v="0"/>
    <d v="2023-08-02T00:00:00"/>
    <s v="5108732739"/>
    <d v="2023-08-07T00:00:00"/>
  </r>
  <r>
    <x v="0"/>
    <d v="2023-08-07T00:00:00"/>
    <x v="7"/>
    <s v="6658020"/>
    <s v="Var Lease (excl.GER)"/>
    <s v="MW09C20211"/>
    <s v="Ethrel Paste Form."/>
    <n v="1780.38"/>
    <s v="LOC E MANUT DE TRANSPALETEIRA"/>
    <x v="0"/>
    <s v="660703647"/>
    <s v="4009069950"/>
    <s v="GEMKD"/>
    <s v="3"/>
    <x v="0"/>
    <d v="2023-08-02T00:00:00"/>
    <s v="5108732739"/>
    <d v="2023-08-07T00:00:00"/>
  </r>
  <r>
    <x v="0"/>
    <d v="2023-08-07T00:00:00"/>
    <x v="7"/>
    <s v="6658020"/>
    <s v="Var Lease (excl.GER)"/>
    <s v="MW09C20302"/>
    <s v="Pack Solids 1 KG"/>
    <n v="1780.38"/>
    <s v="LOC E MANUT DE TRANSPALETEIRA"/>
    <x v="0"/>
    <s v="660703647"/>
    <s v="4009069950"/>
    <s v="GEMKD"/>
    <s v="4"/>
    <x v="0"/>
    <d v="2023-08-02T00:00:00"/>
    <s v="5108732739"/>
    <d v="2023-08-07T00:00:00"/>
  </r>
  <r>
    <x v="0"/>
    <d v="2023-08-07T00:00:00"/>
    <x v="7"/>
    <s v="6658020"/>
    <s v="Var Lease (excl.GER)"/>
    <s v="MW09C20200"/>
    <s v="EC Form. Ins./Fung."/>
    <n v="1367.9"/>
    <s v="LOC E MANUT DE EMPILHADEIRA ELÉT PATOLA"/>
    <x v="0"/>
    <s v="660703355"/>
    <s v="4009069948"/>
    <s v="GEMKD"/>
    <s v="2"/>
    <x v="0"/>
    <d v="2023-08-02T00:00:00"/>
    <s v="5108732703"/>
    <d v="2023-08-07T00:00:00"/>
  </r>
  <r>
    <x v="0"/>
    <d v="2023-08-07T00:00:00"/>
    <x v="7"/>
    <s v="6658020"/>
    <s v="Var Lease (excl.GER)"/>
    <s v="MW09C20211"/>
    <s v="Ethrel Paste Form."/>
    <n v="1262.68"/>
    <s v="LOC E MANUT DE EMPILHADEIRA ELÉT PATOLA"/>
    <x v="0"/>
    <s v="660703355"/>
    <s v="4009069948"/>
    <s v="GEMKD"/>
    <s v="3"/>
    <x v="0"/>
    <d v="2023-08-02T00:00:00"/>
    <s v="5108732703"/>
    <d v="2023-08-07T00:00:00"/>
  </r>
  <r>
    <x v="0"/>
    <d v="2023-08-07T00:00:00"/>
    <x v="7"/>
    <s v="6658020"/>
    <s v="Var Lease (excl.GER)"/>
    <s v="MW09C20302"/>
    <s v="Pack Solids 1 KG"/>
    <n v="1262.68"/>
    <s v="LOC E MANUT DE EMPILHADEIRA ELÉT PATOLA"/>
    <x v="0"/>
    <s v="660703355"/>
    <s v="4009069948"/>
    <s v="GEMKD"/>
    <s v="4"/>
    <x v="0"/>
    <d v="2023-08-02T00:00:00"/>
    <s v="5108732703"/>
    <d v="2023-08-07T00:00:00"/>
  </r>
  <r>
    <x v="0"/>
    <d v="2023-09-06T00:00:00"/>
    <x v="8"/>
    <s v="6658020"/>
    <s v="Var Lease (excl.GER)"/>
    <s v="MW09C20208"/>
    <s v="SC Form. Ins./Fung."/>
    <n v="36828.26"/>
    <s v="LOC E MANUT DE EMPIL ELÉT PAT ABER"/>
    <x v="0"/>
    <s v="660717911"/>
    <s v="4009107091"/>
    <s v="GEMKD"/>
    <s v="1"/>
    <x v="0"/>
    <d v="2023-09-04T00:00:00"/>
    <s v="5108818960"/>
    <d v="2023-09-06T00:00:00"/>
  </r>
  <r>
    <x v="0"/>
    <d v="2023-09-06T00:00:00"/>
    <x v="8"/>
    <s v="6658020"/>
    <s v="Var Lease (excl.GER)"/>
    <s v="MW09C20208"/>
    <s v="SC Form. Ins./Fung."/>
    <n v="9346.99"/>
    <s v="LOC E MANUT DE TRANSPALETEIRA"/>
    <x v="0"/>
    <s v="660717910"/>
    <s v="4009107093"/>
    <s v="GEMKD"/>
    <s v="1"/>
    <x v="0"/>
    <d v="2023-09-04T00:00:00"/>
    <s v="5108818998"/>
    <d v="2023-09-06T00:00:00"/>
  </r>
  <r>
    <x v="0"/>
    <d v="2023-09-06T00:00:00"/>
    <x v="8"/>
    <s v="6658020"/>
    <s v="Var Lease (excl.GER)"/>
    <s v="MW09C20200"/>
    <s v="EC Form. Ins./Fung."/>
    <n v="7599.48"/>
    <s v="LOC E MANUT DE EMPIL ELÉT PAT ABER"/>
    <x v="0"/>
    <s v="660717911"/>
    <s v="4009107091"/>
    <s v="GEMKD"/>
    <s v="2"/>
    <x v="0"/>
    <d v="2023-09-04T00:00:00"/>
    <s v="5108818960"/>
    <d v="2023-09-06T00:00:00"/>
  </r>
  <r>
    <x v="0"/>
    <d v="2023-09-06T00:00:00"/>
    <x v="8"/>
    <s v="6658020"/>
    <s v="Var Lease (excl.GER)"/>
    <s v="MW09C20211"/>
    <s v="Ethrel Paste Form."/>
    <n v="7014.9"/>
    <s v="LOC E MANUT DE EMPIL ELÉT PAT ABER"/>
    <x v="0"/>
    <s v="660717911"/>
    <s v="4009107091"/>
    <s v="GEMKD"/>
    <s v="3"/>
    <x v="0"/>
    <d v="2023-09-04T00:00:00"/>
    <s v="5108818960"/>
    <d v="2023-09-06T00:00:00"/>
  </r>
  <r>
    <x v="0"/>
    <d v="2023-09-06T00:00:00"/>
    <x v="8"/>
    <s v="6658020"/>
    <s v="Var Lease (excl.GER)"/>
    <s v="MW09C20302"/>
    <s v="Pack Solids 1 KG"/>
    <n v="7014.9"/>
    <s v="LOC E MANUT DE EMPIL ELÉT PAT ABER"/>
    <x v="0"/>
    <s v="660717911"/>
    <s v="4009107091"/>
    <s v="GEMKD"/>
    <s v="4"/>
    <x v="0"/>
    <d v="2023-09-04T00:00:00"/>
    <s v="5108818960"/>
    <d v="2023-09-06T00:00:00"/>
  </r>
  <r>
    <x v="0"/>
    <d v="2023-09-06T00:00:00"/>
    <x v="8"/>
    <s v="6658020"/>
    <s v="Var Lease (excl.GER)"/>
    <s v="MW09C20208"/>
    <s v="SC Form. Ins./Fung."/>
    <n v="6629.08"/>
    <s v="LOC E MANUT DE EMPILHADEIRA ELÉT PATOLA"/>
    <x v="0"/>
    <s v="660717919"/>
    <s v="4009107092"/>
    <s v="GEMKD"/>
    <s v="1"/>
    <x v="0"/>
    <d v="2023-09-04T00:00:00"/>
    <s v="5108818964"/>
    <d v="2023-09-06T00:00:00"/>
  </r>
  <r>
    <x v="0"/>
    <d v="2023-09-06T00:00:00"/>
    <x v="8"/>
    <s v="6658020"/>
    <s v="Var Lease (excl.GER)"/>
    <s v="MW09C20100"/>
    <s v="Quality Control"/>
    <n v="3297"/>
    <s v="LOC E MANUT DE TRANSPALETEIRA"/>
    <x v="0"/>
    <s v="660717922"/>
    <s v="4009107094"/>
    <s v="GEMKD"/>
    <s v="1"/>
    <x v="0"/>
    <d v="2023-09-04T00:00:00"/>
    <s v="5108819000"/>
    <d v="2023-09-06T00:00:00"/>
  </r>
  <r>
    <x v="0"/>
    <d v="2023-09-06T00:00:00"/>
    <x v="8"/>
    <s v="6658020"/>
    <s v="Var Lease (excl.GER)"/>
    <s v="MW09C20200"/>
    <s v="EC Form. Ins./Fung."/>
    <n v="1928.75"/>
    <s v="LOC E MANUT DE TRANSPALETEIRA"/>
    <x v="0"/>
    <s v="660717910"/>
    <s v="4009107093"/>
    <s v="GEMKD"/>
    <s v="2"/>
    <x v="0"/>
    <d v="2023-09-04T00:00:00"/>
    <s v="5108818998"/>
    <d v="2023-09-06T00:00:00"/>
  </r>
  <r>
    <x v="0"/>
    <d v="2023-09-06T00:00:00"/>
    <x v="8"/>
    <s v="6658020"/>
    <s v="Var Lease (excl.GER)"/>
    <s v="MW09C20211"/>
    <s v="Ethrel Paste Form."/>
    <n v="1780.38"/>
    <s v="LOC E MANUT DE TRANSPALETEIRA"/>
    <x v="0"/>
    <s v="660717910"/>
    <s v="4009107093"/>
    <s v="GEMKD"/>
    <s v="3"/>
    <x v="0"/>
    <d v="2023-09-04T00:00:00"/>
    <s v="5108818998"/>
    <d v="2023-09-06T00:00:00"/>
  </r>
  <r>
    <x v="0"/>
    <d v="2023-09-06T00:00:00"/>
    <x v="8"/>
    <s v="6658020"/>
    <s v="Var Lease (excl.GER)"/>
    <s v="MW09C20302"/>
    <s v="Pack Solids 1 KG"/>
    <n v="1780.38"/>
    <s v="LOC E MANUT DE TRANSPALETEIRA"/>
    <x v="0"/>
    <s v="660717910"/>
    <s v="4009107093"/>
    <s v="GEMKD"/>
    <s v="4"/>
    <x v="0"/>
    <d v="2023-09-04T00:00:00"/>
    <s v="5108818998"/>
    <d v="2023-09-06T00:00:00"/>
  </r>
  <r>
    <x v="0"/>
    <d v="2023-09-06T00:00:00"/>
    <x v="8"/>
    <s v="6658020"/>
    <s v="Var Lease (excl.GER)"/>
    <s v="MW09C20200"/>
    <s v="EC Form. Ins./Fung."/>
    <n v="1367.9"/>
    <s v="LOC E MANUT DE EMPILHADEIRA ELÉT PATOLA"/>
    <x v="0"/>
    <s v="660717919"/>
    <s v="4009107092"/>
    <s v="GEMKD"/>
    <s v="2"/>
    <x v="0"/>
    <d v="2023-09-04T00:00:00"/>
    <s v="5108818964"/>
    <d v="2023-09-06T00:00:00"/>
  </r>
  <r>
    <x v="0"/>
    <d v="2023-09-06T00:00:00"/>
    <x v="8"/>
    <s v="6658020"/>
    <s v="Var Lease (excl.GER)"/>
    <s v="MW09C20211"/>
    <s v="Ethrel Paste Form."/>
    <n v="1262.68"/>
    <s v="LOC E MANUT DE EMPILHADEIRA ELÉT PATOLA"/>
    <x v="0"/>
    <s v="660717919"/>
    <s v="4009107092"/>
    <s v="GEMKD"/>
    <s v="3"/>
    <x v="0"/>
    <d v="2023-09-04T00:00:00"/>
    <s v="5108818964"/>
    <d v="2023-09-06T00:00:00"/>
  </r>
  <r>
    <x v="0"/>
    <d v="2023-09-06T00:00:00"/>
    <x v="8"/>
    <s v="6658020"/>
    <s v="Var Lease (excl.GER)"/>
    <s v="MW09C20302"/>
    <s v="Pack Solids 1 KG"/>
    <n v="1262.68"/>
    <s v="LOC E MANUT DE EMPILHADEIRA ELÉT PATOLA"/>
    <x v="0"/>
    <s v="660717919"/>
    <s v="4009107092"/>
    <s v="GEMKD"/>
    <s v="4"/>
    <x v="0"/>
    <d v="2023-09-04T00:00:00"/>
    <s v="5108818964"/>
    <d v="2023-09-06T00:00:00"/>
  </r>
  <r>
    <x v="0"/>
    <d v="2023-10-09T00:00:00"/>
    <x v="9"/>
    <s v="6658020"/>
    <s v="Var Lease (excl.GER)"/>
    <s v="MW09C20208"/>
    <s v="SC Form. Ins./Fung."/>
    <n v="36828.26"/>
    <s v="LOC E MANUT DE EMPIL ELÉT PAT ABER"/>
    <x v="0"/>
    <s v="660731585"/>
    <s v="4009146669"/>
    <s v="GEMKD"/>
    <s v="1"/>
    <x v="0"/>
    <d v="2023-10-04T00:00:00"/>
    <s v="5108939782"/>
    <d v="2023-10-09T00:00:00"/>
  </r>
  <r>
    <x v="0"/>
    <d v="2023-10-09T00:00:00"/>
    <x v="9"/>
    <s v="6658020"/>
    <s v="Var Lease (excl.GER)"/>
    <s v="MW09C20208"/>
    <s v="SC Form. Ins./Fung."/>
    <n v="9346.99"/>
    <s v="LOC E MANUT DE TRANSPALETEIRA"/>
    <x v="0"/>
    <s v="660731563"/>
    <s v="4009146667"/>
    <s v="GEMKD"/>
    <s v="1"/>
    <x v="0"/>
    <d v="2023-10-04T00:00:00"/>
    <s v="5108939780"/>
    <d v="2023-10-09T00:00:00"/>
  </r>
  <r>
    <x v="0"/>
    <d v="2023-10-09T00:00:00"/>
    <x v="9"/>
    <s v="6658020"/>
    <s v="Var Lease (excl.GER)"/>
    <s v="MW09C20200"/>
    <s v="EC Form. Ins./Fung."/>
    <n v="7599.48"/>
    <s v="LOC E MANUT DE EMPIL ELÉT PAT ABER"/>
    <x v="0"/>
    <s v="660731585"/>
    <s v="4009146669"/>
    <s v="GEMKD"/>
    <s v="2"/>
    <x v="0"/>
    <d v="2023-10-04T00:00:00"/>
    <s v="5108939782"/>
    <d v="2023-10-09T00:00:00"/>
  </r>
  <r>
    <x v="0"/>
    <d v="2023-10-09T00:00:00"/>
    <x v="9"/>
    <s v="6658020"/>
    <s v="Var Lease (excl.GER)"/>
    <s v="MW09C20211"/>
    <s v="Ethrel Paste Form."/>
    <n v="7014.9"/>
    <s v="LOC E MANUT DE EMPIL ELÉT PAT ABER"/>
    <x v="0"/>
    <s v="660731585"/>
    <s v="4009146669"/>
    <s v="GEMKD"/>
    <s v="3"/>
    <x v="0"/>
    <d v="2023-10-04T00:00:00"/>
    <s v="5108939782"/>
    <d v="2023-10-09T00:00:00"/>
  </r>
  <r>
    <x v="0"/>
    <d v="2023-10-09T00:00:00"/>
    <x v="9"/>
    <s v="6658020"/>
    <s v="Var Lease (excl.GER)"/>
    <s v="MW09C20302"/>
    <s v="Pack Solids 1 KG"/>
    <n v="7014.9"/>
    <s v="LOC E MANUT DE EMPIL ELÉT PAT ABER"/>
    <x v="0"/>
    <s v="660731585"/>
    <s v="4009146669"/>
    <s v="GEMKD"/>
    <s v="4"/>
    <x v="0"/>
    <d v="2023-10-04T00:00:00"/>
    <s v="5108939782"/>
    <d v="2023-10-09T00:00:00"/>
  </r>
  <r>
    <x v="0"/>
    <d v="2023-10-09T00:00:00"/>
    <x v="9"/>
    <s v="6658020"/>
    <s v="Var Lease (excl.GER)"/>
    <s v="MW09C20208"/>
    <s v="SC Form. Ins./Fung."/>
    <n v="6629.08"/>
    <s v="LOC E MANUT DE EMPILHADEIRA ELÉT PATOLA"/>
    <x v="0"/>
    <s v="660731558"/>
    <s v="4009146683"/>
    <s v="GEMKD"/>
    <s v="1"/>
    <x v="0"/>
    <d v="2023-10-04T00:00:00"/>
    <s v="5108939786"/>
    <d v="2023-10-09T00:00:00"/>
  </r>
  <r>
    <x v="0"/>
    <d v="2023-10-09T00:00:00"/>
    <x v="9"/>
    <s v="6658020"/>
    <s v="Var Lease (excl.GER)"/>
    <s v="MW09C20100"/>
    <s v="Quality Control"/>
    <n v="3297"/>
    <s v="LOC E MANUT DE TRANSPALETEIRA"/>
    <x v="0"/>
    <s v="660731559"/>
    <s v="4009146678"/>
    <s v="GEMKD"/>
    <s v="1"/>
    <x v="0"/>
    <d v="2023-10-04T00:00:00"/>
    <s v="5108939785"/>
    <d v="2023-10-09T00:00:00"/>
  </r>
  <r>
    <x v="0"/>
    <d v="2023-10-09T00:00:00"/>
    <x v="9"/>
    <s v="6658020"/>
    <s v="Var Lease (excl.GER)"/>
    <s v="MW09C20200"/>
    <s v="EC Form. Ins./Fung."/>
    <n v="1928.75"/>
    <s v="LOC E MANUT DE TRANSPALETEIRA"/>
    <x v="0"/>
    <s v="660731563"/>
    <s v="4009146667"/>
    <s v="GEMKD"/>
    <s v="2"/>
    <x v="0"/>
    <d v="2023-10-04T00:00:00"/>
    <s v="5108939780"/>
    <d v="2023-10-09T00:00:00"/>
  </r>
  <r>
    <x v="0"/>
    <d v="2023-10-09T00:00:00"/>
    <x v="9"/>
    <s v="6658020"/>
    <s v="Var Lease (excl.GER)"/>
    <s v="MW09C20211"/>
    <s v="Ethrel Paste Form."/>
    <n v="1780.38"/>
    <s v="LOC E MANUT DE TRANSPALETEIRA"/>
    <x v="0"/>
    <s v="660731563"/>
    <s v="4009146667"/>
    <s v="GEMKD"/>
    <s v="3"/>
    <x v="0"/>
    <d v="2023-10-04T00:00:00"/>
    <s v="5108939780"/>
    <d v="2023-10-09T00:00:00"/>
  </r>
  <r>
    <x v="0"/>
    <d v="2023-10-09T00:00:00"/>
    <x v="9"/>
    <s v="6658020"/>
    <s v="Var Lease (excl.GER)"/>
    <s v="MW09C20302"/>
    <s v="Pack Solids 1 KG"/>
    <n v="1780.38"/>
    <s v="LOC E MANUT DE TRANSPALETEIRA"/>
    <x v="0"/>
    <s v="660731563"/>
    <s v="4009146667"/>
    <s v="GEMKD"/>
    <s v="4"/>
    <x v="0"/>
    <d v="2023-10-04T00:00:00"/>
    <s v="5108939780"/>
    <d v="2023-10-09T00:00:00"/>
  </r>
  <r>
    <x v="0"/>
    <d v="2023-10-09T00:00:00"/>
    <x v="9"/>
    <s v="6658020"/>
    <s v="Var Lease (excl.GER)"/>
    <s v="MW09C20200"/>
    <s v="EC Form. Ins./Fung."/>
    <n v="1367.9"/>
    <s v="LOC E MANUT DE EMPILHADEIRA ELÉT PATOLA"/>
    <x v="0"/>
    <s v="660731558"/>
    <s v="4009146683"/>
    <s v="GEMKD"/>
    <s v="2"/>
    <x v="0"/>
    <d v="2023-10-04T00:00:00"/>
    <s v="5108939786"/>
    <d v="2023-10-09T00:00:00"/>
  </r>
  <r>
    <x v="0"/>
    <d v="2023-10-09T00:00:00"/>
    <x v="9"/>
    <s v="6658020"/>
    <s v="Var Lease (excl.GER)"/>
    <s v="MW09C20211"/>
    <s v="Ethrel Paste Form."/>
    <n v="1262.68"/>
    <s v="LOC E MANUT DE EMPILHADEIRA ELÉT PATOLA"/>
    <x v="0"/>
    <s v="660731558"/>
    <s v="4009146683"/>
    <s v="GEMKD"/>
    <s v="3"/>
    <x v="0"/>
    <d v="2023-10-04T00:00:00"/>
    <s v="5108939786"/>
    <d v="2023-10-09T00:00:00"/>
  </r>
  <r>
    <x v="0"/>
    <d v="2023-10-09T00:00:00"/>
    <x v="9"/>
    <s v="6658020"/>
    <s v="Var Lease (excl.GER)"/>
    <s v="MW09C20302"/>
    <s v="Pack Solids 1 KG"/>
    <n v="1262.68"/>
    <s v="LOC E MANUT DE EMPILHADEIRA ELÉT PATOLA"/>
    <x v="0"/>
    <s v="660731558"/>
    <s v="4009146683"/>
    <s v="GEMKD"/>
    <s v="4"/>
    <x v="0"/>
    <d v="2023-10-04T00:00:00"/>
    <s v="5108939786"/>
    <d v="2023-10-09T00:00:00"/>
  </r>
  <r>
    <x v="0"/>
    <d v="2023-11-13T00:00:00"/>
    <x v="10"/>
    <s v="6658020"/>
    <s v="Var Lease (excl.GER)"/>
    <s v="MW09C20208"/>
    <s v="SC Form. Ins./Fung."/>
    <n v="36828.26"/>
    <s v="LOC E MANUT DE EMPIL ELÉT PAT ABER"/>
    <x v="0"/>
    <s v="660747022"/>
    <s v="4009189000"/>
    <s v="GEMKD"/>
    <s v="1"/>
    <x v="0"/>
    <n v="45236"/>
    <s v="5109067802"/>
    <d v="2023-11-13T00:00:00"/>
  </r>
  <r>
    <x v="0"/>
    <d v="2023-11-13T00:00:00"/>
    <x v="10"/>
    <s v="6658020"/>
    <s v="Var Lease (excl.GER)"/>
    <s v="MW09C20208"/>
    <s v="SC Form. Ins./Fung."/>
    <n v="9346.99"/>
    <s v="LOC E MANUT DE TRANSPALETEIRA"/>
    <x v="0"/>
    <s v="660747038"/>
    <s v="4009189001"/>
    <s v="GEMKD"/>
    <s v="1"/>
    <x v="0"/>
    <n v="45236"/>
    <s v="5109067804"/>
    <d v="2023-11-13T00:00:00"/>
  </r>
  <r>
    <x v="0"/>
    <d v="2023-11-13T00:00:00"/>
    <x v="10"/>
    <s v="6658020"/>
    <s v="Var Lease (excl.GER)"/>
    <s v="MW09C20200"/>
    <s v="EC Form. Ins./Fung."/>
    <n v="7599.48"/>
    <s v="LOC E MANUT DE EMPIL ELÉT PAT ABER"/>
    <x v="0"/>
    <s v="660747022"/>
    <s v="4009189000"/>
    <s v="GEMKD"/>
    <s v="2"/>
    <x v="0"/>
    <n v="45236"/>
    <s v="5109067802"/>
    <d v="2023-11-13T00:00:00"/>
  </r>
  <r>
    <x v="0"/>
    <d v="2023-11-13T00:00:00"/>
    <x v="10"/>
    <s v="6658020"/>
    <s v="Var Lease (excl.GER)"/>
    <s v="MW09C20211"/>
    <s v="Ethrel Paste Form."/>
    <n v="7014.9"/>
    <s v="LOC E MANUT DE EMPIL ELÉT PAT ABER"/>
    <x v="0"/>
    <s v="660747022"/>
    <s v="4009189000"/>
    <s v="GEMKD"/>
    <s v="3"/>
    <x v="0"/>
    <n v="45236"/>
    <s v="5109067802"/>
    <d v="2023-11-13T00:00:00"/>
  </r>
  <r>
    <x v="0"/>
    <d v="2023-11-13T00:00:00"/>
    <x v="10"/>
    <s v="6658020"/>
    <s v="Var Lease (excl.GER)"/>
    <s v="MW09C20302"/>
    <s v="Pack Solids 1 KG"/>
    <n v="7014.9"/>
    <s v="LOC E MANUT DE EMPIL ELÉT PAT ABER"/>
    <x v="0"/>
    <s v="660747022"/>
    <s v="4009189000"/>
    <s v="GEMKD"/>
    <s v="4"/>
    <x v="0"/>
    <n v="45236"/>
    <s v="5109067802"/>
    <d v="2023-11-13T00:00:00"/>
  </r>
  <r>
    <x v="0"/>
    <d v="2023-11-13T00:00:00"/>
    <x v="10"/>
    <s v="6658020"/>
    <s v="Var Lease (excl.GER)"/>
    <s v="MW09C20208"/>
    <s v="SC Form. Ins./Fung."/>
    <n v="6629.08"/>
    <s v="LOC E MANUT DE EMPILHADEIRA ELÉT PATOLA"/>
    <x v="0"/>
    <s v="660747021"/>
    <s v="4009189002"/>
    <s v="GEMKD"/>
    <s v="1"/>
    <x v="0"/>
    <n v="45236"/>
    <s v="5109067806"/>
    <d v="2023-11-13T00:00:00"/>
  </r>
  <r>
    <x v="0"/>
    <d v="2023-11-13T00:00:00"/>
    <x v="10"/>
    <s v="6658020"/>
    <s v="Var Lease (excl.GER)"/>
    <s v="MW09C20100"/>
    <s v="Quality Control"/>
    <n v="3297"/>
    <s v="LOC E MANUT DE TRANSPALETEIRA"/>
    <x v="0"/>
    <s v="660747015"/>
    <s v="4009189003"/>
    <s v="GEMKD"/>
    <s v="1"/>
    <x v="0"/>
    <n v="45236"/>
    <s v="5109067827"/>
    <d v="2023-11-13T00:00:00"/>
  </r>
  <r>
    <x v="0"/>
    <d v="2023-11-13T00:00:00"/>
    <x v="10"/>
    <s v="6658020"/>
    <s v="Var Lease (excl.GER)"/>
    <s v="MW09C20200"/>
    <s v="EC Form. Ins./Fung."/>
    <n v="1928.75"/>
    <s v="LOC E MANUT DE TRANSPALETEIRA"/>
    <x v="0"/>
    <s v="660747038"/>
    <s v="4009189001"/>
    <s v="GEMKD"/>
    <s v="2"/>
    <x v="0"/>
    <n v="45236"/>
    <s v="5109067804"/>
    <d v="2023-11-13T00:00:00"/>
  </r>
  <r>
    <x v="0"/>
    <d v="2023-11-13T00:00:00"/>
    <x v="10"/>
    <s v="6658020"/>
    <s v="Var Lease (excl.GER)"/>
    <s v="MW09C20211"/>
    <s v="Ethrel Paste Form."/>
    <n v="1780.38"/>
    <s v="LOC E MANUT DE TRANSPALETEIRA"/>
    <x v="0"/>
    <s v="660747038"/>
    <s v="4009189001"/>
    <s v="GEMKD"/>
    <s v="3"/>
    <x v="0"/>
    <n v="45236"/>
    <s v="5109067804"/>
    <d v="2023-11-13T00:00:00"/>
  </r>
  <r>
    <x v="0"/>
    <d v="2023-11-13T00:00:00"/>
    <x v="10"/>
    <s v="6658020"/>
    <s v="Var Lease (excl.GER)"/>
    <s v="MW09C20302"/>
    <s v="Pack Solids 1 KG"/>
    <n v="1780.38"/>
    <s v="LOC E MANUT DE TRANSPALETEIRA"/>
    <x v="0"/>
    <s v="660747038"/>
    <s v="4009189001"/>
    <s v="GEMKD"/>
    <s v="4"/>
    <x v="0"/>
    <n v="45236"/>
    <s v="5109067804"/>
    <d v="2023-11-13T00:00:00"/>
  </r>
  <r>
    <x v="0"/>
    <d v="2023-11-13T00:00:00"/>
    <x v="10"/>
    <s v="6658020"/>
    <s v="Var Lease (excl.GER)"/>
    <s v="MW09C20200"/>
    <s v="EC Form. Ins./Fung."/>
    <n v="1367.9"/>
    <s v="LOC E MANUT DE EMPILHADEIRA ELÉT PATOLA"/>
    <x v="0"/>
    <s v="660747021"/>
    <s v="4009189002"/>
    <s v="GEMKD"/>
    <s v="2"/>
    <x v="0"/>
    <n v="45236"/>
    <s v="5109067806"/>
    <d v="2023-11-13T00:00:00"/>
  </r>
  <r>
    <x v="0"/>
    <d v="2023-11-13T00:00:00"/>
    <x v="10"/>
    <s v="6658020"/>
    <s v="Var Lease (excl.GER)"/>
    <s v="MW09C20211"/>
    <s v="Ethrel Paste Form."/>
    <n v="1262.68"/>
    <s v="LOC E MANUT DE EMPILHADEIRA ELÉT PATOLA"/>
    <x v="0"/>
    <s v="660747021"/>
    <s v="4009189002"/>
    <s v="GEMKD"/>
    <s v="3"/>
    <x v="0"/>
    <n v="45236"/>
    <s v="5109067806"/>
    <d v="2023-11-13T00:00:00"/>
  </r>
  <r>
    <x v="0"/>
    <d v="2023-11-13T00:00:00"/>
    <x v="10"/>
    <s v="6658020"/>
    <s v="Var Lease (excl.GER)"/>
    <s v="MW09C20302"/>
    <s v="Pack Solids 1 KG"/>
    <n v="1262.68"/>
    <s v="LOC E MANUT DE EMPILHADEIRA ELÉT PATOLA"/>
    <x v="0"/>
    <s v="660747021"/>
    <s v="4009189002"/>
    <s v="GEMKD"/>
    <s v="4"/>
    <x v="0"/>
    <n v="45236"/>
    <s v="5109067806"/>
    <d v="2023-11-13T00:00:00"/>
  </r>
  <r>
    <x v="0"/>
    <d v="2023-11-21T00:00:00"/>
    <x v="10"/>
    <s v="6658020"/>
    <s v="Var Lease (excl.GER)"/>
    <s v="MW09C20208"/>
    <s v="SC Form. Ins./Fung."/>
    <n v="320"/>
    <s v="Valor Var Lease (excl GER) ref  Docto Nr  15671"/>
    <x v="0"/>
    <s v="660742550"/>
    <s v="4009198772"/>
    <s v="GNEDA"/>
    <s v="1"/>
    <x v="0"/>
    <n v="45238"/>
    <s v="5109101976"/>
    <d v="2023-11-21T00:00:00"/>
  </r>
  <r>
    <x v="0"/>
    <d v="2023-11-21T00:00:00"/>
    <x v="10"/>
    <s v="6658020"/>
    <s v="Var Lease (excl.GER)"/>
    <s v="MW09C20208"/>
    <s v="SC Form. Ins./Fung."/>
    <n v="320"/>
    <s v="Valor Var Lease (excl GER) ref  Docto Nr  15671"/>
    <x v="0"/>
    <s v="660742550"/>
    <s v="4009198797"/>
    <s v="GNEDA"/>
    <s v="1"/>
    <x v="0"/>
    <n v="45238"/>
    <s v="5109101979"/>
    <d v="2023-11-21T00:00:00"/>
  </r>
  <r>
    <x v="0"/>
    <d v="2023-11-21T00:00:00"/>
    <x v="10"/>
    <s v="6658020"/>
    <s v="Var Lease (excl.GER)"/>
    <s v="MW09C20208"/>
    <s v="SC Form. Ins./Fung."/>
    <n v="-320"/>
    <s v="MANUT POR MAU USO"/>
    <x v="0"/>
    <s v="660742550"/>
    <s v="4009198780"/>
    <s v="GNEDA"/>
    <s v="1"/>
    <x v="0"/>
    <n v="45238"/>
    <s v="5109101978"/>
    <d v="2023-11-21T00:00:00"/>
  </r>
  <r>
    <x v="0"/>
    <d v="2023-11-22T00:00:00"/>
    <x v="10"/>
    <s v="6658020"/>
    <s v="Var Lease (excl.GER)"/>
    <s v="MW09C20208"/>
    <s v="SC Form. Ins./Fung."/>
    <n v="320"/>
    <s v="Valor Var Lease (excl GER) ref  Docto Nr  15678"/>
    <x v="0"/>
    <s v="660742533"/>
    <s v="4009200444"/>
    <s v="GEMKD"/>
    <s v="1"/>
    <x v="0"/>
    <n v="45239"/>
    <s v="5109105167"/>
    <d v="2023-11-22T00:00:00"/>
  </r>
  <r>
    <x v="0"/>
    <d v="2023-11-29T00:00:00"/>
    <x v="10"/>
    <s v="6658020"/>
    <s v="Var Lease (excl.GER)"/>
    <s v="MW09C20208"/>
    <s v="SC Form. Ins./Fung."/>
    <n v="1500"/>
    <s v="Valor Var Lease (excl GER) ref  Docto Nr  15693"/>
    <x v="0"/>
    <s v="660734853"/>
    <s v="4009208035"/>
    <s v="GNEDA"/>
    <s v="1"/>
    <x v="0"/>
    <n v="45240"/>
    <s v="5109125850"/>
    <d v="2023-11-29T00:00:00"/>
  </r>
  <r>
    <x v="0"/>
    <d v="2023-11-29T00:00:00"/>
    <x v="10"/>
    <s v="6658020"/>
    <s v="Var Lease (excl.GER)"/>
    <s v="MW09C20208"/>
    <s v="SC Form. Ins./Fung."/>
    <n v="1489"/>
    <s v="Valor Var Lease (excl GER) ref  Docto Nr  15692"/>
    <x v="0"/>
    <s v="660742520"/>
    <s v="4009208018"/>
    <s v="GNEDA"/>
    <s v="1"/>
    <x v="0"/>
    <n v="45240"/>
    <s v="5109125793"/>
    <d v="2023-11-29T00:00:00"/>
  </r>
  <r>
    <x v="0"/>
    <d v="2023-12-20T00:00:00"/>
    <x v="11"/>
    <s v="6658020"/>
    <s v="Var Lease (excl.GER)"/>
    <s v="MW09C20208"/>
    <s v="SC Form. Ins./Fung."/>
    <n v="10299.73"/>
    <s v="LOC E MANUT DE TRANSPALETEIRA"/>
    <x v="0"/>
    <s v="660764306"/>
    <s v="4009236443"/>
    <s v="EFXNJ"/>
    <s v="1"/>
    <x v="0"/>
    <d v="2023-12-13T00:00:00"/>
    <s v="5109211872"/>
    <d v="2023-12-20T00:00:00"/>
  </r>
  <r>
    <x v="0"/>
    <d v="2023-12-20T00:00:00"/>
    <x v="11"/>
    <s v="6658020"/>
    <s v="Var Lease (excl.GER)"/>
    <s v="MW09C20208"/>
    <s v="SC Form. Ins./Fung."/>
    <n v="7304.77"/>
    <s v="LOC E MANUT DE EMPILHADEIRA ELÉT PATOLA"/>
    <x v="0"/>
    <s v="660764311"/>
    <s v="4009236440"/>
    <s v="EFXNJ"/>
    <s v="1"/>
    <x v="0"/>
    <d v="2023-12-13T00:00:00"/>
    <s v="5109211871"/>
    <d v="2023-12-20T00:00:00"/>
  </r>
  <r>
    <x v="0"/>
    <d v="2023-12-20T00:00:00"/>
    <x v="11"/>
    <s v="6658020"/>
    <s v="Var Lease (excl.GER)"/>
    <s v="MW09C20100"/>
    <s v="Quality Control"/>
    <n v="3633.06"/>
    <s v="LOC E MANUT DE TRANSPALETEIRA"/>
    <x v="0"/>
    <s v="660764328"/>
    <s v="4009236446"/>
    <s v="EFXNJ"/>
    <s v="1"/>
    <x v="0"/>
    <d v="2023-12-13T00:00:00"/>
    <s v="5109211873"/>
    <d v="2023-12-20T00:00:00"/>
  </r>
  <r>
    <x v="0"/>
    <d v="2023-12-20T00:00:00"/>
    <x v="11"/>
    <s v="6658020"/>
    <s v="Var Lease (excl.GER)"/>
    <s v="MW09C20200"/>
    <s v="EC Form. Ins./Fung."/>
    <n v="2125.34"/>
    <s v="LOC E MANUT DE TRANSPALETEIRA"/>
    <x v="0"/>
    <s v="660764306"/>
    <s v="4009236443"/>
    <s v="EFXNJ"/>
    <s v="2"/>
    <x v="0"/>
    <d v="2023-12-13T00:00:00"/>
    <s v="5109211872"/>
    <d v="2023-12-20T00:00:00"/>
  </r>
  <r>
    <x v="0"/>
    <d v="2023-12-20T00:00:00"/>
    <x v="11"/>
    <s v="6658020"/>
    <s v="Var Lease (excl.GER)"/>
    <s v="MW09C20211"/>
    <s v="Ethrel Paste Form."/>
    <n v="1961.85"/>
    <s v="LOC E MANUT DE TRANSPALETEIRA"/>
    <x v="0"/>
    <s v="660764306"/>
    <s v="4009236443"/>
    <s v="EFXNJ"/>
    <s v="3"/>
    <x v="0"/>
    <d v="2023-12-13T00:00:00"/>
    <s v="5109211872"/>
    <d v="2023-12-20T00:00:00"/>
  </r>
  <r>
    <x v="0"/>
    <d v="2023-12-20T00:00:00"/>
    <x v="11"/>
    <s v="6658020"/>
    <s v="Var Lease (excl.GER)"/>
    <s v="MW09C20302"/>
    <s v="Pack Solids 1 KG"/>
    <n v="1961.85"/>
    <s v="LOC E MANUT DE TRANSPALETEIRA"/>
    <x v="0"/>
    <s v="660764306"/>
    <s v="4009236443"/>
    <s v="EFXNJ"/>
    <s v="4"/>
    <x v="0"/>
    <d v="2023-12-13T00:00:00"/>
    <s v="5109211872"/>
    <d v="2023-12-20T00:00:00"/>
  </r>
  <r>
    <x v="0"/>
    <d v="2023-12-20T00:00:00"/>
    <x v="11"/>
    <s v="6658020"/>
    <s v="Var Lease (excl.GER)"/>
    <s v="MW09C20200"/>
    <s v="EC Form. Ins./Fung."/>
    <n v="1507.33"/>
    <s v="LOC E MANUT DE EMPILHADEIRA ELÉT PATOLA"/>
    <x v="0"/>
    <s v="660764311"/>
    <s v="4009236440"/>
    <s v="EFXNJ"/>
    <s v="2"/>
    <x v="0"/>
    <d v="2023-12-13T00:00:00"/>
    <s v="5109211871"/>
    <d v="2023-12-20T00:00:00"/>
  </r>
  <r>
    <x v="0"/>
    <d v="2023-12-20T00:00:00"/>
    <x v="11"/>
    <s v="6658020"/>
    <s v="Var Lease (excl.GER)"/>
    <s v="MW09C20211"/>
    <s v="Ethrel Paste Form."/>
    <n v="1391.39"/>
    <s v="LOC E MANUT DE EMPILHADEIRA ELÉT PATOLA"/>
    <x v="0"/>
    <s v="660764311"/>
    <s v="4009236440"/>
    <s v="EFXNJ"/>
    <s v="3"/>
    <x v="0"/>
    <d v="2023-12-13T00:00:00"/>
    <s v="5109211871"/>
    <d v="2023-12-20T00:00:00"/>
  </r>
  <r>
    <x v="0"/>
    <d v="2023-12-20T00:00:00"/>
    <x v="11"/>
    <s v="6658020"/>
    <s v="Var Lease (excl.GER)"/>
    <s v="MW09C20302"/>
    <s v="Pack Solids 1 KG"/>
    <n v="1391.39"/>
    <s v="LOC E MANUT DE EMPILHADEIRA ELÉT PATOLA"/>
    <x v="0"/>
    <s v="660764311"/>
    <s v="4009236440"/>
    <s v="EFXNJ"/>
    <s v="4"/>
    <x v="0"/>
    <d v="2023-12-13T00:00:00"/>
    <s v="5109211871"/>
    <d v="2023-12-20T00:00:00"/>
  </r>
  <r>
    <x v="1"/>
    <d v="2024-02-21T00:00:00"/>
    <x v="1"/>
    <s v="6658020"/>
    <s v="Var Lease (excl.GER)"/>
    <s v="MW09C20208"/>
    <s v="SC Form. Ins./Fung."/>
    <n v="40582.080000000002"/>
    <s v="LOC E MANUT DE EMPIL ELÉT PAT ABER"/>
    <x v="0"/>
    <s v="660789811"/>
    <s v="4009283502"/>
    <s v="GNEDA"/>
    <s v="1"/>
    <x v="0"/>
    <d v="2024-02-09T00:00:00"/>
    <s v="5109447363"/>
    <d v="2024-02-21T00:00:00"/>
  </r>
  <r>
    <x v="1"/>
    <d v="2024-02-21T00:00:00"/>
    <x v="1"/>
    <s v="6658020"/>
    <s v="Var Lease (excl.GER)"/>
    <s v="MW09C20208"/>
    <s v="SC Form. Ins./Fung."/>
    <n v="10299.73"/>
    <s v="LOC E MANUT DE TRANSPALETEIRA"/>
    <x v="0"/>
    <s v="660789812"/>
    <s v="4009283504"/>
    <s v="GNEDA"/>
    <s v="1"/>
    <x v="0"/>
    <d v="2024-02-09T00:00:00"/>
    <s v="5109447396"/>
    <d v="2024-02-21T00:00:00"/>
  </r>
  <r>
    <x v="1"/>
    <d v="2024-02-21T00:00:00"/>
    <x v="1"/>
    <s v="6658020"/>
    <s v="Var Lease (excl.GER)"/>
    <s v="MW09C20200"/>
    <s v="EC Form. Ins./Fung."/>
    <n v="8374.08"/>
    <s v="LOC E MANUT DE EMPIL ELÉT PAT ABER"/>
    <x v="0"/>
    <s v="660789811"/>
    <s v="4009283502"/>
    <s v="GNEDA"/>
    <s v="2"/>
    <x v="0"/>
    <d v="2024-02-09T00:00:00"/>
    <s v="5109447363"/>
    <d v="2024-02-21T00:00:00"/>
  </r>
  <r>
    <x v="1"/>
    <d v="2024-02-21T00:00:00"/>
    <x v="1"/>
    <s v="6658020"/>
    <s v="Var Lease (excl.GER)"/>
    <s v="MW09C20211"/>
    <s v="Ethrel Paste Form."/>
    <n v="7729.92"/>
    <s v="LOC E MANUT DE EMPIL ELÉT PAT ABER"/>
    <x v="0"/>
    <s v="660789811"/>
    <s v="4009283502"/>
    <s v="GNEDA"/>
    <s v="3"/>
    <x v="0"/>
    <d v="2024-02-09T00:00:00"/>
    <s v="5109447363"/>
    <d v="2024-02-21T00:00:00"/>
  </r>
  <r>
    <x v="1"/>
    <d v="2024-02-21T00:00:00"/>
    <x v="1"/>
    <s v="6658020"/>
    <s v="Var Lease (excl.GER)"/>
    <s v="MW09C20302"/>
    <s v="Pack Solids 1 KG"/>
    <n v="7729.92"/>
    <s v="LOC E MANUT DE EMPIL ELÉT PAT ABER"/>
    <x v="0"/>
    <s v="660789811"/>
    <s v="4009283502"/>
    <s v="GNEDA"/>
    <s v="4"/>
    <x v="0"/>
    <d v="2024-02-09T00:00:00"/>
    <s v="5109447363"/>
    <d v="2024-02-21T00:00:00"/>
  </r>
  <r>
    <x v="1"/>
    <d v="2024-02-21T00:00:00"/>
    <x v="1"/>
    <s v="6658020"/>
    <s v="Var Lease (excl.GER)"/>
    <s v="MW09C20208"/>
    <s v="SC Form. Ins./Fung."/>
    <n v="7304.77"/>
    <s v="LOC E MANUT DE EMPILHADEIRA ELÉT PATOLA"/>
    <x v="0"/>
    <s v="660789818"/>
    <s v="4009283503"/>
    <s v="GNEDA"/>
    <s v="1"/>
    <x v="0"/>
    <d v="2024-02-09T00:00:00"/>
    <s v="5109447375"/>
    <d v="2024-02-21T00:00:00"/>
  </r>
  <r>
    <x v="1"/>
    <d v="2024-02-21T00:00:00"/>
    <x v="1"/>
    <s v="6658020"/>
    <s v="Var Lease (excl.GER)"/>
    <s v="MW09C20100"/>
    <s v="Quality Control"/>
    <n v="3633.06"/>
    <s v="LOC E MANUT DE TRANSPALETEIRA"/>
    <x v="0"/>
    <s v="660789821"/>
    <s v="4009283501"/>
    <s v="GNEDA"/>
    <s v="1"/>
    <x v="0"/>
    <d v="2024-02-09T00:00:00"/>
    <s v="5109447362"/>
    <d v="2024-02-21T00:00:00"/>
  </r>
  <r>
    <x v="1"/>
    <d v="2024-02-21T00:00:00"/>
    <x v="1"/>
    <s v="6658020"/>
    <s v="Var Lease (excl.GER)"/>
    <s v="MW09C20200"/>
    <s v="EC Form. Ins./Fung."/>
    <n v="2125.34"/>
    <s v="LOC E MANUT DE TRANSPALETEIRA"/>
    <x v="0"/>
    <s v="660789812"/>
    <s v="4009283504"/>
    <s v="GNEDA"/>
    <s v="2"/>
    <x v="0"/>
    <d v="2024-02-09T00:00:00"/>
    <s v="5109447396"/>
    <d v="2024-02-21T00:00:00"/>
  </r>
  <r>
    <x v="1"/>
    <d v="2024-02-21T00:00:00"/>
    <x v="1"/>
    <s v="6658020"/>
    <s v="Var Lease (excl.GER)"/>
    <s v="MW09C20211"/>
    <s v="Ethrel Paste Form."/>
    <n v="1961.85"/>
    <s v="LOC E MANUT DE TRANSPALETEIRA"/>
    <x v="0"/>
    <s v="660789812"/>
    <s v="4009283504"/>
    <s v="GNEDA"/>
    <s v="3"/>
    <x v="0"/>
    <d v="2024-02-09T00:00:00"/>
    <s v="5109447396"/>
    <d v="2024-02-21T00:00:00"/>
  </r>
  <r>
    <x v="1"/>
    <d v="2024-02-21T00:00:00"/>
    <x v="1"/>
    <s v="6658020"/>
    <s v="Var Lease (excl.GER)"/>
    <s v="MW09C20302"/>
    <s v="Pack Solids 1 KG"/>
    <n v="1961.85"/>
    <s v="LOC E MANUT DE TRANSPALETEIRA"/>
    <x v="0"/>
    <s v="660789812"/>
    <s v="4009283504"/>
    <s v="GNEDA"/>
    <s v="4"/>
    <x v="0"/>
    <d v="2024-02-09T00:00:00"/>
    <s v="5109447396"/>
    <d v="2024-02-21T00:00:00"/>
  </r>
  <r>
    <x v="1"/>
    <d v="2024-02-21T00:00:00"/>
    <x v="1"/>
    <s v="6658020"/>
    <s v="Var Lease (excl.GER)"/>
    <s v="MW09C20200"/>
    <s v="EC Form. Ins./Fung."/>
    <n v="1507.33"/>
    <s v="LOC E MANUT DE EMPILHADEIRA ELÉT PATOLA"/>
    <x v="0"/>
    <s v="660789818"/>
    <s v="4009283503"/>
    <s v="GNEDA"/>
    <s v="2"/>
    <x v="0"/>
    <d v="2024-02-09T00:00:00"/>
    <s v="5109447375"/>
    <d v="2024-02-21T00:00:00"/>
  </r>
  <r>
    <x v="1"/>
    <d v="2024-02-21T00:00:00"/>
    <x v="1"/>
    <s v="6658020"/>
    <s v="Var Lease (excl.GER)"/>
    <s v="MW09C20211"/>
    <s v="Ethrel Paste Form."/>
    <n v="1391.39"/>
    <s v="LOC E MANUT DE EMPILHADEIRA ELÉT PATOLA"/>
    <x v="0"/>
    <s v="660789818"/>
    <s v="4009283503"/>
    <s v="GNEDA"/>
    <s v="3"/>
    <x v="0"/>
    <d v="2024-02-09T00:00:00"/>
    <s v="5109447375"/>
    <d v="2024-02-21T00:00:00"/>
  </r>
  <r>
    <x v="1"/>
    <d v="2024-02-21T00:00:00"/>
    <x v="1"/>
    <s v="6658020"/>
    <s v="Var Lease (excl.GER)"/>
    <s v="MW09C20302"/>
    <s v="Pack Solids 1 KG"/>
    <n v="1391.39"/>
    <s v="LOC E MANUT DE EMPILHADEIRA ELÉT PATOLA"/>
    <x v="0"/>
    <s v="660789818"/>
    <s v="4009283503"/>
    <s v="GNEDA"/>
    <s v="4"/>
    <x v="0"/>
    <d v="2024-02-09T00:00:00"/>
    <s v="5109447375"/>
    <d v="2024-02-21T00:00:00"/>
  </r>
  <r>
    <x v="1"/>
    <d v="2024-01-12T00:00:00"/>
    <x v="0"/>
    <s v="6658020"/>
    <s v="Var Lease (excl.GER)"/>
    <s v="MW09C20208"/>
    <s v="SC Form. Ins./Fung."/>
    <n v="36828.26"/>
    <s v="LOC E MANUT DE EMPIL ELÉT PAT ABER"/>
    <x v="0"/>
    <s v="660772653"/>
    <s v="4009249638"/>
    <s v="GEMKD"/>
    <s v="1"/>
    <x v="0"/>
    <d v="2024-01-10T00:00:00"/>
    <s v="5109286087"/>
    <d v="2024-01-12T00:00:00"/>
  </r>
  <r>
    <x v="1"/>
    <d v="2024-01-12T00:00:00"/>
    <x v="0"/>
    <s v="6658020"/>
    <s v="Var Lease (excl.GER)"/>
    <s v="MW09C20208"/>
    <s v="SC Form. Ins./Fung."/>
    <n v="9346.99"/>
    <s v="LOC E MANUT DE TRANSPALETEIRA"/>
    <x v="0"/>
    <s v="660772642"/>
    <s v="4009249637"/>
    <s v="GEMKD"/>
    <s v="1"/>
    <x v="0"/>
    <d v="2024-01-10T00:00:00"/>
    <s v="5109286066"/>
    <d v="2024-01-12T00:00:00"/>
  </r>
  <r>
    <x v="1"/>
    <d v="2024-01-12T00:00:00"/>
    <x v="0"/>
    <s v="6658020"/>
    <s v="Var Lease (excl.GER)"/>
    <s v="MW09C20200"/>
    <s v="EC Form. Ins./Fung."/>
    <n v="7599.48"/>
    <s v="LOC E MANUT DE EMPIL ELÉT PAT ABER"/>
    <x v="0"/>
    <s v="660772653"/>
    <s v="4009249638"/>
    <s v="GEMKD"/>
    <s v="2"/>
    <x v="0"/>
    <d v="2024-01-10T00:00:00"/>
    <s v="5109286087"/>
    <d v="2024-01-12T00:00:00"/>
  </r>
  <r>
    <x v="1"/>
    <d v="2024-01-12T00:00:00"/>
    <x v="0"/>
    <s v="6658020"/>
    <s v="Var Lease (excl.GER)"/>
    <s v="MW09C20211"/>
    <s v="Ethrel Paste Form."/>
    <n v="7014.9"/>
    <s v="LOC E MANUT DE EMPIL ELÉT PAT ABER"/>
    <x v="0"/>
    <s v="660772653"/>
    <s v="4009249638"/>
    <s v="GEMKD"/>
    <s v="3"/>
    <x v="0"/>
    <d v="2024-01-10T00:00:00"/>
    <s v="5109286087"/>
    <d v="2024-01-12T00:00:00"/>
  </r>
  <r>
    <x v="1"/>
    <d v="2024-01-12T00:00:00"/>
    <x v="0"/>
    <s v="6658020"/>
    <s v="Var Lease (excl.GER)"/>
    <s v="MW09C20302"/>
    <s v="Pack Solids 1 KG"/>
    <n v="7014.9"/>
    <s v="LOC E MANUT DE EMPIL ELÉT PAT ABER"/>
    <x v="0"/>
    <s v="660772653"/>
    <s v="4009249638"/>
    <s v="GEMKD"/>
    <s v="4"/>
    <x v="0"/>
    <d v="2024-01-10T00:00:00"/>
    <s v="5109286087"/>
    <d v="2024-01-12T00:00:00"/>
  </r>
  <r>
    <x v="1"/>
    <d v="2024-01-12T00:00:00"/>
    <x v="0"/>
    <s v="6658020"/>
    <s v="Var Lease (excl.GER)"/>
    <s v="MW09C20208"/>
    <s v="SC Form. Ins./Fung."/>
    <n v="6629.08"/>
    <s v="LOC E MANUT DE EMPILHADEIRA ELÉT PATOLA"/>
    <x v="0"/>
    <s v="660772643"/>
    <s v="4009249639"/>
    <s v="GEMKD"/>
    <s v="1"/>
    <x v="0"/>
    <d v="2024-01-10T00:00:00"/>
    <s v="5109286088"/>
    <d v="2024-01-12T00:00:00"/>
  </r>
  <r>
    <x v="1"/>
    <d v="2024-01-12T00:00:00"/>
    <x v="0"/>
    <s v="6658020"/>
    <s v="Var Lease (excl.GER)"/>
    <s v="MW09C20100"/>
    <s v="Quality Control"/>
    <n v="3297"/>
    <s v="LOC E MANUT DE TRANSPALETEIRA"/>
    <x v="0"/>
    <s v="660772640"/>
    <s v="4009249640"/>
    <s v="GEMKD"/>
    <s v="1"/>
    <x v="0"/>
    <d v="2024-01-10T00:00:00"/>
    <s v="5109286089"/>
    <d v="2024-01-12T00:00:00"/>
  </r>
  <r>
    <x v="1"/>
    <d v="2024-01-11T00:00:00"/>
    <x v="0"/>
    <s v="6658020"/>
    <s v="Var Lease (excl.GER)"/>
    <s v="MW09C20208"/>
    <s v="SC Form. Ins./Fung."/>
    <n v="2800"/>
    <s v="Valor Var Lease (excl GER) ref  Docto Nr  15851"/>
    <x v="0"/>
    <s v="660734858"/>
    <s v="4009248797"/>
    <s v="EFXNJ"/>
    <s v="1"/>
    <x v="0"/>
    <d v="2024-01-08T00:00:00"/>
    <s v="5109282859"/>
    <d v="2024-01-11T00:00:00"/>
  </r>
  <r>
    <x v="1"/>
    <d v="2024-01-12T00:00:00"/>
    <x v="0"/>
    <s v="6658020"/>
    <s v="Var Lease (excl.GER)"/>
    <s v="MW09C20200"/>
    <s v="EC Form. Ins./Fung."/>
    <n v="1928.75"/>
    <s v="LOC E MANUT DE TRANSPALETEIRA"/>
    <x v="0"/>
    <s v="660772642"/>
    <s v="4009249637"/>
    <s v="GEMKD"/>
    <s v="2"/>
    <x v="0"/>
    <d v="2024-01-10T00:00:00"/>
    <s v="5109286066"/>
    <d v="2024-01-12T00:00:00"/>
  </r>
  <r>
    <x v="1"/>
    <d v="2024-01-12T00:00:00"/>
    <x v="0"/>
    <s v="6658020"/>
    <s v="Var Lease (excl.GER)"/>
    <s v="MW09C20211"/>
    <s v="Ethrel Paste Form."/>
    <n v="1780.38"/>
    <s v="LOC E MANUT DE TRANSPALETEIRA"/>
    <x v="0"/>
    <s v="660772642"/>
    <s v="4009249637"/>
    <s v="GEMKD"/>
    <s v="3"/>
    <x v="0"/>
    <d v="2024-01-10T00:00:00"/>
    <s v="5109286066"/>
    <d v="2024-01-12T00:00:00"/>
  </r>
  <r>
    <x v="1"/>
    <d v="2024-01-12T00:00:00"/>
    <x v="0"/>
    <s v="6658020"/>
    <s v="Var Lease (excl.GER)"/>
    <s v="MW09C20302"/>
    <s v="Pack Solids 1 KG"/>
    <n v="1780.38"/>
    <s v="LOC E MANUT DE TRANSPALETEIRA"/>
    <x v="0"/>
    <s v="660772642"/>
    <s v="4009249637"/>
    <s v="GEMKD"/>
    <s v="4"/>
    <x v="0"/>
    <d v="2024-01-10T00:00:00"/>
    <s v="5109286066"/>
    <d v="2024-01-12T00:00:00"/>
  </r>
  <r>
    <x v="1"/>
    <d v="2024-01-12T00:00:00"/>
    <x v="0"/>
    <s v="6658020"/>
    <s v="Var Lease (excl.GER)"/>
    <s v="MW09C20200"/>
    <s v="EC Form. Ins./Fung."/>
    <n v="1367.9"/>
    <s v="LOC E MANUT DE EMPILHADEIRA ELÉT PATOLA"/>
    <x v="0"/>
    <s v="660772643"/>
    <s v="4009249639"/>
    <s v="GEMKD"/>
    <s v="2"/>
    <x v="0"/>
    <d v="2024-01-10T00:00:00"/>
    <s v="5109286088"/>
    <d v="2024-01-12T00:00:00"/>
  </r>
  <r>
    <x v="1"/>
    <d v="2024-01-12T00:00:00"/>
    <x v="0"/>
    <s v="6658020"/>
    <s v="Var Lease (excl.GER)"/>
    <s v="MW09C20211"/>
    <s v="Ethrel Paste Form."/>
    <n v="1262.68"/>
    <s v="LOC E MANUT DE EMPILHADEIRA ELÉT PATOLA"/>
    <x v="0"/>
    <s v="660772643"/>
    <s v="4009249639"/>
    <s v="GEMKD"/>
    <s v="3"/>
    <x v="0"/>
    <d v="2024-01-10T00:00:00"/>
    <s v="5109286088"/>
    <d v="2024-01-12T00:00:00"/>
  </r>
  <r>
    <x v="1"/>
    <d v="2024-01-12T00:00:00"/>
    <x v="0"/>
    <s v="6658020"/>
    <s v="Var Lease (excl.GER)"/>
    <s v="MW09C20302"/>
    <s v="Pack Solids 1 KG"/>
    <n v="1262.68"/>
    <s v="LOC E MANUT DE EMPILHADEIRA ELÉT PATOLA"/>
    <x v="0"/>
    <s v="660772643"/>
    <s v="4009249639"/>
    <s v="GEMKD"/>
    <s v="4"/>
    <x v="0"/>
    <d v="2024-01-10T00:00:00"/>
    <s v="5109286088"/>
    <d v="2024-01-12T00:00:00"/>
  </r>
  <r>
    <x v="1"/>
    <d v="2024-01-04T00:00:00"/>
    <x v="0"/>
    <s v="6658020"/>
    <s v="Var Lease (excl.GER)"/>
    <s v="MW09C20208"/>
    <s v="SC Form. Ins./Fung."/>
    <n v="771"/>
    <s v="Valor Var Lease (excl GER) ref  Docto Nr  15758"/>
    <x v="0"/>
    <s v="660715682"/>
    <s v="4009243054"/>
    <s v="GEMKD"/>
    <s v="1"/>
    <x v="0"/>
    <d v="2023-12-01T00:00:00"/>
    <s v="5109251239"/>
    <d v="2024-01-04T00:00:00"/>
  </r>
  <r>
    <x v="1"/>
    <d v="2024-01-11T00:00:00"/>
    <x v="0"/>
    <s v="6658020"/>
    <s v="Var Lease (excl.GER)"/>
    <s v="MW09C20208"/>
    <s v="SC Form. Ins./Fung."/>
    <n v="520"/>
    <s v="Valor Var Lease (excl GER) ref  Docto Nr  15850"/>
    <x v="0"/>
    <s v="660734878"/>
    <s v="4009248788"/>
    <s v="EFXNJ"/>
    <s v="1"/>
    <x v="0"/>
    <d v="2024-01-08T00:00:00"/>
    <s v="5109282804"/>
    <d v="2024-01-11T00:00:00"/>
  </r>
  <r>
    <x v="1"/>
    <d v="2024-01-04T00:00:00"/>
    <x v="0"/>
    <s v="6658020"/>
    <s v="Var Lease (excl.GER)"/>
    <s v="MW09C20208"/>
    <s v="SC Form. Ins./Fung."/>
    <n v="515"/>
    <s v="Valor Var Lease (excl GER) ref  Docto Nr  15757"/>
    <x v="0"/>
    <s v="660751297"/>
    <s v="4009243053"/>
    <s v="GEMKD"/>
    <s v="1"/>
    <x v="0"/>
    <d v="2023-12-01T00:00:00"/>
    <s v="5109251238"/>
    <d v="2024-01-04T00:00:00"/>
  </r>
  <r>
    <x v="1"/>
    <d v="2024-03-18T00:00:00"/>
    <x v="2"/>
    <s v="6658020"/>
    <s v="Var Lease (excl.GER)"/>
    <s v="MW09C20208"/>
    <s v="SC Form. Ins./Fung."/>
    <n v="40582.080000000002"/>
    <s v="Valor Var Lease (excl GER) ref  Docto Nr  31560"/>
    <x v="0"/>
    <s v="660805640"/>
    <s v="4009303717"/>
    <s v="GLRPT"/>
    <s v="1"/>
    <x v="0"/>
    <d v="2024-03-13T00:00:00"/>
    <s v="5109559324"/>
    <d v="2024-03-18T00:00:00"/>
  </r>
  <r>
    <x v="1"/>
    <d v="2024-03-18T00:00:00"/>
    <x v="2"/>
    <s v="6658020"/>
    <s v="Var Lease (excl.GER)"/>
    <s v="MW09C20208"/>
    <s v="SC Form. Ins./Fung."/>
    <n v="10299.73"/>
    <s v="LOC E MANUT DE TRANSPALETEIRA"/>
    <x v="0"/>
    <s v="660805633"/>
    <s v="4009303378"/>
    <s v="GLRPT"/>
    <s v="1"/>
    <x v="0"/>
    <d v="2024-03-13T00:00:00"/>
    <s v="5109555013"/>
    <d v="2024-03-18T00:00:00"/>
  </r>
  <r>
    <x v="1"/>
    <d v="2024-03-18T00:00:00"/>
    <x v="2"/>
    <s v="6658020"/>
    <s v="Var Lease (excl.GER)"/>
    <s v="MW09C20200"/>
    <s v="EC Form. Ins./Fung."/>
    <n v="8374.08"/>
    <s v="Valor Var Lease (excl GER) ref  Docto Nr  31560"/>
    <x v="0"/>
    <s v="660805640"/>
    <s v="4009303717"/>
    <s v="GLRPT"/>
    <s v="2"/>
    <x v="0"/>
    <d v="2024-03-13T00:00:00"/>
    <s v="5109559324"/>
    <d v="2024-03-18T00:00:00"/>
  </r>
  <r>
    <x v="1"/>
    <d v="2024-03-18T00:00:00"/>
    <x v="2"/>
    <s v="6658020"/>
    <s v="Var Lease (excl.GER)"/>
    <s v="MW09C20211"/>
    <s v="Ethrel Paste Form."/>
    <n v="7729.92"/>
    <s v="Valor Var Lease (excl GER) ref  Docto Nr  31560"/>
    <x v="0"/>
    <s v="660805640"/>
    <s v="4009303717"/>
    <s v="GLRPT"/>
    <s v="3"/>
    <x v="0"/>
    <d v="2024-03-13T00:00:00"/>
    <s v="5109559324"/>
    <d v="2024-03-18T00:00:00"/>
  </r>
  <r>
    <x v="1"/>
    <d v="2024-03-18T00:00:00"/>
    <x v="2"/>
    <s v="6658020"/>
    <s v="Var Lease (excl.GER)"/>
    <s v="MW09C20302"/>
    <s v="Pack Solids 1 KG"/>
    <n v="7729.92"/>
    <s v="Valor Var Lease (excl GER) ref  Docto Nr  31560"/>
    <x v="0"/>
    <s v="660805640"/>
    <s v="4009303717"/>
    <s v="GLRPT"/>
    <s v="4"/>
    <x v="0"/>
    <d v="2024-03-13T00:00:00"/>
    <s v="5109559324"/>
    <d v="2024-03-18T00:00:00"/>
  </r>
  <r>
    <x v="1"/>
    <d v="2024-03-18T00:00:00"/>
    <x v="2"/>
    <s v="6658020"/>
    <s v="Var Lease (excl.GER)"/>
    <s v="MW09C20208"/>
    <s v="SC Form. Ins./Fung."/>
    <n v="7304.77"/>
    <s v="Valor Var Lease (excl GER) ref  Docto Nr  31563"/>
    <x v="0"/>
    <s v="660805637"/>
    <s v="4009303719"/>
    <s v="GLRPT"/>
    <s v="1"/>
    <x v="0"/>
    <d v="2024-03-13T00:00:00"/>
    <s v="5109559487"/>
    <d v="2024-03-18T00:00:00"/>
  </r>
  <r>
    <x v="1"/>
    <d v="2024-03-18T00:00:00"/>
    <x v="2"/>
    <s v="6658020"/>
    <s v="Var Lease (excl.GER)"/>
    <s v="MW09C20100"/>
    <s v="Quality Control"/>
    <n v="3633.06"/>
    <s v="LOC E MANUT DE TRANSPALETEIRA"/>
    <x v="0"/>
    <s v="660805634"/>
    <s v="4009303379"/>
    <s v="GLRPT"/>
    <s v="1"/>
    <x v="0"/>
    <d v="2024-03-13T00:00:00"/>
    <s v="5109555015"/>
    <d v="2024-03-18T00:00:00"/>
  </r>
  <r>
    <x v="1"/>
    <d v="2024-03-18T00:00:00"/>
    <x v="2"/>
    <s v="6658020"/>
    <s v="Var Lease (excl.GER)"/>
    <s v="MW09C20200"/>
    <s v="EC Form. Ins./Fung."/>
    <n v="2125.34"/>
    <s v="LOC E MANUT DE TRANSPALETEIRA"/>
    <x v="0"/>
    <s v="660805633"/>
    <s v="4009303378"/>
    <s v="GLRPT"/>
    <s v="2"/>
    <x v="0"/>
    <d v="2024-03-13T00:00:00"/>
    <s v="5109555013"/>
    <d v="2024-03-18T00:00:00"/>
  </r>
  <r>
    <x v="1"/>
    <d v="2024-03-18T00:00:00"/>
    <x v="2"/>
    <s v="6658020"/>
    <s v="Var Lease (excl.GER)"/>
    <s v="MW09C20211"/>
    <s v="Ethrel Paste Form."/>
    <n v="1961.85"/>
    <s v="LOC E MANUT DE TRANSPALETEIRA"/>
    <x v="0"/>
    <s v="660805633"/>
    <s v="4009303378"/>
    <s v="GLRPT"/>
    <s v="3"/>
    <x v="0"/>
    <d v="2024-03-13T00:00:00"/>
    <s v="5109555013"/>
    <d v="2024-03-18T00:00:00"/>
  </r>
  <r>
    <x v="1"/>
    <d v="2024-03-18T00:00:00"/>
    <x v="2"/>
    <s v="6658020"/>
    <s v="Var Lease (excl.GER)"/>
    <s v="MW09C20302"/>
    <s v="Pack Solids 1 KG"/>
    <n v="1961.85"/>
    <s v="LOC E MANUT DE TRANSPALETEIRA"/>
    <x v="0"/>
    <s v="660805633"/>
    <s v="4009303378"/>
    <s v="GLRPT"/>
    <s v="4"/>
    <x v="0"/>
    <d v="2024-03-13T00:00:00"/>
    <s v="5109555013"/>
    <d v="2024-03-18T00:00:00"/>
  </r>
  <r>
    <x v="1"/>
    <d v="2024-03-18T00:00:00"/>
    <x v="2"/>
    <s v="6658020"/>
    <s v="Var Lease (excl.GER)"/>
    <s v="MW09C20200"/>
    <s v="EC Form. Ins./Fung."/>
    <n v="1507.33"/>
    <s v="Valor Var Lease (excl GER) ref  Docto Nr  31563"/>
    <x v="0"/>
    <s v="660805637"/>
    <s v="4009303719"/>
    <s v="GLRPT"/>
    <s v="2"/>
    <x v="0"/>
    <d v="2024-03-13T00:00:00"/>
    <s v="5109559487"/>
    <d v="2024-03-18T00:00:00"/>
  </r>
  <r>
    <x v="1"/>
    <d v="2024-03-18T00:00:00"/>
    <x v="2"/>
    <s v="6658020"/>
    <s v="Var Lease (excl.GER)"/>
    <s v="MW09C20211"/>
    <s v="Ethrel Paste Form."/>
    <n v="1391.39"/>
    <s v="Valor Var Lease (excl GER) ref  Docto Nr  31563"/>
    <x v="0"/>
    <s v="660805637"/>
    <s v="4009303719"/>
    <s v="GLRPT"/>
    <s v="3"/>
    <x v="0"/>
    <d v="2024-03-13T00:00:00"/>
    <s v="5109559487"/>
    <d v="2024-03-18T00:00:00"/>
  </r>
  <r>
    <x v="1"/>
    <d v="2024-03-18T00:00:00"/>
    <x v="2"/>
    <s v="6658020"/>
    <s v="Var Lease (excl.GER)"/>
    <s v="MW09C20302"/>
    <s v="Pack Solids 1 KG"/>
    <n v="1391.39"/>
    <s v="Valor Var Lease (excl GER) ref  Docto Nr  31563"/>
    <x v="0"/>
    <s v="660805637"/>
    <s v="4009303719"/>
    <s v="GLRPT"/>
    <s v="4"/>
    <x v="0"/>
    <d v="2024-03-13T00:00:00"/>
    <s v="5109559487"/>
    <d v="2024-03-18T00:00:00"/>
  </r>
  <r>
    <x v="1"/>
    <d v="2024-04-15T00:00:00"/>
    <x v="3"/>
    <s v="6658020"/>
    <s v="Var Lease (excl.GER)"/>
    <s v="MW09C20100"/>
    <s v="Quality Control"/>
    <n v="3633.06"/>
    <s v="LOC E MANUT DE TRANSPALETEIRA"/>
    <x v="0"/>
    <s v="660816405"/>
    <s v="4009327877"/>
    <s v="EFXNJ"/>
    <s v="1"/>
    <x v="0"/>
    <d v="2024-04-10T00:00:00"/>
    <s v="5109665407"/>
    <d v="2024-04-15T00:00:00"/>
  </r>
  <r>
    <x v="1"/>
    <d v="2024-04-15T00:00:00"/>
    <x v="3"/>
    <s v="6658020"/>
    <s v="Var Lease (excl.GER)"/>
    <s v="MW09C20200"/>
    <s v="EC Form. Ins./Fung."/>
    <n v="8374.08"/>
    <s v="Valor do documento Nr  31760"/>
    <x v="0"/>
    <s v="660816403"/>
    <s v="4009327878"/>
    <s v="EFXNJ"/>
    <s v="2"/>
    <x v="0"/>
    <d v="2024-04-10T00:00:00"/>
    <s v="5109665408"/>
    <d v="2024-04-15T00:00:00"/>
  </r>
  <r>
    <x v="1"/>
    <d v="2024-04-15T00:00:00"/>
    <x v="3"/>
    <s v="6658020"/>
    <s v="Var Lease (excl.GER)"/>
    <s v="MW09C20200"/>
    <s v="EC Form. Ins./Fung."/>
    <n v="2125.34"/>
    <s v="LOC E MANUT DE TRANSPALETEIRA"/>
    <x v="0"/>
    <s v="660816413"/>
    <s v="4009327880"/>
    <s v="EFXNJ"/>
    <s v="2"/>
    <x v="0"/>
    <d v="2024-04-10T00:00:00"/>
    <s v="5109665410"/>
    <d v="2024-04-15T00:00:00"/>
  </r>
  <r>
    <x v="1"/>
    <d v="2024-04-15T00:00:00"/>
    <x v="3"/>
    <s v="6658020"/>
    <s v="Var Lease (excl.GER)"/>
    <s v="MW09C20200"/>
    <s v="EC Form. Ins./Fung."/>
    <n v="1507.33"/>
    <s v="LOC E MANUT DE EMPILHADEIRA ELÉT PATOLA"/>
    <x v="0"/>
    <s v="660816404"/>
    <s v="4009327882"/>
    <s v="EFXNJ"/>
    <s v="2"/>
    <x v="0"/>
    <d v="2024-04-10T00:00:00"/>
    <s v="5109665412"/>
    <d v="2024-04-15T00:00:00"/>
  </r>
  <r>
    <x v="1"/>
    <d v="2024-04-15T00:00:00"/>
    <x v="3"/>
    <s v="6658020"/>
    <s v="Var Lease (excl.GER)"/>
    <s v="MW09C20208"/>
    <s v="SC Form. Ins./Fung."/>
    <n v="40582.080000000002"/>
    <s v="Valor do documento Nr  31760"/>
    <x v="0"/>
    <s v="660816403"/>
    <s v="4009327878"/>
    <s v="EFXNJ"/>
    <s v="1"/>
    <x v="0"/>
    <d v="2024-04-10T00:00:00"/>
    <s v="5109665408"/>
    <d v="2024-04-15T00:00:00"/>
  </r>
  <r>
    <x v="1"/>
    <d v="2024-04-15T00:00:00"/>
    <x v="3"/>
    <s v="6658020"/>
    <s v="Var Lease (excl.GER)"/>
    <s v="MW09C20208"/>
    <s v="SC Form. Ins./Fung."/>
    <n v="10299.73"/>
    <s v="LOC E MANUT DE TRANSPALETEIRA"/>
    <x v="0"/>
    <s v="660816413"/>
    <s v="4009327880"/>
    <s v="EFXNJ"/>
    <s v="1"/>
    <x v="0"/>
    <d v="2024-04-10T00:00:00"/>
    <s v="5109665410"/>
    <d v="2024-04-15T00:00:00"/>
  </r>
  <r>
    <x v="1"/>
    <d v="2024-04-15T00:00:00"/>
    <x v="3"/>
    <s v="6658020"/>
    <s v="Var Lease (excl.GER)"/>
    <s v="MW09C20208"/>
    <s v="SC Form. Ins./Fung."/>
    <n v="7304.77"/>
    <s v="LOC E MANUT DE EMPILHADEIRA ELÉT PATOLA"/>
    <x v="0"/>
    <s v="660816404"/>
    <s v="4009327882"/>
    <s v="EFXNJ"/>
    <s v="1"/>
    <x v="0"/>
    <d v="2024-04-10T00:00:00"/>
    <s v="5109665412"/>
    <d v="2024-04-15T00:00:00"/>
  </r>
  <r>
    <x v="1"/>
    <d v="2024-04-15T00:00:00"/>
    <x v="3"/>
    <s v="6658020"/>
    <s v="Var Lease (excl.GER)"/>
    <s v="MW09C20211"/>
    <s v="Ethrel Paste Form."/>
    <n v="7729.92"/>
    <s v="Valor do documento Nr  31760"/>
    <x v="0"/>
    <s v="660816403"/>
    <s v="4009327878"/>
    <s v="EFXNJ"/>
    <s v="3"/>
    <x v="0"/>
    <d v="2024-04-10T00:00:00"/>
    <s v="5109665408"/>
    <d v="2024-04-15T00:00:00"/>
  </r>
  <r>
    <x v="1"/>
    <d v="2024-04-15T00:00:00"/>
    <x v="3"/>
    <s v="6658020"/>
    <s v="Var Lease (excl.GER)"/>
    <s v="MW09C20211"/>
    <s v="Ethrel Paste Form."/>
    <n v="1961.85"/>
    <s v="LOC E MANUT DE TRANSPALETEIRA"/>
    <x v="0"/>
    <s v="660816413"/>
    <s v="4009327880"/>
    <s v="EFXNJ"/>
    <s v="3"/>
    <x v="0"/>
    <d v="2024-04-10T00:00:00"/>
    <s v="5109665410"/>
    <d v="2024-04-15T00:00:00"/>
  </r>
  <r>
    <x v="1"/>
    <d v="2024-04-15T00:00:00"/>
    <x v="3"/>
    <s v="6658020"/>
    <s v="Var Lease (excl.GER)"/>
    <s v="MW09C20211"/>
    <s v="Ethrel Paste Form."/>
    <n v="1391.39"/>
    <s v="LOC E MANUT DE EMPILHADEIRA ELÉT PATOLA"/>
    <x v="0"/>
    <s v="660816404"/>
    <s v="4009327882"/>
    <s v="EFXNJ"/>
    <s v="3"/>
    <x v="0"/>
    <d v="2024-04-10T00:00:00"/>
    <s v="5109665412"/>
    <d v="2024-04-15T00:00:00"/>
  </r>
  <r>
    <x v="1"/>
    <d v="2024-04-15T00:00:00"/>
    <x v="3"/>
    <s v="6658020"/>
    <s v="Var Lease (excl.GER)"/>
    <s v="MW09C20302"/>
    <s v="Pack Solids 1 KG"/>
    <n v="7729.92"/>
    <s v="Valor do documento Nr  31760"/>
    <x v="0"/>
    <s v="660816403"/>
    <s v="4009327878"/>
    <s v="EFXNJ"/>
    <s v="4"/>
    <x v="0"/>
    <d v="2024-04-10T00:00:00"/>
    <s v="5109665408"/>
    <d v="2024-04-15T00:00:00"/>
  </r>
  <r>
    <x v="1"/>
    <d v="2024-04-15T00:00:00"/>
    <x v="3"/>
    <s v="6658020"/>
    <s v="Var Lease (excl.GER)"/>
    <s v="MW09C20302"/>
    <s v="Pack Solids 1 KG"/>
    <n v="1961.85"/>
    <s v="LOC E MANUT DE TRANSPALETEIRA"/>
    <x v="0"/>
    <s v="660816413"/>
    <s v="4009327880"/>
    <s v="EFXNJ"/>
    <s v="4"/>
    <x v="0"/>
    <d v="2024-04-10T00:00:00"/>
    <s v="5109665410"/>
    <d v="2024-04-15T00:00:00"/>
  </r>
  <r>
    <x v="1"/>
    <d v="2024-04-15T00:00:00"/>
    <x v="3"/>
    <s v="6658020"/>
    <s v="Var Lease (excl.GER)"/>
    <s v="MW09C20302"/>
    <s v="Pack Solids 1 KG"/>
    <n v="1391.39"/>
    <s v="LOC E MANUT DE EMPILHADEIRA ELÉT PATOLA"/>
    <x v="0"/>
    <s v="660816404"/>
    <s v="4009327882"/>
    <s v="EFXNJ"/>
    <s v="4"/>
    <x v="0"/>
    <d v="2024-04-10T00:00:00"/>
    <s v="5109665412"/>
    <d v="2024-04-15T00:00:00"/>
  </r>
  <r>
    <x v="1"/>
    <d v="2024-04-16T00:00:00"/>
    <x v="3"/>
    <s v="6200000"/>
    <s v="Maint &amp; Leg/Co.Compl"/>
    <s v="MW09C20315"/>
    <s v="Pack. Ins./Fung. 1/5"/>
    <n v="700"/>
    <s v="Valor Maint &amp; Leg Co Compl ref  Docto Nr  16053"/>
    <x v="0"/>
    <n v="660805132"/>
    <s v="4009328654"/>
    <s v="GEMKD"/>
    <s v="1"/>
    <x v="0"/>
    <d v="2024-03-15T00:00:00"/>
    <s v="5109668306"/>
    <d v="2024-04-16T00:00:00"/>
  </r>
  <r>
    <x v="1"/>
    <d v="2024-06-07T00:00:00"/>
    <x v="5"/>
    <s v="6200000"/>
    <s v="Maint &amp; Leg/Co.Compl"/>
    <s v="MW09C20315"/>
    <s v="Pack. Ins./Fung. 1/5"/>
    <n v="700"/>
    <s v="Valor Maint &amp; Leg Co Compl ref  Docto Nr  16054"/>
    <x v="0"/>
    <s v="660805136"/>
    <s v="4009372006"/>
    <s v="EFXNJ"/>
    <s v="1"/>
    <x v="0"/>
    <d v="2024-03-15T00:00:00"/>
    <s v="5109840681"/>
    <d v="2024-06-07T00:00:00"/>
  </r>
  <r>
    <x v="1"/>
    <d v="2024-06-07T00:00:00"/>
    <x v="5"/>
    <s v="6200000"/>
    <s v="Maint &amp; Leg/Co.Compl"/>
    <s v="MW09C20315"/>
    <s v="Pack. Ins./Fung. 1/5"/>
    <n v="-700"/>
    <s v="MANUT POR MAU USO"/>
    <x v="0"/>
    <s v="660805136"/>
    <s v="4009372122"/>
    <s v="EFXNJ"/>
    <s v="1"/>
    <x v="0"/>
    <d v="2024-03-15T00:00:00"/>
    <s v="5109840706"/>
    <d v="2024-06-07T00:00:00"/>
  </r>
  <r>
    <x v="1"/>
    <d v="2024-06-07T00:00:00"/>
    <x v="5"/>
    <s v="6200000"/>
    <s v="Maint &amp; Leg/Co.Compl"/>
    <s v="MW09C20315"/>
    <s v="Pack. Ins./Fung. 1/5"/>
    <n v="700"/>
    <s v="Valor Maint &amp; Leg Co Compl ref  Docto Nr  16054"/>
    <x v="0"/>
    <s v="660805136"/>
    <s v="4009372123"/>
    <s v="EFXNJ"/>
    <s v="1"/>
    <x v="0"/>
    <d v="2024-03-15T00:00:00"/>
    <s v="5109840727"/>
    <d v="2024-06-07T00:00:00"/>
  </r>
  <r>
    <x v="1"/>
    <d v="2024-07-16T00:00:00"/>
    <x v="6"/>
    <s v="6200000"/>
    <s v="Maint &amp; Leg/Co.Compl"/>
    <s v="MW09C20315"/>
    <s v="Pack. Ins./Fung. 1/5"/>
    <n v="320"/>
    <s v="Valor Maint &amp; Leg Co Compl ref  Docto Nr  16369"/>
    <x v="0"/>
    <s v="660852230"/>
    <s v="4009409808"/>
    <s v="GNEDA"/>
    <s v="1"/>
    <x v="0"/>
    <d v="2024-07-01T00:00:00"/>
    <s v="5109963562"/>
    <d v="2024-07-16T00:00:00"/>
  </r>
  <r>
    <x v="1"/>
    <d v="2024-07-17T00:00:00"/>
    <x v="6"/>
    <s v="6200000"/>
    <s v="Maint &amp; Leg/Co.Compl"/>
    <s v="MW09C20315"/>
    <s v="Pack. Ins./Fung. 1/5"/>
    <n v="320"/>
    <s v="Valor do documento Nr  16376"/>
    <x v="0"/>
    <s v="660852250"/>
    <s v="4009411440"/>
    <s v="EFXNJ"/>
    <s v="1"/>
    <x v="0"/>
    <d v="2024-07-02T00:00:00"/>
    <s v="5109966332"/>
    <d v="2024-07-17T00:00:00"/>
  </r>
  <r>
    <x v="1"/>
    <d v="2024-07-17T00:00:00"/>
    <x v="6"/>
    <s v="6200000"/>
    <s v="Maint &amp; Leg/Co.Compl"/>
    <s v="MW09C20315"/>
    <s v="Pack. Ins./Fung. 1/5"/>
    <n v="320"/>
    <s v="Valor Maint &amp; Leg Co Compl ref  Docto Nr  16370"/>
    <x v="0"/>
    <s v="660852227"/>
    <s v="4009411457"/>
    <s v="EFXNJ"/>
    <s v="1"/>
    <x v="0"/>
    <d v="2024-07-01T00:00:00"/>
    <s v="5109966336"/>
    <d v="2024-07-17T00:00:00"/>
  </r>
  <r>
    <x v="1"/>
    <d v="2024-07-25T00:00:00"/>
    <x v="6"/>
    <s v="6658020"/>
    <s v="Var Lease (excl.GER)"/>
    <s v="MW09C20302"/>
    <s v="Pack Solids 1 KG"/>
    <n v="3297"/>
    <s v="Valor Var Lease (excl GER) ref  Docto Nr  31955"/>
    <x v="0"/>
    <s v="660834122"/>
    <s v="4009419198"/>
    <s v="GLRPT"/>
    <s v="1"/>
    <x v="0"/>
    <d v="2024-05-10T00:00:00"/>
    <s v="5109991270"/>
    <d v="2024-07-25T00:00:00"/>
  </r>
  <r>
    <x v="1"/>
    <d v="2024-07-25T00:00:00"/>
    <x v="6"/>
    <s v="6658020"/>
    <s v="Var Lease (excl.GER)"/>
    <s v="MW09C20208"/>
    <s v="SC Form. Ins./Fung."/>
    <n v="58457.52"/>
    <s v="LOC E MANUT DE EMPIL ELÉT PAT ABER"/>
    <x v="0"/>
    <s v="660834119"/>
    <s v="4009419200"/>
    <s v="GLRPT"/>
    <s v="1"/>
    <x v="0"/>
    <d v="2024-05-10T00:00:00"/>
    <s v="5109991272"/>
    <d v="2024-07-25T00:00:00"/>
  </r>
  <r>
    <x v="1"/>
    <d v="2024-07-25T00:00:00"/>
    <x v="6"/>
    <s v="6658020"/>
    <s v="Var Lease (excl.GER)"/>
    <s v="MW09C20302"/>
    <s v="Pack Solids 1 KG"/>
    <n v="-3297"/>
    <s v="LOC E MANUT DE EMPILHADEIRA ELÉT PATOLA"/>
    <x v="0"/>
    <s v="660834122"/>
    <s v="4009419201"/>
    <s v="GLRPT"/>
    <s v="1"/>
    <x v="0"/>
    <d v="2024-05-10T00:00:00"/>
    <s v="5109991273"/>
    <d v="2024-07-25T00:00:00"/>
  </r>
  <r>
    <x v="1"/>
    <d v="2024-07-25T00:00:00"/>
    <x v="6"/>
    <s v="6658020"/>
    <s v="Var Lease (excl.GER)"/>
    <s v="MW09C20302"/>
    <s v="Pack Solids 1 KG"/>
    <n v="3297"/>
    <s v="LOC E MANUT DE EMPILHADEIRA ELÉT PATOLA"/>
    <x v="0"/>
    <s v="660834122"/>
    <s v="4009419203"/>
    <s v="GLRPT"/>
    <s v="1"/>
    <x v="0"/>
    <d v="2024-05-10T00:00:00"/>
    <s v="5109991274"/>
    <d v="2024-07-25T00:00:00"/>
  </r>
  <r>
    <x v="1"/>
    <d v="2024-07-25T00:00:00"/>
    <x v="6"/>
    <s v="6658020"/>
    <s v="Var Lease (excl.GER)"/>
    <s v="MW09C20200"/>
    <s v="EC Form. Ins./Fung."/>
    <n v="10522.35"/>
    <s v="LOC E MANUT DE EMPILHADEIRA ELÉT PATOLA"/>
    <x v="0"/>
    <s v="660834120"/>
    <s v="4009419204"/>
    <s v="GLRPT"/>
    <s v="1"/>
    <x v="0"/>
    <d v="2024-05-10T00:00:00"/>
    <s v="5109991275"/>
    <d v="2024-07-25T00:00:00"/>
  </r>
  <r>
    <x v="1"/>
    <d v="2024-07-25T00:00:00"/>
    <x v="6"/>
    <s v="6658020"/>
    <s v="Var Lease (excl.GER)"/>
    <s v="MW09C20211"/>
    <s v="Ethrel Paste Form."/>
    <n v="14836.51"/>
    <s v="LOC E MANUT DE EMPILHADEIRA ELÉT PATOLA"/>
    <x v="0"/>
    <s v="660834121"/>
    <s v="4009419205"/>
    <s v="GLRPT"/>
    <s v="1"/>
    <x v="0"/>
    <d v="2024-05-10T00:00:00"/>
    <s v="5109991276"/>
    <d v="2024-07-25T00:00:00"/>
  </r>
  <r>
    <x v="1"/>
    <d v="2024-07-29T00:00:00"/>
    <x v="6"/>
    <s v="6420000"/>
    <s v="Transports"/>
    <s v="MW09C20211"/>
    <s v="Ethrel Paste Form."/>
    <n v="16348.77"/>
    <s v="LOC E MANUT DE EMPILHADEIRA ELÉT PATOLA"/>
    <x v="0"/>
    <s v="660852070"/>
    <s v="4009422626"/>
    <s v="EFXNJ"/>
    <s v="1"/>
    <x v="0"/>
    <d v="2024-06-20T00:00:00"/>
    <s v="5109999037"/>
    <d v="2024-07-29T00:00:00"/>
  </r>
  <r>
    <x v="1"/>
    <d v="2024-07-29T00:00:00"/>
    <x v="6"/>
    <s v="6420000"/>
    <s v="Transports"/>
    <s v="MW09C20100"/>
    <s v="Quality Control"/>
    <n v="3633.06"/>
    <s v="LOC E MANUT DE EMPILHADEIRA ELÉT PATOLA"/>
    <x v="0"/>
    <s v="660852062"/>
    <s v="4009422628"/>
    <s v="EFXNJ"/>
    <s v="1"/>
    <x v="0"/>
    <d v="2024-06-20T00:00:00"/>
    <s v="5109999040"/>
    <d v="2024-07-29T00:00:00"/>
  </r>
  <r>
    <x v="1"/>
    <d v="2024-07-29T00:00:00"/>
    <x v="6"/>
    <s v="6658020"/>
    <s v="Var Lease (excl.GER)"/>
    <s v="MW09C20200"/>
    <s v="EC Form. Ins./Fung."/>
    <n v="11594.88"/>
    <s v="LOC E MANUT DE EMPILHADEIRA ELÉT PATOLA"/>
    <x v="0"/>
    <s v="660852063"/>
    <s v="4009422629"/>
    <s v="EFXNJ"/>
    <s v="1"/>
    <x v="0"/>
    <d v="2024-06-20T00:00:00"/>
    <s v="5109999042"/>
    <d v="2024-07-29T00:00:00"/>
  </r>
  <r>
    <x v="1"/>
    <d v="2024-07-29T00:00:00"/>
    <x v="6"/>
    <s v="6658020"/>
    <s v="Var Lease (excl.GER)"/>
    <s v="MW09C20208"/>
    <s v="SC Form. Ins./Fung."/>
    <n v="64416"/>
    <s v="LOC E MANUT DE EMPIL ELÉT PAT ABER"/>
    <x v="0"/>
    <s v="660852067"/>
    <s v="4009422635"/>
    <s v="EFXNJ"/>
    <s v="1"/>
    <x v="0"/>
    <d v="2024-06-20T00:00:00"/>
    <s v="5109999045"/>
    <d v="2024-07-29T00:00:00"/>
  </r>
  <r>
    <x v="1"/>
    <d v="2024-07-29T00:00:00"/>
    <x v="6"/>
    <s v="6658020"/>
    <s v="Var Lease (excl.GER)"/>
    <s v="MW09C20208"/>
    <s v="SC Form. Ins./Fung."/>
    <n v="26369.99"/>
    <s v="LOC E MANUT DE EMPIL ELÉT PAT ABER"/>
    <x v="0"/>
    <s v="660861208"/>
    <s v="4009422905"/>
    <s v="EFXNJ"/>
    <s v="1"/>
    <x v="0"/>
    <d v="2024-07-10T00:00:00"/>
    <s v="5110000996"/>
    <d v="2024-07-29T00:00:00"/>
  </r>
  <r>
    <x v="1"/>
    <d v="2024-07-29T00:00:00"/>
    <x v="6"/>
    <s v="6658020"/>
    <s v="Var Lease (excl.GER)"/>
    <s v="MW09C20200"/>
    <s v="EC Form. Ins./Fung."/>
    <n v="5466.95"/>
    <s v="LOC E MANUT DE EMPIL ELÉT PAT ABER"/>
    <x v="0"/>
    <s v="660861208"/>
    <s v="4009422905"/>
    <s v="EFXNJ"/>
    <s v="2"/>
    <x v="0"/>
    <d v="2024-07-10T00:00:00"/>
    <s v="5110000996"/>
    <d v="2024-07-29T00:00:00"/>
  </r>
  <r>
    <x v="1"/>
    <d v="2024-07-29T00:00:00"/>
    <x v="6"/>
    <s v="6658020"/>
    <s v="Var Lease (excl.GER)"/>
    <s v="MW09C20211"/>
    <s v="Ethrel Paste Form."/>
    <n v="5016.7299999999996"/>
    <s v="LOC E MANUT DE EMPIL ELÉT PAT ABER"/>
    <x v="0"/>
    <s v="660861208"/>
    <s v="4009422905"/>
    <s v="EFXNJ"/>
    <s v="3"/>
    <x v="0"/>
    <d v="2024-07-10T00:00:00"/>
    <s v="5110000996"/>
    <d v="2024-07-29T00:00:00"/>
  </r>
  <r>
    <x v="1"/>
    <d v="2024-07-29T00:00:00"/>
    <x v="6"/>
    <s v="6658020"/>
    <s v="Var Lease (excl.GER)"/>
    <s v="MW09C20302"/>
    <s v="Pack Solids 1 KG"/>
    <n v="5016.7299999999996"/>
    <s v="LOC E MANUT DE EMPIL ELÉT PAT ABER"/>
    <x v="0"/>
    <s v="660861208"/>
    <s v="4009422905"/>
    <s v="EFXNJ"/>
    <s v="4"/>
    <x v="0"/>
    <d v="2024-07-10T00:00:00"/>
    <s v="5110000996"/>
    <d v="2024-07-29T00:00:00"/>
  </r>
  <r>
    <x v="1"/>
    <d v="2024-07-30T00:00:00"/>
    <x v="6"/>
    <s v="6658020"/>
    <s v="Var Lease (excl.GER)"/>
    <s v="MW09C20208"/>
    <s v="SC Form. Ins./Fung."/>
    <n v="7304.77"/>
    <s v="LOC E MANUT DE EMPILHADEIRA ELÉT PATOLA"/>
    <x v="0"/>
    <s v="660861199"/>
    <s v="4009422910"/>
    <s v="EFXNJ"/>
    <s v="1"/>
    <x v="0"/>
    <d v="2024-07-10T00:00:00"/>
    <s v="5110001489"/>
    <d v="2024-07-30T00:00:00"/>
  </r>
  <r>
    <x v="1"/>
    <d v="2024-07-30T00:00:00"/>
    <x v="6"/>
    <s v="6658020"/>
    <s v="Var Lease (excl.GER)"/>
    <s v="MW09C20200"/>
    <s v="EC Form. Ins./Fung."/>
    <n v="1507.33"/>
    <s v="LOC E MANUT DE EMPILHADEIRA ELÉT PATOLA"/>
    <x v="0"/>
    <s v="660861199"/>
    <s v="4009422910"/>
    <s v="EFXNJ"/>
    <s v="2"/>
    <x v="0"/>
    <d v="2024-07-10T00:00:00"/>
    <s v="5110001489"/>
    <d v="2024-07-30T00:00:00"/>
  </r>
  <r>
    <x v="1"/>
    <d v="2024-07-30T00:00:00"/>
    <x v="6"/>
    <s v="6658020"/>
    <s v="Var Lease (excl.GER)"/>
    <s v="MW09C20211"/>
    <s v="Ethrel Paste Form."/>
    <n v="1391.39"/>
    <s v="LOC E MANUT DE EMPILHADEIRA ELÉT PATOLA"/>
    <x v="0"/>
    <s v="660861199"/>
    <s v="4009422910"/>
    <s v="EFXNJ"/>
    <s v="3"/>
    <x v="0"/>
    <d v="2024-07-10T00:00:00"/>
    <s v="5110001489"/>
    <d v="2024-07-30T00:00:00"/>
  </r>
  <r>
    <x v="1"/>
    <d v="2024-07-30T00:00:00"/>
    <x v="6"/>
    <s v="6658020"/>
    <s v="Var Lease (excl.GER)"/>
    <s v="MW09C20302"/>
    <s v="Pack Solids 1 KG"/>
    <n v="1391.39"/>
    <s v="LOC E MANUT DE EMPILHADEIRA ELÉT PATOLA"/>
    <x v="0"/>
    <s v="660861199"/>
    <s v="4009422910"/>
    <s v="EFXNJ"/>
    <s v="4"/>
    <x v="0"/>
    <d v="2024-07-10T00:00:00"/>
    <s v="5110001489"/>
    <d v="2024-07-30T00:00:00"/>
  </r>
  <r>
    <x v="1"/>
    <d v="2024-07-30T00:00:00"/>
    <x v="6"/>
    <s v="6658020"/>
    <s v="Var Lease (excl.GER)"/>
    <s v="MW09C20100"/>
    <s v="Quality Control"/>
    <n v="3633.06"/>
    <s v="LOC E MANUT DE TRANSPALETEIRA"/>
    <x v="0"/>
    <s v="660861196"/>
    <s v="4009423621"/>
    <s v="EFXNJ"/>
    <s v="1"/>
    <x v="0"/>
    <d v="2024-07-10T00:00:00"/>
    <s v="5110003957"/>
    <d v="2024-07-30T00:00:00"/>
  </r>
  <r>
    <x v="1"/>
    <d v="2024-07-30T00:00:00"/>
    <x v="6"/>
    <s v="6658020"/>
    <s v="Var Lease (excl.GER)"/>
    <s v="MW09C20208"/>
    <s v="SC Form. Ins./Fung."/>
    <n v="10299.73"/>
    <s v="LOC E MANUT DE TRANSPALETEIRA"/>
    <x v="0"/>
    <s v="660861200"/>
    <s v="4009423622"/>
    <s v="EFXNJ"/>
    <s v="1"/>
    <x v="0"/>
    <d v="2024-07-10T00:00:00"/>
    <s v="5110003959"/>
    <d v="2024-07-30T00:00:00"/>
  </r>
  <r>
    <x v="1"/>
    <d v="2024-07-30T00:00:00"/>
    <x v="6"/>
    <s v="6658020"/>
    <s v="Var Lease (excl.GER)"/>
    <s v="MW09C20200"/>
    <s v="EC Form. Ins./Fung."/>
    <n v="2125.34"/>
    <s v="LOC E MANUT DE TRANSPALETEIRA"/>
    <x v="0"/>
    <s v="660861200"/>
    <s v="4009423622"/>
    <s v="EFXNJ"/>
    <s v="2"/>
    <x v="0"/>
    <d v="2024-07-10T00:00:00"/>
    <s v="5110003959"/>
    <d v="2024-07-30T00:00:00"/>
  </r>
  <r>
    <x v="1"/>
    <d v="2024-07-30T00:00:00"/>
    <x v="6"/>
    <s v="6658020"/>
    <s v="Var Lease (excl.GER)"/>
    <s v="MW09C20211"/>
    <s v="Ethrel Paste Form."/>
    <n v="1961.85"/>
    <s v="LOC E MANUT DE TRANSPALETEIRA"/>
    <x v="0"/>
    <s v="660861200"/>
    <s v="4009423622"/>
    <s v="EFXNJ"/>
    <s v="3"/>
    <x v="0"/>
    <d v="2024-07-10T00:00:00"/>
    <s v="5110003959"/>
    <d v="2024-07-30T00:00:00"/>
  </r>
  <r>
    <x v="1"/>
    <d v="2024-07-30T00:00:00"/>
    <x v="6"/>
    <s v="6658020"/>
    <s v="Var Lease (excl.GER)"/>
    <s v="MW09C20302"/>
    <s v="Pack Solids 1 KG"/>
    <n v="1961.85"/>
    <s v="LOC E MANUT DE TRANSPALETEIRA"/>
    <x v="0"/>
    <s v="660861200"/>
    <s v="4009423622"/>
    <s v="EFXNJ"/>
    <s v="4"/>
    <x v="0"/>
    <d v="2024-07-10T00:00:00"/>
    <s v="5110003959"/>
    <d v="2024-07-30T00:00:00"/>
  </r>
  <r>
    <x v="1"/>
    <d v="2024-08-19T00:00:00"/>
    <x v="7"/>
    <s v="6200000"/>
    <s v="Maint &amp; Leg/Co.Compl"/>
    <s v="MW09C20315"/>
    <s v="Pack. Ins./Fung. 1/5"/>
    <n v="1700"/>
    <s v="Valor Maint &amp; Leg Co Compl ref  Docto Nr  16397"/>
    <x v="0"/>
    <s v="660852224"/>
    <s v="4009449294"/>
    <s v="EFXNJ"/>
    <s v="1"/>
    <x v="0"/>
    <d v="2024-07-15T00:00:00"/>
    <s v="5110062909"/>
    <d v="2024-08-19T00:00:00"/>
  </r>
  <r>
    <x v="1"/>
    <d v="2024-08-26T00:00:00"/>
    <x v="7"/>
    <s v="6420000"/>
    <s v="Transports"/>
    <s v="MW09C20315"/>
    <s v="Pack. Ins./Fung. 1/5"/>
    <n v="95"/>
    <s v="Valor Transports ref  Docto Nr  16201"/>
    <x v="0"/>
    <s v="660828877"/>
    <s v="4009459578"/>
    <s v="EFXNJ"/>
    <s v="1"/>
    <x v="0"/>
    <d v="2024-05-09T00:00:00"/>
    <s v="5110081284"/>
    <d v="2024-08-26T00:00:00"/>
  </r>
  <r>
    <x v="1"/>
    <d v="2024-09-04T00:00:00"/>
    <x v="8"/>
    <s v="6658020"/>
    <s v="Var Lease (excl.GER)"/>
    <s v="MW09C20208"/>
    <s v="SC Form. Ins./Fung."/>
    <n v="-7304.77"/>
    <s v="LOC E MANUT DE EMPILHADEIRA ELÉT PATOLA"/>
    <x v="0"/>
    <s v="660861199"/>
    <s v="4009472310"/>
    <s v="EFXNJ"/>
    <s v="1"/>
    <x v="0"/>
    <d v="2024-07-10T00:00:00"/>
    <s v="5110108510"/>
    <d v="2024-09-04T00:00:00"/>
  </r>
  <r>
    <x v="1"/>
    <d v="2024-09-04T00:00:00"/>
    <x v="8"/>
    <s v="6658020"/>
    <s v="Var Lease (excl.GER)"/>
    <s v="MW09C20200"/>
    <s v="EC Form. Ins./Fung."/>
    <n v="-1507.33"/>
    <s v="LOC E MANUT DE EMPILHADEIRA ELÉT PATOLA"/>
    <x v="0"/>
    <s v="660861199"/>
    <s v="4009472310"/>
    <s v="EFXNJ"/>
    <s v="2"/>
    <x v="0"/>
    <d v="2024-07-10T00:00:00"/>
    <s v="5110108510"/>
    <d v="2024-09-04T00:00:00"/>
  </r>
  <r>
    <x v="1"/>
    <d v="2024-09-04T00:00:00"/>
    <x v="8"/>
    <s v="6658020"/>
    <s v="Var Lease (excl.GER)"/>
    <s v="MW09C20211"/>
    <s v="Ethrel Paste Form."/>
    <n v="-1391.39"/>
    <s v="LOC E MANUT DE EMPILHADEIRA ELÉT PATOLA"/>
    <x v="0"/>
    <s v="660861199"/>
    <s v="4009472310"/>
    <s v="EFXNJ"/>
    <s v="3"/>
    <x v="0"/>
    <d v="2024-07-10T00:00:00"/>
    <s v="5110108510"/>
    <d v="2024-09-04T00:00:00"/>
  </r>
  <r>
    <x v="1"/>
    <d v="2024-09-04T00:00:00"/>
    <x v="8"/>
    <s v="6658020"/>
    <s v="Var Lease (excl.GER)"/>
    <s v="MW09C20302"/>
    <s v="Pack Solids 1 KG"/>
    <n v="-1391.39"/>
    <s v="LOC E MANUT DE EMPILHADEIRA ELÉT PATOLA"/>
    <x v="0"/>
    <s v="660861199"/>
    <s v="4009472310"/>
    <s v="EFXNJ"/>
    <s v="4"/>
    <x v="0"/>
    <d v="2024-07-10T00:00:00"/>
    <s v="5110108510"/>
    <d v="2024-09-04T00:00:00"/>
  </r>
  <r>
    <x v="1"/>
    <d v="2024-09-04T00:00:00"/>
    <x v="8"/>
    <s v="6658020"/>
    <s v="Var Lease (excl.GER)"/>
    <s v="MW09C20208"/>
    <s v="SC Form. Ins./Fung."/>
    <n v="7304.77"/>
    <s v="LOC E MANUT DE EMPILHADEIRA ELÉT PATOLA"/>
    <x v="0"/>
    <s v="660861199"/>
    <s v="4009473011"/>
    <s v="EFXNJ"/>
    <s v="1"/>
    <x v="0"/>
    <d v="2024-07-10T00:00:00"/>
    <s v="5110108512"/>
    <d v="2024-09-04T00:00:00"/>
  </r>
  <r>
    <x v="1"/>
    <d v="2024-09-04T00:00:00"/>
    <x v="8"/>
    <s v="6658020"/>
    <s v="Var Lease (excl.GER)"/>
    <s v="MW09C20200"/>
    <s v="EC Form. Ins./Fung."/>
    <n v="1507.33"/>
    <s v="LOC E MANUT DE EMPILHADEIRA ELÉT PATOLA"/>
    <x v="0"/>
    <s v="660861199"/>
    <s v="4009473011"/>
    <s v="EFXNJ"/>
    <s v="2"/>
    <x v="0"/>
    <d v="2024-07-10T00:00:00"/>
    <s v="5110108512"/>
    <d v="2024-09-04T00:00:00"/>
  </r>
  <r>
    <x v="1"/>
    <d v="2024-09-04T00:00:00"/>
    <x v="8"/>
    <s v="6658020"/>
    <s v="Var Lease (excl.GER)"/>
    <s v="MW09C20211"/>
    <s v="Ethrel Paste Form."/>
    <n v="1391.39"/>
    <s v="LOC E MANUT DE EMPILHADEIRA ELÉT PATOLA"/>
    <x v="0"/>
    <s v="660861199"/>
    <s v="4009473011"/>
    <s v="EFXNJ"/>
    <s v="3"/>
    <x v="0"/>
    <d v="2024-07-10T00:00:00"/>
    <s v="5110108512"/>
    <d v="2024-09-04T00:00:00"/>
  </r>
  <r>
    <x v="1"/>
    <d v="2024-09-04T00:00:00"/>
    <x v="8"/>
    <s v="6658020"/>
    <s v="Var Lease (excl.GER)"/>
    <s v="MW09C20302"/>
    <s v="Pack Solids 1 KG"/>
    <n v="1391.39"/>
    <s v="LOC E MANUT DE EMPILHADEIRA ELÉT PATOLA"/>
    <x v="0"/>
    <s v="660861199"/>
    <s v="4009473011"/>
    <s v="EFXNJ"/>
    <s v="4"/>
    <x v="0"/>
    <d v="2024-07-10T00:00:00"/>
    <s v="5110108512"/>
    <d v="2024-09-04T00:00:00"/>
  </r>
  <r>
    <x v="1"/>
    <d v="2024-09-09T00:00:00"/>
    <x v="8"/>
    <s v="6658020"/>
    <s v="Var Lease (excl.GER)"/>
    <s v="MW09C20208"/>
    <s v="SC Form. Ins./Fung."/>
    <n v="-26369.99"/>
    <s v="LOC E MANUT DE EMPIL ELÉT PAT ABER"/>
    <x v="0"/>
    <s v="660861208"/>
    <s v="4009478502"/>
    <s v="GMGNT"/>
    <s v="1"/>
    <x v="0"/>
    <d v="2024-07-10T00:00:00"/>
    <s v="5110123293"/>
    <d v="2024-09-09T00:00:00"/>
  </r>
  <r>
    <x v="1"/>
    <d v="2024-09-09T00:00:00"/>
    <x v="8"/>
    <s v="6658020"/>
    <s v="Var Lease (excl.GER)"/>
    <s v="MW09C20200"/>
    <s v="EC Form. Ins./Fung."/>
    <n v="-5466.95"/>
    <s v="LOC E MANUT DE EMPIL ELÉT PAT ABER"/>
    <x v="0"/>
    <s v="660861208"/>
    <s v="4009478502"/>
    <s v="GMGNT"/>
    <s v="2"/>
    <x v="0"/>
    <d v="2024-07-10T00:00:00"/>
    <s v="5110123293"/>
    <d v="2024-09-09T00:00:00"/>
  </r>
  <r>
    <x v="1"/>
    <d v="2024-09-09T00:00:00"/>
    <x v="8"/>
    <s v="6658020"/>
    <s v="Var Lease (excl.GER)"/>
    <s v="MW09C20211"/>
    <s v="Ethrel Paste Form."/>
    <n v="-5016.7299999999996"/>
    <s v="LOC E MANUT DE EMPIL ELÉT PAT ABER"/>
    <x v="0"/>
    <s v="660861208"/>
    <s v="4009478502"/>
    <s v="GMGNT"/>
    <s v="3"/>
    <x v="0"/>
    <d v="2024-07-10T00:00:00"/>
    <s v="5110123293"/>
    <d v="2024-09-09T00:00:00"/>
  </r>
  <r>
    <x v="1"/>
    <d v="2024-09-09T00:00:00"/>
    <x v="8"/>
    <s v="6658020"/>
    <s v="Var Lease (excl.GER)"/>
    <s v="MW09C20302"/>
    <s v="Pack Solids 1 KG"/>
    <n v="-5016.7299999999996"/>
    <s v="LOC E MANUT DE EMPIL ELÉT PAT ABER"/>
    <x v="0"/>
    <s v="660861208"/>
    <s v="4009478502"/>
    <s v="GMGNT"/>
    <s v="4"/>
    <x v="0"/>
    <d v="2024-07-10T00:00:00"/>
    <s v="5110123293"/>
    <d v="2024-09-09T00:00:00"/>
  </r>
  <r>
    <x v="1"/>
    <d v="2024-09-09T00:00:00"/>
    <x v="8"/>
    <s v="6658020"/>
    <s v="Var Lease (excl.GER)"/>
    <s v="MW09C20208"/>
    <s v="SC Form. Ins./Fung."/>
    <n v="40582.080000000002"/>
    <s v="LOC E MANUT DE EMPIL ELÉT PAT ABER"/>
    <x v="0"/>
    <s v="660861208"/>
    <s v="4009478506"/>
    <s v="GMGNT"/>
    <s v="1"/>
    <x v="0"/>
    <d v="2024-07-10T00:00:00"/>
    <s v="5110123294"/>
    <d v="2024-09-09T00:00:00"/>
  </r>
  <r>
    <x v="1"/>
    <d v="2024-09-09T00:00:00"/>
    <x v="8"/>
    <s v="6658020"/>
    <s v="Var Lease (excl.GER)"/>
    <s v="MW09C20200"/>
    <s v="EC Form. Ins./Fung."/>
    <n v="8374.08"/>
    <s v="LOC E MANUT DE EMPIL ELÉT PAT ABER"/>
    <x v="0"/>
    <s v="660861208"/>
    <s v="4009478506"/>
    <s v="GMGNT"/>
    <s v="2"/>
    <x v="0"/>
    <d v="2024-07-10T00:00:00"/>
    <s v="5110123294"/>
    <d v="2024-09-09T00:00:00"/>
  </r>
  <r>
    <x v="1"/>
    <d v="2024-09-09T00:00:00"/>
    <x v="8"/>
    <s v="6658020"/>
    <s v="Var Lease (excl.GER)"/>
    <s v="MW09C20211"/>
    <s v="Ethrel Paste Form."/>
    <n v="7729.92"/>
    <s v="LOC E MANUT DE EMPIL ELÉT PAT ABER"/>
    <x v="0"/>
    <s v="660861208"/>
    <s v="4009478506"/>
    <s v="GMGNT"/>
    <s v="3"/>
    <x v="0"/>
    <d v="2024-07-10T00:00:00"/>
    <s v="5110123294"/>
    <d v="2024-09-09T00:00:00"/>
  </r>
  <r>
    <x v="1"/>
    <d v="2024-09-09T00:00:00"/>
    <x v="8"/>
    <s v="6658020"/>
    <s v="Var Lease (excl.GER)"/>
    <s v="MW09C20302"/>
    <s v="Pack Solids 1 KG"/>
    <n v="7729.92"/>
    <s v="LOC E MANUT DE EMPIL ELÉT PAT ABER"/>
    <x v="0"/>
    <s v="660861208"/>
    <s v="4009478506"/>
    <s v="GMGNT"/>
    <s v="4"/>
    <x v="0"/>
    <d v="2024-07-10T00:00:00"/>
    <s v="5110123294"/>
    <d v="2024-09-09T00:00:00"/>
  </r>
  <r>
    <x v="1"/>
    <d v="2024-10-08T00:00:00"/>
    <x v="9"/>
    <s v="6658020"/>
    <s v="Var Lease (excl.GER)"/>
    <s v="MW09C20200"/>
    <s v="EC Form. Ins./Fung."/>
    <n v="11594.88"/>
    <s v="LOC E MANUT DE EMPILHADEIRA ELÉT PATOLA"/>
    <x v="0"/>
    <s v="660877710"/>
    <s v="4009518754"/>
    <s v="GNEDA"/>
    <s v="1"/>
    <x v="0"/>
    <d v="2024-08-16T00:00:00"/>
    <s v="5110231814"/>
    <d v="2024-10-08T00:00:00"/>
  </r>
  <r>
    <x v="1"/>
    <d v="2024-10-08T00:00:00"/>
    <x v="9"/>
    <s v="6420000"/>
    <s v="Transports"/>
    <s v="MW09C20011"/>
    <s v="Site logistics"/>
    <n v="3633.06"/>
    <s v="LOC E MANUT DE TRANSPALETEIRA"/>
    <x v="0"/>
    <s v="660877722"/>
    <s v="4009518761"/>
    <s v="GNEDA"/>
    <s v="1"/>
    <x v="0"/>
    <d v="2024-08-16T00:00:00"/>
    <s v="5110231816"/>
    <d v="2024-10-08T00:00:00"/>
  </r>
  <r>
    <x v="1"/>
    <d v="2024-10-08T00:00:00"/>
    <x v="9"/>
    <s v="6420000"/>
    <s v="Transports"/>
    <s v="MW09C20011"/>
    <s v="Site logistics"/>
    <n v="16348.77"/>
    <s v="LOC E MANUT DE TRANSPALETEIRA"/>
    <x v="0"/>
    <s v="660877725"/>
    <s v="4009518762"/>
    <s v="GNEDA"/>
    <s v="1"/>
    <x v="0"/>
    <d v="2024-08-16T00:00:00"/>
    <s v="5110231967"/>
    <d v="2024-10-08T00:00:00"/>
  </r>
  <r>
    <x v="1"/>
    <d v="2024-10-08T00:00:00"/>
    <x v="9"/>
    <s v="6658020"/>
    <s v="Var Lease (excl.GER)"/>
    <s v="MW09C20208"/>
    <s v="SC Form. Ins./Fung."/>
    <n v="64416"/>
    <s v="LOC E MANUT DE EMPIL ELÉT PAT ABER"/>
    <x v="0"/>
    <s v="660877718"/>
    <s v="4009518764"/>
    <s v="GNEDA"/>
    <s v="1"/>
    <x v="0"/>
    <d v="2024-08-16T00:00:00"/>
    <s v="5110231969"/>
    <d v="2024-10-08T00:00:00"/>
  </r>
  <r>
    <x v="1"/>
    <d v="2024-10-18T00:00:00"/>
    <x v="9"/>
    <s v="6658020"/>
    <s v="Var Lease (excl.GER)"/>
    <s v="MW09C20211"/>
    <s v="Ethrel Paste Form."/>
    <n v="16348.77"/>
    <s v="Valor do documento Nr  32814"/>
    <x v="0"/>
    <s v="660891920"/>
    <s v="4009532110"/>
    <s v="RCSILV7"/>
    <s v="1"/>
    <x v="0"/>
    <d v="2024-09-18T00:00:00"/>
    <s v="5110269161"/>
    <d v="2024-10-18T00:00:00"/>
  </r>
  <r>
    <x v="1"/>
    <d v="2024-10-18T00:00:00"/>
    <x v="9"/>
    <s v="6420000"/>
    <s v="Transports"/>
    <s v="MW09C20011"/>
    <s v="Site logistics"/>
    <n v="11594.88"/>
    <s v="Valor do documento Nr  32816"/>
    <x v="0"/>
    <s v="660891907"/>
    <s v="4009532511"/>
    <s v="RCSILV7"/>
    <s v="1"/>
    <x v="0"/>
    <d v="2024-09-18T00:00:00"/>
    <s v="5110269162"/>
    <d v="2024-10-18T00:00:00"/>
  </r>
  <r>
    <x v="1"/>
    <d v="2024-10-18T00:00:00"/>
    <x v="9"/>
    <s v="6658020"/>
    <s v="Var Lease (excl.GER)"/>
    <s v="MW09C20211"/>
    <s v="Ethrel Paste Form."/>
    <n v="-16348.77"/>
    <s v="Valor do Documento Nr 32814"/>
    <x v="0"/>
    <s v="660891920"/>
    <s v="4009532533"/>
    <s v="RCSILV7"/>
    <s v="1"/>
    <x v="0"/>
    <d v="2024-09-18T00:00:00"/>
    <s v="5110269236"/>
    <d v="2024-10-18T00:00:00"/>
  </r>
  <r>
    <x v="1"/>
    <d v="2024-10-18T00:00:00"/>
    <x v="9"/>
    <s v="6420000"/>
    <s v="Transports"/>
    <s v="MW09C20011"/>
    <s v="Site logistics"/>
    <n v="-11594.88"/>
    <s v="Valor do Documento Nr 32816"/>
    <x v="0"/>
    <s v="660891907"/>
    <s v="4009532537"/>
    <s v="RCSILV7"/>
    <s v="1"/>
    <x v="0"/>
    <d v="2024-09-18T00:00:00"/>
    <s v="5110269240"/>
    <d v="2024-10-18T00:00:00"/>
  </r>
  <r>
    <x v="1"/>
    <d v="2024-10-18T00:00:00"/>
    <x v="9"/>
    <s v="6658020"/>
    <s v="Var Lease (excl.GER)"/>
    <s v="MW09C20211"/>
    <s v="Ethrel Paste Form."/>
    <n v="14836.51"/>
    <s v="LOC E MANUT DE TRANSPALETEIRA"/>
    <x v="0"/>
    <s v="660891920"/>
    <s v="4009532541"/>
    <s v="RCSILV7"/>
    <s v="1"/>
    <x v="0"/>
    <d v="2024-09-18T00:00:00"/>
    <s v="5110269278"/>
    <d v="2024-10-18T00:00:00"/>
  </r>
  <r>
    <x v="1"/>
    <d v="2024-10-18T00:00:00"/>
    <x v="9"/>
    <s v="6420000"/>
    <s v="Transports"/>
    <s v="MW09C20011"/>
    <s v="Site logistics"/>
    <n v="10522.35"/>
    <s v="LOC E MANUT DE EMPILHADEIRA ELÉT PATOLA"/>
    <x v="0"/>
    <s v="660891907"/>
    <s v="4009532542"/>
    <s v="RCSILV7"/>
    <s v="1"/>
    <x v="0"/>
    <d v="2024-09-18T00:00:00"/>
    <s v="5110269279"/>
    <d v="2024-10-18T00:00:00"/>
  </r>
  <r>
    <x v="1"/>
    <d v="2024-10-18T00:00:00"/>
    <x v="9"/>
    <s v="6658020"/>
    <s v="Var Lease (excl.GER)"/>
    <s v="MW09C20208"/>
    <s v="SC Form. Ins./Fung."/>
    <n v="58457.52"/>
    <s v="LOC E MANUT DE EMPIL ELÉT PAT ABER"/>
    <x v="0"/>
    <s v="660891906"/>
    <s v="4009532546"/>
    <s v="RCSILV7"/>
    <s v="1"/>
    <x v="0"/>
    <d v="2024-09-18T00:00:00"/>
    <s v="5110269282"/>
    <d v="2024-10-18T00:00:00"/>
  </r>
  <r>
    <x v="1"/>
    <d v="2024-10-18T00:00:00"/>
    <x v="9"/>
    <s v="6658020"/>
    <s v="Var Lease (excl.GER)"/>
    <s v="MW09C20302"/>
    <s v="Pack Solids 1 KG"/>
    <n v="3297"/>
    <s v="LOC E MANUT DE TRANSPALETEIRA"/>
    <x v="0"/>
    <s v="660891909"/>
    <s v="4009532548"/>
    <s v="RCSILV7"/>
    <s v="1"/>
    <x v="0"/>
    <d v="2024-09-18T00:00:00"/>
    <s v="5110269284"/>
    <d v="2024-10-18T00:00:00"/>
  </r>
  <r>
    <x v="1"/>
    <d v="2024-10-18T00:00:00"/>
    <x v="9"/>
    <s v="6658020"/>
    <s v="Var Lease (excl.GER)"/>
    <s v="MW09C20208"/>
    <s v="SC Form. Ins./Fung."/>
    <n v="-58457.52"/>
    <s v="LOC E MANUT DE EMPIL ELÉT PAT ABER"/>
    <x v="0"/>
    <s v="660891906"/>
    <s v="4009532550"/>
    <s v="RCSILV7"/>
    <s v="1"/>
    <x v="0"/>
    <d v="2024-09-18T00:00:00"/>
    <s v="5110269286"/>
    <d v="2024-10-18T00:00:00"/>
  </r>
  <r>
    <x v="1"/>
    <d v="2024-10-18T00:00:00"/>
    <x v="9"/>
    <s v="6658020"/>
    <s v="Var Lease (excl.GER)"/>
    <s v="MW09C20208"/>
    <s v="SC Form. Ins./Fung."/>
    <n v="58457.52"/>
    <s v="LOC E MANUT DE EMPIL ELÉT PAT ABER"/>
    <x v="0"/>
    <s v="660891906"/>
    <s v="4009532552"/>
    <s v="RCSILV7"/>
    <s v="1"/>
    <x v="0"/>
    <d v="2024-09-18T00:00:00"/>
    <s v="5110269338"/>
    <d v="2024-10-18T00:00:00"/>
  </r>
  <r>
    <x v="1"/>
    <d v="2024-10-28T00:00:00"/>
    <x v="9"/>
    <s v="6658020"/>
    <s v="Var Lease (excl.GER)"/>
    <s v="MW09C20315"/>
    <s v="Pack. Ins./Fung. 1/5"/>
    <n v="95"/>
    <s v="Valor Var Lease (excl GER) ref  Docto Nr  16650"/>
    <x v="0"/>
    <s v="660898791"/>
    <s v="4009546734"/>
    <s v="EAUXB"/>
    <s v="1"/>
    <x v="0"/>
    <d v="2024-10-23T00:00:00"/>
    <s v="5110297722"/>
    <d v="2024-10-28T00:00:00"/>
  </r>
  <r>
    <x v="1"/>
    <d v="2024-10-28T00:00:00"/>
    <x v="9"/>
    <s v="6658020"/>
    <s v="Var Lease (excl.GER)"/>
    <s v="MW09C20315"/>
    <s v="Pack. Ins./Fung. 1/5"/>
    <n v="420"/>
    <s v="Valor Var Lease (excl GER) ref  Docto Nr  16651"/>
    <x v="0"/>
    <s v="660898788"/>
    <s v="4009546748"/>
    <s v="EAUXB"/>
    <s v="1"/>
    <x v="0"/>
    <d v="2024-10-23T00:00:00"/>
    <s v="5110297724"/>
    <d v="2024-10-28T00:00:00"/>
  </r>
  <r>
    <x v="1"/>
    <d v="2024-10-28T00:00:00"/>
    <x v="9"/>
    <s v="6658020"/>
    <s v="Var Lease (excl.GER)"/>
    <s v="MW09C20315"/>
    <s v="Pack. Ins./Fung. 1/5"/>
    <n v="140"/>
    <s v="Valor Var Lease (excl GER) ref  Docto Nr  16654"/>
    <x v="0"/>
    <s v="660898781"/>
    <s v="4009546752"/>
    <s v="EAUXB"/>
    <s v="1"/>
    <x v="0"/>
    <d v="2024-10-23T00:00:00"/>
    <s v="5110297726"/>
    <d v="2024-10-28T00:00:00"/>
  </r>
  <r>
    <x v="1"/>
    <d v="2024-10-28T00:00:00"/>
    <x v="9"/>
    <s v="6658020"/>
    <s v="Var Lease (excl.GER)"/>
    <s v="MW09C20315"/>
    <s v="Pack. Ins./Fung. 1/5"/>
    <n v="420"/>
    <s v="Valor Var Lease (excl GER) ref  Docto Nr  16653"/>
    <x v="0"/>
    <s v="660898771"/>
    <s v="4009546756"/>
    <s v="EAUXB"/>
    <s v="1"/>
    <x v="0"/>
    <d v="2024-10-23T00:00:00"/>
    <s v="5110297849"/>
    <d v="2024-10-28T00:00:00"/>
  </r>
  <r>
    <x v="1"/>
    <d v="2024-10-28T00:00:00"/>
    <x v="9"/>
    <s v="6658020"/>
    <s v="Var Lease (excl.GER)"/>
    <s v="MW09C20315"/>
    <s v="Pack. Ins./Fung. 1/5"/>
    <n v="280"/>
    <s v="Valor Var Lease (excl GER) ref  Docto Nr  16652"/>
    <x v="0"/>
    <s v="660898786"/>
    <s v="4009546760"/>
    <s v="EAUXB"/>
    <s v="1"/>
    <x v="0"/>
    <d v="2024-10-23T00:00:00"/>
    <s v="5110297851"/>
    <d v="2024-10-28T00:00:00"/>
  </r>
  <r>
    <x v="1"/>
    <d v="2024-10-28T00:00:00"/>
    <x v="9"/>
    <s v="6658020"/>
    <s v="Var Lease (excl.GER)"/>
    <s v="MW09C20315"/>
    <s v="Pack. Ins./Fung. 1/5"/>
    <n v="460"/>
    <s v="Valor Var Lease (excl GER) ref  Docto Nr  16655"/>
    <x v="0"/>
    <s v="660898761"/>
    <s v="4009546767"/>
    <s v="EAUXB"/>
    <s v="1"/>
    <x v="0"/>
    <d v="2024-10-23T00:00:00"/>
    <s v="5110297854"/>
    <d v="2024-10-28T00:00:00"/>
  </r>
  <r>
    <x v="1"/>
    <d v="2024-12-13T00:00:00"/>
    <x v="11"/>
    <s v="6658020"/>
    <s v="Var Lease (excl.GER)"/>
    <s v="MW09C20302"/>
    <s v="Pack Solids 1 KG"/>
    <n v="16348.77"/>
    <s v="LOC E MANUT DE TRANSPALETEIRA"/>
    <x v="0"/>
    <s v="660904077"/>
    <s v="4009641188"/>
    <s v="EFXNJ"/>
    <s v="1"/>
    <x v="0"/>
    <d v="2024-10-10T00:00:00"/>
    <s v="5110476813"/>
    <d v="2024-12-13T00:00:00"/>
  </r>
  <r>
    <x v="1"/>
    <d v="2024-12-13T00:00:00"/>
    <x v="11"/>
    <s v="6658020"/>
    <s v="Var Lease (excl.GER)"/>
    <s v="MW09C20100"/>
    <s v="Quality Control"/>
    <n v="3633.06"/>
    <s v="LOC E MANUT DE TRANSPALETEIRA"/>
    <x v="0"/>
    <s v="660904096"/>
    <s v="4009641189"/>
    <s v="EFXNJ"/>
    <s v="1"/>
    <x v="0"/>
    <d v="2024-10-10T00:00:00"/>
    <s v="5110476814"/>
    <d v="2024-12-13T00:00:00"/>
  </r>
  <r>
    <x v="1"/>
    <d v="2024-12-13T00:00:00"/>
    <x v="11"/>
    <s v="6658020"/>
    <s v="Var Lease (excl.GER)"/>
    <s v="MW09C20200"/>
    <s v="EC Form. Ins./Fung."/>
    <n v="11594.88"/>
    <s v="LOC E MANUT DE EMPILHADEIRA ELÉT PATOLA"/>
    <x v="0"/>
    <s v="660904074"/>
    <s v="4009641190"/>
    <s v="EFXNJ"/>
    <s v="1"/>
    <x v="0"/>
    <d v="2024-10-10T00:00:00"/>
    <s v="5110476816"/>
    <d v="2024-12-13T00:00:00"/>
  </r>
  <r>
    <x v="1"/>
    <d v="2024-12-13T00:00:00"/>
    <x v="11"/>
    <s v="6658020"/>
    <s v="Var Lease (excl.GER)"/>
    <s v="MW09C20208"/>
    <s v="SC Form. Ins./Fung."/>
    <n v="64416"/>
    <s v="Valor do documento Nr  32984"/>
    <x v="0"/>
    <s v="660904063"/>
    <s v="4009641191"/>
    <s v="EFXNJ"/>
    <s v="1"/>
    <x v="0"/>
    <d v="2024-10-10T00:00:00"/>
    <s v="5110476827"/>
    <d v="2024-12-13T00:00:00"/>
  </r>
  <r>
    <x v="1"/>
    <d v="2024-12-15T00:00:00"/>
    <x v="11"/>
    <s v="6658020"/>
    <s v="Var Lease (excl.GER)"/>
    <s v="MW09C20200"/>
    <s v="EC Form. Ins./Fung."/>
    <n v="11594.88"/>
    <s v="LOC E MANUT DE EMPILHADEIRA ELÉT PATOLA"/>
    <x v="0"/>
    <s v="660930453"/>
    <s v="4009643971"/>
    <s v="EFXNJ"/>
    <s v="1"/>
    <x v="0"/>
    <d v="2024-12-05T00:00:00"/>
    <s v="5110482805"/>
    <d v="2024-12-15T00:00:00"/>
  </r>
  <r>
    <x v="1"/>
    <d v="2024-12-16T00:00:00"/>
    <x v="11"/>
    <s v="6658020"/>
    <s v="Var Lease (excl.GER)"/>
    <s v="MW09C20302"/>
    <s v="Pack Solids 1 KG"/>
    <n v="16348.77"/>
    <s v="LOC E MANUT DE TRANSPALETEIRA"/>
    <x v="0"/>
    <s v="660919017"/>
    <s v="4009644277"/>
    <s v="EAUXB"/>
    <s v="1"/>
    <x v="0"/>
    <d v="2024-11-11T00:00:00"/>
    <s v="5110485766"/>
    <d v="2024-12-16T00:00:00"/>
  </r>
  <r>
    <x v="1"/>
    <d v="2024-12-16T00:00:00"/>
    <x v="11"/>
    <s v="6658020"/>
    <s v="Var Lease (excl.GER)"/>
    <s v="MW09C20302"/>
    <s v="Pack Solids 1 KG"/>
    <n v="16348.77"/>
    <s v="LOC E MANUT DE TRANSPALETEIRA"/>
    <x v="0"/>
    <s v="660930466"/>
    <s v="4009644308"/>
    <s v="EAUXB"/>
    <s v="1"/>
    <x v="0"/>
    <d v="2024-12-05T00:00:00"/>
    <s v="5110486223"/>
    <d v="2024-12-16T00:00:00"/>
  </r>
  <r>
    <x v="1"/>
    <d v="2024-12-16T00:00:00"/>
    <x v="11"/>
    <s v="6658020"/>
    <s v="Var Lease (excl.GER)"/>
    <s v="MW09C20100"/>
    <s v="Quality Control"/>
    <n v="3633.06"/>
    <s v="LOC E MANUT DE TRANSPALETEIRA"/>
    <x v="0"/>
    <s v="660930469"/>
    <s v="4009644309"/>
    <s v="EAUXB"/>
    <s v="1"/>
    <x v="0"/>
    <d v="2024-12-05T00:00:00"/>
    <s v="5110486225"/>
    <d v="2024-12-16T00:00:00"/>
  </r>
  <r>
    <x v="1"/>
    <d v="2024-12-16T00:00:00"/>
    <x v="11"/>
    <s v="6658020"/>
    <s v="Var Lease (excl.GER)"/>
    <s v="MW09C20200"/>
    <s v="EC Form. Ins./Fung."/>
    <n v="11594.88"/>
    <s v="LOC E MANUT DE EMPILHADEIRA ELÉT PATOLA"/>
    <x v="0"/>
    <s v="660919013"/>
    <s v="4009644310"/>
    <s v="EAUXB"/>
    <s v="1"/>
    <x v="0"/>
    <d v="2024-11-11T00:00:00"/>
    <s v="5110486226"/>
    <d v="2024-12-16T00:00:00"/>
  </r>
  <r>
    <x v="1"/>
    <d v="2024-12-16T00:00:00"/>
    <x v="11"/>
    <s v="6658020"/>
    <s v="Var Lease (excl.GER)"/>
    <s v="MW09C20208"/>
    <s v="SC Form. Ins./Fung."/>
    <n v="64416"/>
    <s v="LOC E MANUT DE EMPIL ELÉT PAT ABER"/>
    <x v="0"/>
    <s v="660919039"/>
    <s v="4009644611"/>
    <s v="EAUXB"/>
    <s v="1"/>
    <x v="0"/>
    <d v="2024-11-11T00:00:00"/>
    <s v="5110486287"/>
    <d v="2024-12-16T00:00:00"/>
  </r>
  <r>
    <x v="1"/>
    <d v="2024-12-16T00:00:00"/>
    <x v="11"/>
    <s v="6658020"/>
    <s v="Var Lease (excl.GER)"/>
    <s v="MW09C20100"/>
    <s v="Quality Control"/>
    <n v="3633.06"/>
    <s v="LOC E MANUT DE TRANSPALETEIRA"/>
    <x v="0"/>
    <s v="660918995"/>
    <s v="4009644613"/>
    <s v="EAUXB"/>
    <s v="1"/>
    <x v="0"/>
    <d v="2024-11-11T00:00:00"/>
    <s v="5110486290"/>
    <d v="2024-12-16T00:00:00"/>
  </r>
  <r>
    <x v="1"/>
    <d v="2024-12-16T00:00:00"/>
    <x v="11"/>
    <s v="6658020"/>
    <s v="Var Lease (excl.GER)"/>
    <s v="MW09C20208"/>
    <s v="SC Form. Ins./Fung."/>
    <n v="64416"/>
    <s v="LOC E MANUT DE EMPIL ELÉT PAT ABER"/>
    <x v="0"/>
    <s v="660930440"/>
    <s v="4009644615"/>
    <s v="EAUXB"/>
    <s v="1"/>
    <x v="0"/>
    <d v="2024-12-05T00:00:00"/>
    <s v="5110486291"/>
    <d v="2024-12-16T00:00:00"/>
  </r>
  <r>
    <x v="2"/>
    <d v="2025-01-15T00:00:00"/>
    <x v="0"/>
    <s v="6658020"/>
    <s v="Var Lease (excl.GER)"/>
    <s v="MW09C20315"/>
    <s v="Pack. Ins./Fung. 1/5"/>
    <n v="11594.88"/>
    <s v="LOC E MANUT DE EMPILHADEIRA ELÉT PATOLA"/>
    <x v="0"/>
    <s v="660945539"/>
    <s v="4009673092"/>
    <s v="EAUXB"/>
    <s v="1"/>
    <x v="0"/>
    <d v="2025-01-15T00:00:00"/>
    <s v="5110587743"/>
    <d v="2025-01-15T00:00:00"/>
  </r>
  <r>
    <x v="2"/>
    <d v="2025-01-15T00:00:00"/>
    <x v="0"/>
    <s v="6658020"/>
    <s v="Var Lease (excl.GER)"/>
    <s v="MW09C20208"/>
    <s v="SC Form. Ins./Fung."/>
    <n v="64416"/>
    <s v="LOC E MANUT DE EMPILHADEIRA ELÉT PATOLA"/>
    <x v="0"/>
    <s v="660945533"/>
    <s v="4009673101"/>
    <s v="EAUXB"/>
    <s v="1"/>
    <x v="0"/>
    <d v="2025-01-15T00:00:00"/>
    <s v="5110587744"/>
    <d v="2025-01-15T00:00:00"/>
  </r>
  <r>
    <x v="2"/>
    <d v="2025-01-16T00:00:00"/>
    <x v="0"/>
    <s v="6420000"/>
    <s v="Transports"/>
    <s v="MW09C20011"/>
    <s v="Site logistics"/>
    <n v="16348.77"/>
    <s v="LOC E MANUT DE TRANSPALETEIRA"/>
    <x v="0"/>
    <s v="660945549"/>
    <s v="4009674213"/>
    <s v="EAUXB"/>
    <s v="1"/>
    <x v="0"/>
    <d v="2025-01-15T00:00:00"/>
    <s v="5110591427"/>
    <d v="2025-01-16T00:00:00"/>
  </r>
  <r>
    <x v="2"/>
    <d v="2025-01-16T00:00:00"/>
    <x v="0"/>
    <s v="6658020"/>
    <s v="Var Lease (excl.GER)"/>
    <s v="MW09C20100"/>
    <s v="Quality Control"/>
    <n v="3633.06"/>
    <s v="LOC E MANUT DE TRANSPALETEIRA"/>
    <x v="0"/>
    <s v="660945546"/>
    <s v="4009674214"/>
    <s v="EAUXB"/>
    <s v="1"/>
    <x v="0"/>
    <d v="2025-01-15T00:00:00"/>
    <s v="5110591428"/>
    <d v="2025-01-16T00:00:00"/>
  </r>
  <r>
    <x v="2"/>
    <d v="2025-02-11T00:00:00"/>
    <x v="1"/>
    <s v="6658020"/>
    <s v="Var Lease (excl.GER)"/>
    <s v="MW09C20011"/>
    <s v="Site logistics"/>
    <n v="560"/>
    <s v="Valor Var Lease (excl GER) ref  Docto Nr  17076"/>
    <x v="0"/>
    <s v="660954667"/>
    <s v="4009701021"/>
    <s v="EFXNJ"/>
    <s v="1"/>
    <x v="0"/>
    <d v="2025-02-07T00:00:00"/>
    <s v="5110692747"/>
    <d v="2025-02-11T00:00:00"/>
  </r>
  <r>
    <x v="2"/>
    <d v="2025-02-11T00:00:00"/>
    <x v="1"/>
    <s v="6658020"/>
    <s v="Var Lease (excl.GER)"/>
    <s v="MW09C20011"/>
    <s v="Site logistics"/>
    <n v="308"/>
    <s v="Valor Var Lease (excl GER) ref  Docto Nr  17081"/>
    <x v="0"/>
    <s v="660955399"/>
    <s v="4009701023"/>
    <s v="EFXNJ"/>
    <s v="1"/>
    <x v="0"/>
    <d v="2025-02-07T00:00:00"/>
    <s v="5110692748"/>
    <d v="2025-02-11T00:00:00"/>
  </r>
  <r>
    <x v="2"/>
    <d v="2025-02-11T00:00:00"/>
    <x v="1"/>
    <s v="6658020"/>
    <s v="Var Lease (excl.GER)"/>
    <s v="MW09C20011"/>
    <s v="Site logistics"/>
    <n v="1992"/>
    <s v="Valor Var Lease (excl GER) ref  Docto Nr  17075"/>
    <x v="0"/>
    <s v="660954656"/>
    <s v="4009701024"/>
    <s v="EFXNJ"/>
    <s v="1"/>
    <x v="0"/>
    <d v="2025-02-07T00:00:00"/>
    <s v="5110692749"/>
    <d v="2025-02-11T00:00:00"/>
  </r>
  <r>
    <x v="2"/>
    <d v="2025-02-25T00:00:00"/>
    <x v="1"/>
    <s v="6657990"/>
    <s v="Rent o lsd PPE"/>
    <s v="MW09C20011"/>
    <s v="Site logistics"/>
    <n v="17192.34"/>
    <s v="LOC E MANUT DE TRANSPALETEIRA"/>
    <x v="0"/>
    <s v="660956684"/>
    <s v="4009717194"/>
    <s v="EFXNJ"/>
    <s v="1"/>
    <x v="0"/>
    <d v="2025-02-24T00:00:00"/>
    <s v="5110744270"/>
    <d v="2025-02-25T00:00:00"/>
  </r>
  <r>
    <x v="2"/>
    <d v="2025-02-25T00:00:00"/>
    <x v="1"/>
    <s v="6657990"/>
    <s v="Rent o lsd PPE"/>
    <s v="MW09C20011"/>
    <s v="Site logistics"/>
    <n v="3820.52"/>
    <s v="LOC E MANUT DE TRANSPALETEIRA"/>
    <x v="0"/>
    <s v="660956686"/>
    <s v="4009717195"/>
    <s v="EFXNJ"/>
    <s v="1"/>
    <x v="0"/>
    <d v="2025-02-24T00:00:00"/>
    <s v="5110744271"/>
    <d v="2025-02-25T00:00:00"/>
  </r>
  <r>
    <x v="2"/>
    <d v="2025-02-25T00:00:00"/>
    <x v="1"/>
    <s v="6657990"/>
    <s v="Rent o lsd PPE"/>
    <s v="MW09C20011"/>
    <s v="Site logistics"/>
    <n v="12193.16"/>
    <s v="LOC E MANUT DE EMPILHADEIRA ELÉT PATOLA"/>
    <x v="0"/>
    <s v="660956678"/>
    <s v="4009717202"/>
    <s v="EFXNJ"/>
    <s v="1"/>
    <x v="0"/>
    <d v="2025-02-24T00:00:00"/>
    <s v="5110744280"/>
    <d v="2025-02-25T00:00:00"/>
  </r>
  <r>
    <x v="2"/>
    <d v="2025-02-25T00:00:00"/>
    <x v="1"/>
    <s v="6657990"/>
    <s v="Rent o lsd PPE"/>
    <s v="MW09C20011"/>
    <s v="Site logistics"/>
    <n v="67739.8"/>
    <s v="LOC E MANUT DE EMPIL ELÉT PAT ABER"/>
    <x v="0"/>
    <s v="660956685"/>
    <s v="4009717206"/>
    <s v="GNEDA"/>
    <s v="1"/>
    <x v="0"/>
    <d v="2025-02-24T00:00:00"/>
    <s v="5110744283"/>
    <d v="2025-02-25T00:00:00"/>
  </r>
  <r>
    <x v="2"/>
    <d v="2025-03-12T00:00:00"/>
    <x v="2"/>
    <s v="6658020"/>
    <s v="Var Lease (excl.GER)"/>
    <s v="MW09C20011"/>
    <s v="Site logistics"/>
    <n v="480"/>
    <s v="Valor Var Lease (excl GER) ref  Docto Nr  16980"/>
    <x v="0"/>
    <s v=""/>
    <s v="4009732352"/>
    <s v="GNEDA"/>
    <s v="1"/>
    <x v="0"/>
    <d v="2025-01-15T00:00:00"/>
    <s v="4640002303"/>
    <d v="2025-03-12T00:00:00"/>
  </r>
  <r>
    <x v="2"/>
    <d v="2025-03-20T00:00:00"/>
    <x v="2"/>
    <s v="6658020"/>
    <s v="Var Lease (excl.GER)"/>
    <s v="MW09C20011"/>
    <s v="Site logistics"/>
    <n v="12193.16"/>
    <s v="LOC E MANUT DE EMPILHADEIRA ELÉT PATOLA"/>
    <x v="0"/>
    <s v="660975114"/>
    <s v="4009738039"/>
    <s v="EFXNJ"/>
    <s v="1"/>
    <x v="0"/>
    <d v="2025-03-18T00:00:00"/>
    <s v="5110829566"/>
    <d v="2025-03-20T00:00:00"/>
  </r>
  <r>
    <x v="2"/>
    <d v="2025-03-20T00:00:00"/>
    <x v="2"/>
    <s v="6658020"/>
    <s v="Var Lease (excl.GER)"/>
    <s v="MW09C20011"/>
    <s v="Site logistics"/>
    <n v="17192.34"/>
    <s v="LOC E MANUT DE TRANSPALETEIRA"/>
    <x v="0"/>
    <s v="660975062"/>
    <s v="4009738041"/>
    <s v="EFXNJ"/>
    <s v="1"/>
    <x v="0"/>
    <d v="2025-03-18T00:00:00"/>
    <s v="5110829599"/>
    <d v="2025-03-20T00:00:00"/>
  </r>
  <r>
    <x v="2"/>
    <d v="2025-03-20T00:00:00"/>
    <x v="2"/>
    <s v="6658020"/>
    <s v="Var Lease (excl.GER)"/>
    <s v="MW09C20011"/>
    <s v="Site logistics"/>
    <n v="3820.52"/>
    <s v="LOC E MANUT DE TRANSPALETEIRA"/>
    <x v="0"/>
    <s v="660975063"/>
    <s v="4009738042"/>
    <s v="EFXNJ"/>
    <s v="1"/>
    <x v="0"/>
    <d v="2025-03-18T00:00:00"/>
    <s v="5110829600"/>
    <d v="2025-03-20T00:00:00"/>
  </r>
  <r>
    <x v="2"/>
    <d v="2025-03-20T00:00:00"/>
    <x v="2"/>
    <s v="6658020"/>
    <s v="Var Lease (excl.GER)"/>
    <s v="MW09C20011"/>
    <s v="Site logistics"/>
    <n v="67739.8"/>
    <s v="LOC E MANUT DE EMPIL ELÉT PAT ABER"/>
    <x v="0"/>
    <s v="660975057"/>
    <s v="4009738044"/>
    <s v="EFXNJ"/>
    <s v="1"/>
    <x v="0"/>
    <d v="2025-03-18T00:00:00"/>
    <s v="5110829601"/>
    <d v="2025-03-20T00:00:00"/>
  </r>
  <r>
    <x v="2"/>
    <d v="2025-04-22T00:00:00"/>
    <x v="3"/>
    <s v="6658020"/>
    <s v="Var Lease (excl.GER)"/>
    <s v="MW09C20208"/>
    <s v="SC Form. Ins./Fung."/>
    <n v="67739.8"/>
    <s v="LOC E MANUT DE EMPIL ELÉT PAT ABER"/>
    <x v="0"/>
    <s v="660989628"/>
    <s v="4009770809"/>
    <s v="EAUXB"/>
    <s v="1"/>
    <x v="0"/>
    <d v="2025-04-16T00:00:00"/>
    <s v="5110946136"/>
    <d v="2025-04-22T00:00:00"/>
  </r>
  <r>
    <x v="2"/>
    <d v="2025-04-22T00:00:00"/>
    <x v="3"/>
    <s v="6658020"/>
    <s v="Var Lease (excl.GER)"/>
    <s v="MW09C20302"/>
    <s v="Pack Solids 1 KG"/>
    <n v="17192.34"/>
    <s v="LOC E MANUT DE TRANSPALETEIRA"/>
    <x v="0"/>
    <s v="660989631"/>
    <s v="4009771131"/>
    <s v="EAUXB"/>
    <s v="1"/>
    <x v="0"/>
    <d v="2025-04-16T00:00:00"/>
    <s v="5110945609"/>
    <d v="2025-04-22T00:00:00"/>
  </r>
  <r>
    <x v="2"/>
    <d v="2025-04-22T00:00:00"/>
    <x v="3"/>
    <s v="6658020"/>
    <s v="Var Lease (excl.GER)"/>
    <s v="MW09C20100"/>
    <s v="Quality Control"/>
    <n v="3820.52"/>
    <s v="LOC E MANUT DE TRANSPALETEIRA"/>
    <x v="0"/>
    <s v="660989635"/>
    <s v="4009771133"/>
    <s v="EAUXB"/>
    <s v="1"/>
    <x v="0"/>
    <d v="2025-04-16T00:00:00"/>
    <s v="5110945612"/>
    <d v="2025-04-22T00:00:00"/>
  </r>
  <r>
    <x v="2"/>
    <d v="2025-04-22T00:00:00"/>
    <x v="3"/>
    <s v="6658020"/>
    <s v="Var Lease (excl.GER)"/>
    <s v="MW09C20200"/>
    <s v="EC Form. Ins./Fung."/>
    <n v="12193.16"/>
    <s v="LOC E MANUT DE EMPILHADEIRA ELÉT PATOLA"/>
    <x v="0"/>
    <s v="660989667"/>
    <s v="4009771134"/>
    <s v="EAUXB"/>
    <s v="1"/>
    <x v="0"/>
    <d v="2025-04-16T00:00:00"/>
    <s v="5110945614"/>
    <d v="2025-04-22T00:00:00"/>
  </r>
  <r>
    <x v="2"/>
    <d v="2025-05-12T00:00:00"/>
    <x v="4"/>
    <s v="6658020"/>
    <s v="Var Lease (excl.GER)"/>
    <s v="MW09C20011"/>
    <s v="Site logistics"/>
    <n v="67739.8"/>
    <s v="LOC E MANUT DE EMPIL ELÉT PAT ABER"/>
    <x v="0"/>
    <s v="660999631"/>
    <s v="4009786677"/>
    <s v="EAUXB"/>
    <s v="1"/>
    <x v="0"/>
    <n v="45789"/>
    <s v="5111007248"/>
    <d v="2025-05-12T00:00:00"/>
  </r>
  <r>
    <x v="2"/>
    <d v="2025-05-12T00:00:00"/>
    <x v="4"/>
    <s v="6658020"/>
    <s v="Var Lease (excl.GER)"/>
    <s v="MW09C20011"/>
    <s v="Site logistics"/>
    <n v="12193.16"/>
    <s v="LOC E MANUT DE EMPILHADEIRA ELÉT PATOLA"/>
    <x v="0"/>
    <s v="660999621"/>
    <s v="4009786678"/>
    <s v="EAUXB"/>
    <s v="1"/>
    <x v="0"/>
    <n v="45789"/>
    <s v="5111007249"/>
    <d v="2025-05-12T00:00:00"/>
  </r>
  <r>
    <x v="2"/>
    <d v="2025-05-12T00:00:00"/>
    <x v="4"/>
    <s v="6658020"/>
    <s v="Var Lease (excl.GER)"/>
    <s v="MW09C20011"/>
    <s v="Site logistics"/>
    <n v="17192.34"/>
    <s v="LOC E MANUT DE TRANSPALETEIRA"/>
    <x v="0"/>
    <s v="660999622"/>
    <s v="4009786679"/>
    <s v="EAUXB"/>
    <s v="1"/>
    <x v="0"/>
    <n v="45789"/>
    <s v="5111007250"/>
    <d v="2025-05-12T00:00:00"/>
  </r>
  <r>
    <x v="2"/>
    <d v="2025-05-12T00:00:00"/>
    <x v="4"/>
    <s v="6658020"/>
    <s v="Var Lease (excl.GER)"/>
    <s v="MW09C20110"/>
    <s v="Environment"/>
    <n v="3048.29"/>
    <s v="LOC E MANUT DE EMPILHADEIRA ELÉT PATOLA"/>
    <x v="0"/>
    <s v="660999619"/>
    <s v="4009786680"/>
    <s v="EAUXB"/>
    <s v="1"/>
    <x v="0"/>
    <n v="45789"/>
    <s v="5111007251"/>
    <d v="2025-05-12T00:00:00"/>
  </r>
  <r>
    <x v="2"/>
    <d v="2025-05-12T00:00:00"/>
    <x v="4"/>
    <s v="6658020"/>
    <s v="Var Lease (excl.GER)"/>
    <s v="MW09C20011"/>
    <s v="Site logistics"/>
    <n v="3820.52"/>
    <s v="LOC E MANUT DE TRANSPALETEIRA"/>
    <x v="0"/>
    <s v="660999624"/>
    <s v="4009786681"/>
    <s v="EAUXB"/>
    <s v="1"/>
    <x v="0"/>
    <n v="45789"/>
    <s v="5111007252"/>
    <d v="2025-05-12T00:00:00"/>
  </r>
  <r>
    <x v="2"/>
    <d v="2025-05-15T00:00:00"/>
    <x v="4"/>
    <n v="6420000"/>
    <s v="Transports"/>
    <s v="MW09C20011"/>
    <s v="Site logistics"/>
    <n v="185.91"/>
    <s v="Valor Transports ref  Docto Nr  17359"/>
    <x v="0"/>
    <s v="660994644"/>
    <s v="4009790047"/>
    <s v="EFXNJ"/>
    <s v="1"/>
    <x v="0"/>
    <n v="45789"/>
    <s v="5111017543"/>
    <d v="2025-05-15T00:00:00"/>
  </r>
  <r>
    <x v="2"/>
    <d v="2025-05-21T00:00:00"/>
    <x v="4"/>
    <s v="6280000"/>
    <s v="Technic. spare parts"/>
    <s v="MW09C20011"/>
    <s v="Site logistics"/>
    <n v="308"/>
    <s v="Valor Technic  spare parts ref  Docto Nr  17186"/>
    <x v="0"/>
    <s v=""/>
    <s v="4009794541"/>
    <s v="GNEDA"/>
    <s v="1"/>
    <x v="0"/>
    <n v="45726"/>
    <s v="4640004797"/>
    <d v="2025-05-21T00:00:00"/>
  </r>
  <r>
    <x v="2"/>
    <d v="2025-05-21T00:00:00"/>
    <x v="4"/>
    <s v="6280000"/>
    <s v="Technic. spare parts"/>
    <s v="MW09C20011"/>
    <s v="Site logistics"/>
    <n v="210"/>
    <s v="Valor Technic  spare parts ref  Docto Nr  17358"/>
    <x v="0"/>
    <s v=""/>
    <s v="4009794543"/>
    <s v="GNEDA"/>
    <s v="1"/>
    <x v="0"/>
    <n v="45789"/>
    <s v="4640004798"/>
    <d v="2025-05-21T00:00:00"/>
  </r>
  <r>
    <x v="2"/>
    <d v="2025-06-16T00:00:00"/>
    <x v="5"/>
    <s v="6280000"/>
    <s v="Technic. spare parts"/>
    <s v="MW09C20011"/>
    <s v="Site logistics"/>
    <n v="265"/>
    <s v="Valor Technic  spare parts ref  Docto Nr  17185"/>
    <x v="0"/>
    <s v=""/>
    <s v="4009824061"/>
    <s v="GNEDA"/>
    <s v="1"/>
    <x v="0"/>
    <d v="2025-03-10T00:00:00"/>
    <s v="4640005717"/>
    <d v="2025-06-16T00:00:00"/>
  </r>
  <r>
    <x v="2"/>
    <d v="2025-06-16T00:00:00"/>
    <x v="5"/>
    <s v="6280000"/>
    <s v="Technic. spare parts"/>
    <s v="MW09C20011"/>
    <s v="Site logistics"/>
    <n v="1332"/>
    <s v="Valor Technic  spare parts ref  Docto Nr  17386"/>
    <x v="0"/>
    <s v=""/>
    <s v="4009824062"/>
    <s v="GNEDA"/>
    <s v="1"/>
    <x v="0"/>
    <d v="2025-05-21T00:00:00"/>
    <s v="4640005718"/>
    <d v="2025-06-16T00:00:00"/>
  </r>
  <r>
    <x v="2"/>
    <d v="2025-06-26T00:00:00"/>
    <x v="5"/>
    <s v="6658020"/>
    <s v="Var Lease (excl.GER)"/>
    <s v="MW09C20011"/>
    <s v="Site logistics"/>
    <n v="12193.16"/>
    <s v="LOC E MANUT DE EMPILHADEIRA ELÉT PATOLA"/>
    <x v="0"/>
    <s v="661018755"/>
    <s v="4009836259"/>
    <s v="EFXNJ"/>
    <s v="1"/>
    <x v="0"/>
    <d v="2025-06-25T00:00:00"/>
    <s v="5111135929"/>
    <d v="2025-06-26T00:00:00"/>
  </r>
  <r>
    <x v="2"/>
    <d v="2025-06-26T00:00:00"/>
    <x v="5"/>
    <s v="6658020"/>
    <s v="Var Lease (excl.GER)"/>
    <s v="MW09C20011"/>
    <s v="Site logistics"/>
    <n v="17192.34"/>
    <s v="LOC E MANUT DE TRANSPALETEIRA"/>
    <x v="0"/>
    <s v="661018769"/>
    <s v="4009836261"/>
    <s v="EFXNJ"/>
    <s v="1"/>
    <x v="0"/>
    <d v="2025-06-25T00:00:00"/>
    <s v="5111135930"/>
    <d v="2025-06-26T00:00:00"/>
  </r>
  <r>
    <x v="2"/>
    <d v="2025-06-26T00:00:00"/>
    <x v="5"/>
    <s v="6658020"/>
    <s v="Var Lease (excl.GER)"/>
    <s v="MW09C20011"/>
    <s v="Site logistics"/>
    <n v="3820.52"/>
    <s v="LOC E MANUT DE TRANSPALETEIRA"/>
    <x v="0"/>
    <s v="661018776"/>
    <s v="4009836266"/>
    <s v="EFXNJ"/>
    <s v="1"/>
    <x v="0"/>
    <d v="2025-06-25T00:00:00"/>
    <s v="5111135932"/>
    <d v="2025-06-26T00:00:00"/>
  </r>
  <r>
    <x v="2"/>
    <d v="2025-06-26T00:00:00"/>
    <x v="5"/>
    <s v="6658020"/>
    <s v="Var Lease (excl.GER)"/>
    <s v="MW09C20011"/>
    <s v="Site logistics"/>
    <n v="67739.8"/>
    <s v="Valor Var Lease (excl GER) ref  Docto Nr  34871"/>
    <x v="0"/>
    <s v="661018775"/>
    <s v="4009836268"/>
    <s v="EFXNJ"/>
    <s v="1"/>
    <x v="0"/>
    <d v="2025-06-25T00:00:00"/>
    <s v="5111135937"/>
    <d v="2025-06-26T00:00:00"/>
  </r>
  <r>
    <x v="2"/>
    <d v="2025-06-26T00:00:00"/>
    <x v="5"/>
    <s v="6658020"/>
    <s v="Var Lease (excl.GER)"/>
    <s v="MW09C20110"/>
    <s v="Environment"/>
    <n v="3048.29"/>
    <s v="LOC E MANUT DE EMPILHADEIRA ELÉT PATOLA"/>
    <x v="0"/>
    <s v="661018763"/>
    <s v="4009836286"/>
    <s v="EFXNJ"/>
    <s v="1"/>
    <x v="0"/>
    <d v="2025-06-25T00:00:00"/>
    <s v="5111136696"/>
    <d v="2025-06-26T00:00:00"/>
  </r>
  <r>
    <x v="2"/>
    <d v="2025-08-18T00:00:00"/>
    <x v="7"/>
    <s v="6658020"/>
    <s v="Var Lease (excl.GER)"/>
    <s v="MW09C20011"/>
    <s v="Site logistics"/>
    <n v="201"/>
    <s v="Valor Var Lease (excl GER) ref  Docto Nr  17645"/>
    <x v="0"/>
    <s v=""/>
    <s v="4009928818"/>
    <s v="EAUXB"/>
    <s v="1"/>
    <x v="0"/>
    <d v="2025-08-13T00:00:00"/>
    <s v="4640007832"/>
    <d v="2025-08-18T00:00:00"/>
  </r>
  <r>
    <x v="2"/>
    <d v="2025-08-18T00:00:00"/>
    <x v="7"/>
    <s v="6658020"/>
    <s v="Var Lease (excl.GER)"/>
    <s v="MW09C20011"/>
    <s v="Site logistics"/>
    <n v="19069.169999999998"/>
    <s v="LOC E MANUT DE TRANSPALETEIRA"/>
    <x v="0"/>
    <s v="661041728"/>
    <s v="4009929306"/>
    <s v="EAUXB"/>
    <s v="1"/>
    <x v="0"/>
    <d v="2025-08-15T00:00:00"/>
    <s v="5111276367"/>
    <d v="2025-08-18T00:00:00"/>
  </r>
  <r>
    <x v="2"/>
    <d v="2025-08-18T00:00:00"/>
    <x v="7"/>
    <s v="6658020"/>
    <s v="Var Lease (excl.GER)"/>
    <s v="MW09C20011"/>
    <s v="Site logistics"/>
    <n v="2766.32"/>
    <s v="LOC E MANUT DE EMPILHADEIRA ELÉT PATOLA"/>
    <x v="0"/>
    <s v="661041737"/>
    <s v="4009929307"/>
    <s v="EAUXB"/>
    <s v="1"/>
    <x v="0"/>
    <d v="2025-08-15T00:00:00"/>
    <s v="5111276368"/>
    <d v="2025-08-18T00:00:00"/>
  </r>
  <r>
    <x v="2"/>
    <d v="2025-08-18T00:00:00"/>
    <x v="7"/>
    <s v="6658020"/>
    <s v="Var Lease (excl.GER)"/>
    <s v="MW09C20200"/>
    <s v="EC Form. Ins./Fung."/>
    <n v="61473.87"/>
    <s v="LOC E MANUT DE EMPIL ELÉT PAT ABER"/>
    <x v="0"/>
    <s v="661041716"/>
    <s v="4009929308"/>
    <s v="EAUXB"/>
    <s v="1"/>
    <x v="0"/>
    <d v="2025-08-15T00:00:00"/>
    <s v="5111276370"/>
    <d v="2025-08-18T00:00:00"/>
  </r>
  <r>
    <x v="2"/>
    <d v="2025-09-22T00:00:00"/>
    <x v="8"/>
    <s v="6658020"/>
    <s v="Var Lease (excl.GER)"/>
    <s v="MW09C20011"/>
    <s v="Site logistics"/>
    <n v="54191.839999999997"/>
    <s v="LOC E MANUT DE EMPIL ELÉT PAT ABER"/>
    <x v="0"/>
    <s v="661057598"/>
    <s v="4009985208"/>
    <s v="EFXNJ"/>
    <s v="1"/>
    <x v="0"/>
    <d v="2025-09-18T00:00:00"/>
    <s v="5111372075"/>
    <d v="2025-09-22T00:00:00"/>
  </r>
  <r>
    <x v="2"/>
    <d v="2025-09-22T00:00:00"/>
    <x v="8"/>
    <s v="6658020"/>
    <s v="Var Lease (excl.GER)"/>
    <s v="MW09C20011"/>
    <s v="Site logistics"/>
    <n v="21012.86"/>
    <s v="LOC E MANUT DE TRANSPALETEIRA"/>
    <x v="0"/>
    <s v="661057582"/>
    <s v="4009985209"/>
    <s v="EFXNJ"/>
    <s v="1"/>
    <x v="0"/>
    <d v="2025-09-18T00:00:00"/>
    <s v="5111372076"/>
    <d v="2025-09-22T00:00:00"/>
  </r>
  <r>
    <x v="2"/>
    <d v="2025-09-22T00:00:00"/>
    <x v="8"/>
    <s v="6658020"/>
    <s v="Var Lease (excl.GER)"/>
    <s v="MW09C20011"/>
    <s v="Site logistics"/>
    <n v="3048.29"/>
    <s v="LOC E MANUT DE EMPILHADEIRA ELÉT PATOLA"/>
    <x v="0"/>
    <s v="661057576"/>
    <s v="4009985811"/>
    <s v="EFXNJ"/>
    <s v="1"/>
    <x v="0"/>
    <d v="2025-09-19T00:00:00"/>
    <s v="5111373730"/>
    <d v="2025-09-22T00:00:00"/>
  </r>
  <r>
    <x v="2"/>
    <d v="2025-09-29T00:00:00"/>
    <x v="8"/>
    <s v="6658020"/>
    <s v="Var Lease (excl.GER)"/>
    <s v="MW09C20011"/>
    <s v="Site logistics"/>
    <n v="12193.16"/>
    <s v="LOC E MANUT DE EMPILHADEIRA ELÉT PATOLA"/>
    <x v="0"/>
    <s v="661057575"/>
    <s v="4009994804"/>
    <s v="EFXNJ"/>
    <s v="1"/>
    <x v="0"/>
    <d v="2025-09-24T00:00:00"/>
    <s v="5111395331"/>
    <d v="2025-09-29T00:00:00"/>
  </r>
  <r>
    <x v="2"/>
    <d v="2025-10-06T00:00:00"/>
    <x v="9"/>
    <s v="6280000"/>
    <s v="Technic. spare parts"/>
    <s v="MW09C20011"/>
    <s v="Site logistics"/>
    <n v="248.03"/>
    <s v="Valor Technic  spare parts ref  Docto Nr  17748"/>
    <x v="0"/>
    <s v=""/>
    <s v="4010009603"/>
    <s v="GNEDA"/>
    <s v="1"/>
    <x v="0"/>
    <n v="45919"/>
    <s v="4640009794"/>
    <n v="45936"/>
  </r>
  <r>
    <x v="2"/>
    <d v="2025-10-06T00:00:00"/>
    <x v="9"/>
    <s v="6658020"/>
    <s v="Var Lease (excl.GER)"/>
    <s v="MW09C20011"/>
    <s v="Site logistics"/>
    <n v="-21012.86"/>
    <s v="LOC E MANUT DE TRANSPALETEIRA"/>
    <x v="0"/>
    <s v="661057582"/>
    <s v="4010010202"/>
    <s v="EFXNJ"/>
    <s v="1"/>
    <x v="0"/>
    <n v="45918"/>
    <s v="5111424459"/>
    <n v="45936"/>
  </r>
  <r>
    <x v="2"/>
    <d v="2025-10-06T00:00:00"/>
    <x v="9"/>
    <s v="6658020"/>
    <s v="Var Lease (excl.GER)"/>
    <s v="MW09C20011"/>
    <s v="Site logistics"/>
    <n v="-54191.839999999997"/>
    <s v="LOC E MANUT DE EMPIL ELÉT PAT ABER"/>
    <x v="0"/>
    <s v="661057598"/>
    <s v="4010010203"/>
    <s v="EFXNJ"/>
    <s v="1"/>
    <x v="0"/>
    <n v="45918"/>
    <s v="5111424460"/>
    <n v="45936"/>
  </r>
  <r>
    <x v="2"/>
    <d v="2025-10-06T00:00:00"/>
    <x v="9"/>
    <s v="6720000"/>
    <s v="Technical services"/>
    <s v="MW09C20011"/>
    <s v="Site logistics"/>
    <n v="21012.86"/>
    <s v="LOC E MANUT DE TRANSPALETEIRA"/>
    <x v="0"/>
    <s v="661057582"/>
    <s v="4010010205"/>
    <s v="EFXNJ"/>
    <s v="1"/>
    <x v="0"/>
    <n v="45919"/>
    <s v="5111424462"/>
    <n v="45936"/>
  </r>
  <r>
    <x v="2"/>
    <d v="2025-10-06T00:00:00"/>
    <x v="9"/>
    <s v="6720000"/>
    <s v="Technical services"/>
    <s v="MW09C20011"/>
    <s v="Site logistics"/>
    <n v="67739.8"/>
    <s v="LOC E MANUT DE EMPIL ELÉT PAT ABER"/>
    <x v="0"/>
    <s v="661057598"/>
    <s v="4010010206"/>
    <s v="EFXNJ"/>
    <s v="1"/>
    <x v="0"/>
    <n v="45919"/>
    <s v="5111424463"/>
    <n v="45936"/>
  </r>
  <r>
    <x v="2"/>
    <d v="2025-10-07T00:00:00"/>
    <x v="9"/>
    <s v="6280000"/>
    <s v="Technic. spare parts"/>
    <s v="MW09C20011"/>
    <s v="Site logistics"/>
    <n v="248.03"/>
    <s v="Valor Technic  spare parts ref  Docto Nr  17749"/>
    <x v="0"/>
    <s v=""/>
    <s v="4010011208"/>
    <s v="GNEDA"/>
    <s v="1"/>
    <x v="0"/>
    <n v="45919"/>
    <s v="4640009865"/>
    <n v="45936"/>
  </r>
  <r>
    <x v="2"/>
    <d v="2025-10-07T00:00:00"/>
    <x v="9"/>
    <s v="6280000"/>
    <s v="Technic. spare parts"/>
    <s v="MW09C20011"/>
    <s v="Site logistics"/>
    <n v="320"/>
    <s v="Valor Technic  spare parts ref  Docto Nr  17750"/>
    <x v="0"/>
    <s v=""/>
    <s v="4010011209"/>
    <s v="GNEDA"/>
    <s v="1"/>
    <x v="0"/>
    <n v="45919"/>
    <s v="4640009866"/>
    <n v="45937"/>
  </r>
  <r>
    <x v="2"/>
    <d v="2025-10-07T00:00:00"/>
    <x v="9"/>
    <s v="6280000"/>
    <s v="Technic. spare parts"/>
    <s v="MW09C20011"/>
    <s v="Site logistics"/>
    <n v="248.03"/>
    <s v="Valor Technic  spare parts ref  Docto Nr  17746"/>
    <x v="0"/>
    <s v=""/>
    <s v="4010011211"/>
    <s v="GNEDA"/>
    <s v="1"/>
    <x v="0"/>
    <n v="45919"/>
    <s v="4640009867"/>
    <n v="45937"/>
  </r>
  <r>
    <x v="2"/>
    <d v="2025-10-07T00:00:00"/>
    <x v="9"/>
    <s v="6280000"/>
    <s v="Technic. spare parts"/>
    <s v="MW09C20011"/>
    <s v="Site logistics"/>
    <n v="522.84"/>
    <s v="Valor Technic  spare parts ref  Docto Nr  17747"/>
    <x v="0"/>
    <s v=""/>
    <s v="4010011212"/>
    <s v="GNEDA"/>
    <s v="1"/>
    <x v="0"/>
    <n v="45919"/>
    <s v="4640009868"/>
    <n v="45937"/>
  </r>
  <r>
    <x v="2"/>
    <d v="2025-10-21T00:00:00"/>
    <x v="9"/>
    <s v="6658020"/>
    <s v="Var Lease (excl.GER)"/>
    <s v="MW09C20011"/>
    <s v="Site logistics"/>
    <n v="413"/>
    <s v="Valor Var Lease (excl GER) ref  Docto Nr  17799"/>
    <x v="0"/>
    <s v="661071203"/>
    <s v="4010036427"/>
    <s v="EFXNJ"/>
    <s v="1"/>
    <x v="0"/>
    <n v="45947"/>
    <s v="5111470721"/>
    <n v="45951"/>
  </r>
  <r>
    <x v="2"/>
    <d v="2025-10-22T00:00:00"/>
    <x v="9"/>
    <s v="6658020"/>
    <s v="Var Lease (excl.GER)"/>
    <s v="MW09C20110"/>
    <s v="Environment"/>
    <n v="3048.29"/>
    <s v="LOC E MANUT DE EMPILHADEIRA ELÉT PATOLA"/>
    <x v="0"/>
    <s v="661070643"/>
    <s v="4010038559"/>
    <s v="EFXNJ"/>
    <s v="1"/>
    <x v="0"/>
    <n v="45947"/>
    <s v="5111475142"/>
    <n v="45952"/>
  </r>
  <r>
    <x v="2"/>
    <d v="2025-10-22T00:00:00"/>
    <x v="9"/>
    <s v="6658020"/>
    <s v="Var Lease (excl.GER)"/>
    <s v="MW09C20011"/>
    <s v="Site logistics"/>
    <n v="44030.87"/>
    <s v="LOC E MANUT DE EMPIL ELÉT PAT ABER"/>
    <x v="0"/>
    <s v="661070639"/>
    <s v="4010038561"/>
    <s v="EFXNJ"/>
    <s v="1"/>
    <x v="0"/>
    <n v="45947"/>
    <s v="5111475143"/>
    <n v="45952"/>
  </r>
  <r>
    <x v="2"/>
    <d v="2025-10-22T00:00:00"/>
    <x v="9"/>
    <s v="6658020"/>
    <s v="Var Lease (excl.GER)"/>
    <s v="MW09C20011"/>
    <s v="Site logistics"/>
    <n v="12193.16"/>
    <s v="LOC E MANUT DE EMPILHADEIRA ELÉT PATOLA"/>
    <x v="0"/>
    <s v="661070642"/>
    <s v="4010038562"/>
    <s v="EFXNJ"/>
    <s v="1"/>
    <x v="0"/>
    <n v="45947"/>
    <s v="5111475144"/>
    <n v="45952"/>
  </r>
  <r>
    <x v="2"/>
    <d v="2025-10-22T00:00:00"/>
    <x v="9"/>
    <s v="6420000"/>
    <s v="Transports"/>
    <s v="MW09C20011"/>
    <s v="Site logistics"/>
    <n v="21012.86"/>
    <s v="LOC E MANUT DE TRANSPALETEIRA"/>
    <x v="0"/>
    <s v="661070650"/>
    <s v="4010038564"/>
    <s v="EFXNJ"/>
    <s v="1"/>
    <x v="0"/>
    <n v="45947"/>
    <s v="5111475145"/>
    <n v="45952"/>
  </r>
  <r>
    <x v="2"/>
    <d v="2025-11-07T00:00:00"/>
    <x v="10"/>
    <s v="6658020"/>
    <s v="Var Lease (excl.GER)"/>
    <s v="MW09C20011"/>
    <s v="Site logistics"/>
    <n v="413"/>
    <s v="Valor Var Lease (excl GER) ref  Docto Nr  17792"/>
    <x v="0"/>
    <s v=""/>
    <s v="4010066158"/>
    <s v="YWEGT"/>
    <s v="1"/>
    <x v="0"/>
    <n v="45947"/>
    <s v="4640011510"/>
    <n v="45968"/>
  </r>
  <r>
    <x v="2"/>
    <d v="2025-11-07T00:00:00"/>
    <x v="10"/>
    <s v="6658020"/>
    <s v="Var Lease (excl.GER)"/>
    <s v="MW09C20011"/>
    <s v="Site logistics"/>
    <n v="-44030.87"/>
    <s v="LOC E MANUT DE EMPIL ELÉT PAT ABER"/>
    <x v="0"/>
    <s v="661070639"/>
    <s v="4010067354"/>
    <s v="EFXNJ"/>
    <s v="1"/>
    <x v="0"/>
    <n v="45947"/>
    <s v="5111526739"/>
    <n v="45968"/>
  </r>
  <r>
    <x v="2"/>
    <d v="2025-11-10T00:00:00"/>
    <x v="10"/>
    <s v="6658020"/>
    <s v="Var Lease (excl.GER)"/>
    <s v="MW09C20011"/>
    <s v="Site logistics"/>
    <n v="67739.8"/>
    <s v="LOC E MANUT DE EMPIL ELÉT PAT ABER"/>
    <x v="0"/>
    <s v="661070639"/>
    <s v="4010071947"/>
    <s v="EFXNJ"/>
    <s v="1"/>
    <x v="0"/>
    <n v="45947"/>
    <s v="5111529699"/>
    <n v="45971"/>
  </r>
  <r>
    <x v="2"/>
    <d v="2025-11-17T00:00:00"/>
    <x v="10"/>
    <s v="6658020"/>
    <s v="Var Lease (excl.GER)"/>
    <s v="MW09C20011"/>
    <s v="Site logistics"/>
    <n v="12193.16"/>
    <s v="LOC E MANUT DE EMPILHADEIRA ELÉT PATOLA"/>
    <x v="0"/>
    <s v="661082688"/>
    <s v="4010084532"/>
    <s v="EFXNJ"/>
    <s v="1"/>
    <x v="0"/>
    <n v="45972"/>
    <s v="5111554673"/>
    <n v="45978"/>
  </r>
  <r>
    <x v="2"/>
    <d v="2025-11-17T00:00:00"/>
    <x v="10"/>
    <s v="6658020"/>
    <s v="Var Lease (excl.GER)"/>
    <s v="MW09C20110"/>
    <s v="Environment"/>
    <n v="3048.29"/>
    <s v="LOC E MANUT DE EMPILHADEIRA ELÉT PATOLA"/>
    <x v="0"/>
    <s v="661082701"/>
    <s v="4010084533"/>
    <s v="EFXNJ"/>
    <s v="1"/>
    <x v="0"/>
    <n v="45972"/>
    <s v="5111554674"/>
    <n v="45978"/>
  </r>
  <r>
    <x v="2"/>
    <d v="2025-11-17T00:00:00"/>
    <x v="10"/>
    <s v="6658020"/>
    <s v="Var Lease (excl.GER)"/>
    <s v="MW09C20011"/>
    <s v="Site logistics"/>
    <n v="67739.8"/>
    <s v="LOC E MANUT DE EMPIL ELÉT PAT ABER"/>
    <x v="0"/>
    <s v="661082694"/>
    <s v="4010084534"/>
    <s v="EFXNJ"/>
    <s v="1"/>
    <x v="0"/>
    <n v="45972"/>
    <s v="5111554676"/>
    <n v="45978"/>
  </r>
  <r>
    <x v="2"/>
    <d v="2025-11-17T00:00:00"/>
    <x v="10"/>
    <s v="6658020"/>
    <s v="Var Lease (excl.GER)"/>
    <s v="MW09C20011"/>
    <s v="Site logistics"/>
    <n v="21012.86"/>
    <s v="LOC E MANUT DE TRANSPALETEIRA"/>
    <x v="0"/>
    <s v="661082726"/>
    <s v="4010084536"/>
    <s v="EFXNJ"/>
    <s v="1"/>
    <x v="0"/>
    <n v="45972"/>
    <s v="5111554707"/>
    <n v="45978"/>
  </r>
  <r>
    <x v="3"/>
    <d v="2026-01-26T00:00:00"/>
    <x v="0"/>
    <s v="6658020"/>
    <s v="Var Lease (excl.GER)"/>
    <s v="MW09C20011"/>
    <s v="Site logistics"/>
    <n v="335"/>
    <s v="Valor Var Lease (excl GER) ref  Docto Nr  17965"/>
    <x v="0"/>
    <s v="661100605"/>
    <s v="4010159205"/>
    <s v="YWEGT"/>
    <s v="1"/>
    <x v="0"/>
    <d v="2025-12-18T00:00:00"/>
    <s v="5111779488"/>
    <d v="2026-01-26T00:00:00"/>
  </r>
  <r>
    <x v="3"/>
    <d v="2026-02-23T00:00:00"/>
    <x v="1"/>
    <s v="6658020"/>
    <s v="Var Lease (excl.GER)"/>
    <s v="MW09C20011"/>
    <s v="Site logistics"/>
    <n v="11065.29"/>
    <s v="Valor Var Lease (excl GER) ref  Docto Nr  251"/>
    <x v="0"/>
    <s v="661114595"/>
    <s v="4010183707"/>
    <s v="EAUXB"/>
    <s v="1"/>
    <x v="0"/>
    <d v="2026-01-28T00:00:00"/>
    <s v="5111877478"/>
    <d v="2026-02-23T00:00:00"/>
  </r>
  <r>
    <x v="3"/>
    <d v="2026-02-23T00:00:00"/>
    <x v="1"/>
    <s v="6658020"/>
    <s v="Var Lease (excl.GER)"/>
    <s v="MW09C20110"/>
    <s v="Environment"/>
    <n v="2766.32"/>
    <s v="Valor Var Lease (excl GER) ref  Docto Nr  250"/>
    <x v="0"/>
    <s v="661114597"/>
    <s v="4010183710"/>
    <s v="EAUXB"/>
    <s v="1"/>
    <x v="0"/>
    <d v="2026-01-28T00:00:00"/>
    <s v="5111877480"/>
    <d v="2026-02-23T00:00:00"/>
  </r>
  <r>
    <x v="3"/>
    <d v="2026-02-23T00:00:00"/>
    <x v="1"/>
    <s v="6658020"/>
    <s v="Var Lease (excl.GER)"/>
    <s v="MW09C20011"/>
    <s v="Site logistics"/>
    <n v="61473.87"/>
    <s v="Valor Var Lease (excl GER) ref  Docto Nr  249"/>
    <x v="0"/>
    <s v="661114593"/>
    <s v="4010184511"/>
    <s v="EAUXB"/>
    <s v="1"/>
    <x v="0"/>
    <d v="2026-01-28T00:00:00"/>
    <s v="5111877482"/>
    <d v="2026-02-23T00:00:00"/>
  </r>
  <r>
    <x v="3"/>
    <d v="2026-03-16T00:00:00"/>
    <x v="2"/>
    <s v="6658020"/>
    <s v="Var Lease (excl.GER)"/>
    <s v="MW09C20011"/>
    <s v="Site logistics"/>
    <n v="15241.45"/>
    <s v="Valor Var Lease (excl GER) ref  Docto Nr  520"/>
    <x v="0"/>
    <s v="661126756"/>
    <s v="4010209536"/>
    <s v="GNEPP"/>
    <s v="1"/>
    <x v="0"/>
    <d v="2026-02-23T00:00:00"/>
    <s v="5111955846"/>
    <d v="2026-03-16T00:00:00"/>
  </r>
  <r>
    <x v="3"/>
    <d v="2026-03-16T00:00:00"/>
    <x v="2"/>
    <s v="6658020"/>
    <s v="Var Lease (excl.GER)"/>
    <s v="MW09C20011"/>
    <s v="Site logistics"/>
    <n v="67739.8"/>
    <s v="Valor Var Lease (excl GER) ref  Docto Nr  521"/>
    <x v="0"/>
    <s v="661126749"/>
    <s v="4010209537"/>
    <s v="GNEPP"/>
    <s v="1"/>
    <x v="0"/>
    <d v="2026-02-23T00:00:00"/>
    <s v="5111955937"/>
    <d v="2026-03-16T00:00:00"/>
  </r>
  <r>
    <x v="3"/>
    <d v="2026-03-16T00:00:00"/>
    <x v="2"/>
    <s v="6658020"/>
    <s v="Var Lease (excl.GER)"/>
    <s v="MW09C20011"/>
    <s v="Site logistics"/>
    <n v="21012.86"/>
    <s v="Valor Var Lease (excl GER) ref  Docto Nr  523"/>
    <x v="0"/>
    <s v="661126812"/>
    <s v="4010209538"/>
    <s v="GNEPP"/>
    <s v="1"/>
    <x v="0"/>
    <d v="2026-02-23T00:00:00"/>
    <s v="5111955938"/>
    <d v="2026-03-16T00:00:00"/>
  </r>
  <r>
    <x v="3"/>
    <d v="2026-03-29T00:00:00"/>
    <x v="2"/>
    <s v="6658020"/>
    <s v="Var Lease (excl.GER)"/>
    <s v="MW09C20011"/>
    <s v="Site logistics"/>
    <n v="21012.86"/>
    <s v="Valor Var Lease (excl GER) ref  Docto Nr  780"/>
    <x v="0"/>
    <s v="661134584"/>
    <s v="4010217300"/>
    <s v="GLRPT"/>
    <s v="1"/>
    <x v="0"/>
    <d v="2026-03-10T00:00:00"/>
    <s v="5112000194"/>
    <d v="2026-03-29T00:00:00"/>
  </r>
  <r>
    <x v="3"/>
    <d v="2026-03-29T00:00:00"/>
    <x v="2"/>
    <s v="6658020"/>
    <s v="Var Lease (excl.GER)"/>
    <s v="MW09C20011"/>
    <s v="Site logistics"/>
    <n v="15241.45"/>
    <s v="Valor Var Lease (excl GER) ref  Docto Nr  779"/>
    <x v="0"/>
    <s v="661134600"/>
    <s v="4010217301"/>
    <s v="GLRPT"/>
    <s v="1"/>
    <x v="0"/>
    <d v="2026-03-10T00:00:00"/>
    <s v="5112000195"/>
    <d v="2026-03-29T00:00:00"/>
  </r>
  <r>
    <x v="3"/>
    <d v="2026-03-29T00:00:00"/>
    <x v="2"/>
    <s v="6658020"/>
    <s v="Var Lease (excl.GER)"/>
    <s v="MW09C20011"/>
    <s v="Site logistics"/>
    <n v="67739.8"/>
    <s v="Valor Var Lease (excl GER) ref  Docto Nr  778"/>
    <x v="0"/>
    <s v="661134593"/>
    <s v="4010217302"/>
    <s v="GLRPT"/>
    <s v="1"/>
    <x v="0"/>
    <d v="2026-03-10T00:00:00"/>
    <s v="5112000196"/>
    <d v="2026-03-29T00:00:00"/>
  </r>
  <r>
    <x v="3"/>
    <d v="2026-04-01T00:00:00"/>
    <x v="3"/>
    <s v="6658020"/>
    <s v="Var Lease (excl.GER)"/>
    <s v="MW09C20011"/>
    <s v="Site logistics"/>
    <n v="1020"/>
    <s v="Valor Var Lease (excl GER) ref  Docto Nr  809"/>
    <x v="0"/>
    <s v=""/>
    <s v="4010219926"/>
    <s v="EAUXB"/>
    <s v="1"/>
    <x v="0"/>
    <d v="2026-03-17T00:00:00"/>
    <s v="4640003219"/>
    <d v="2026-04-01T00:00:00"/>
  </r>
  <r>
    <x v="3"/>
    <d v="2026-04-01T00:00:00"/>
    <x v="3"/>
    <s v="6658020"/>
    <s v="Var Lease (excl.GER)"/>
    <s v="MW09C20011"/>
    <s v="Site logistics"/>
    <n v="19069.169999999998"/>
    <s v="Valor Var Lease (excl GER) ref  Docto Nr  252"/>
    <x v="0"/>
    <s v="661114600"/>
    <s v="4010220006"/>
    <s v="EAUXB"/>
    <s v="1"/>
    <x v="0"/>
    <d v="2026-01-28T00:00:00"/>
    <s v="5112015901"/>
    <d v="2026-04-01T00:00:00"/>
  </r>
  <r>
    <x v="3"/>
    <d v="2026-05-23T00:00:00"/>
    <x v="4"/>
    <s v="6658020"/>
    <s v="Var Lease (excl.GER)"/>
    <s v="MW09C20011"/>
    <s v="Site logistics"/>
    <n v="70861.600000000006"/>
    <s v="Valor Var Lease (excl GER) ref  Docto Nr  1111"/>
    <x v="0"/>
    <s v="661156274"/>
    <s v="4010280433"/>
    <s v="YWEGT"/>
    <s v="1"/>
    <x v="0"/>
    <d v="2026-04-24T00:00:00"/>
    <s v="5112169418"/>
    <d v="2026-05-23T00:00:00"/>
  </r>
  <r>
    <x v="3"/>
    <d v="2026-05-23T00:00:00"/>
    <x v="4"/>
    <s v="6658020"/>
    <s v="Var Lease (excl.GER)"/>
    <s v="MW09C20011"/>
    <s v="Site logistics"/>
    <n v="19947.93"/>
    <s v="Valor Var Lease (excl GER) ref  Docto Nr  1113"/>
    <x v="0"/>
    <s v="661156280"/>
    <s v="4010280434"/>
    <s v="YWEGT"/>
    <s v="1"/>
    <x v="0"/>
    <d v="2026-04-24T00:00:00"/>
    <s v="5112169419"/>
    <d v="2026-05-23T00:00:00"/>
  </r>
  <r>
    <x v="3"/>
    <d v="2026-05-23T00:00:00"/>
    <x v="4"/>
    <s v="6658020"/>
    <s v="Var Lease (excl.GER)"/>
    <s v="MW09C20011"/>
    <s v="Site logistics"/>
    <n v="14469.05"/>
    <s v="Valor Var Lease (excl GER) ref  Docto Nr  1112"/>
    <x v="0"/>
    <s v="661156287"/>
    <s v="4010280436"/>
    <s v="YWEGT"/>
    <s v="1"/>
    <x v="0"/>
    <d v="2026-04-24T00:00:00"/>
    <s v="5112169420"/>
    <d v="2026-05-23T00:00:00"/>
  </r>
  <r>
    <x v="3"/>
    <d v="2026-05-25T00:00:00"/>
    <x v="4"/>
    <s v="6658020"/>
    <s v="Var Lease (excl.GER)"/>
    <s v="MW09C20011"/>
    <s v="Site logistics"/>
    <n v="64306.9"/>
    <s v="Valor Var Lease (excl GER) ref  Docto Nr  1354"/>
    <x v="0"/>
    <s v="661166843"/>
    <s v="4010282605"/>
    <s v="YWEGT"/>
    <s v="1"/>
    <x v="0"/>
    <d v="2026-05-19T00:00:00"/>
    <s v="5112173742"/>
    <d v="2026-05-25T00:00:00"/>
  </r>
  <r>
    <x v="3"/>
    <d v="2026-06-25T00:00:00"/>
    <x v="5"/>
    <s v="6658020"/>
    <s v="Var Lease (excl.GER)"/>
    <s v="MW09C20011"/>
    <s v="Site logistics"/>
    <n v="21981.19"/>
    <s v="Valor Var Lease (excl GER) ref  Docto Nr  1356"/>
    <x v="0"/>
    <s v="661166853"/>
    <s v="4010318614"/>
    <s v="YWEGT"/>
    <s v="1"/>
    <x v="0"/>
    <d v="2026-05-19T00:00:00"/>
    <s v="5112261275"/>
    <d v="2026-06-25T00:00:00"/>
  </r>
  <r>
    <x v="3"/>
    <d v="2026-06-25T00:00:00"/>
    <x v="5"/>
    <s v="6658020"/>
    <s v="Var Lease (excl.GER)"/>
    <s v="MW09C20011"/>
    <s v="Site logistics"/>
    <n v="15943.85"/>
    <s v="Valor Var Lease (excl GER) ref  Docto Nr  1355"/>
    <x v="0"/>
    <s v="661166859"/>
    <s v="4010318617"/>
    <s v="YWEGT"/>
    <s v="1"/>
    <x v="0"/>
    <d v="2026-05-19T00:00:00"/>
    <s v="5112261417"/>
    <d v="2026-06-25T00:00:00"/>
  </r>
  <r>
    <x v="3"/>
    <d v="2026-07-08T00:00:00"/>
    <x v="6"/>
    <s v="6658020"/>
    <s v="Var Lease (excl.GER)"/>
    <s v="MW09C20011"/>
    <s v="Site logistics"/>
    <n v="15943.85"/>
    <s v="Valor Var Lease (excl GER) ref  Docto Nr  1665"/>
    <x v="0"/>
    <s v="661185724"/>
    <s v="4010339703"/>
    <s v="YWEGT"/>
    <s v="1"/>
    <x v="0"/>
    <d v="2026-06-30T00:00:00"/>
    <s v="5112294804"/>
    <d v="2026-07-08T00:00:00"/>
  </r>
  <r>
    <x v="3"/>
    <d v="2026-07-08T00:00:00"/>
    <x v="6"/>
    <s v="6658020"/>
    <s v="Var Lease (excl.GER)"/>
    <s v="MW09C20011"/>
    <s v="Site logistics"/>
    <n v="21981.19"/>
    <s v="Valor Var Lease (excl GER) ref  Docto Nr  1664"/>
    <x v="0"/>
    <s v="661185720"/>
    <s v="4010339704"/>
    <s v="YWEGT"/>
    <s v="1"/>
    <x v="0"/>
    <d v="2026-06-30T00:00:00"/>
    <s v="5112294805"/>
    <d v="2026-07-08T00:00:00"/>
  </r>
  <r>
    <x v="3"/>
    <d v="2026-07-08T00:00:00"/>
    <x v="6"/>
    <s v="6658020"/>
    <s v="Var Lease (excl.GER)"/>
    <s v="MW09C20011"/>
    <s v="Site logistics"/>
    <n v="70861.600000000006"/>
    <s v="Valor Var Lease (excl GER) ref  Docto Nr  1663"/>
    <x v="0"/>
    <s v="661185723"/>
    <s v="4010339706"/>
    <s v="YWEGT"/>
    <s v="1"/>
    <x v="0"/>
    <d v="2026-06-30T00:00:00"/>
    <s v="5112294806"/>
    <d v="2026-07-08T00:00:00"/>
  </r>
  <r>
    <x v="3"/>
    <d v="2026-07-29T00:00:00"/>
    <x v="6"/>
    <s v="6658020"/>
    <s v="Var Lease (excl.GER)"/>
    <s v="MW09C20011"/>
    <s v="Site logistics"/>
    <n v="21981.19"/>
    <s v="Valor Var Lease (excl GER) ref  Docto Nr  1807"/>
    <x v="0"/>
    <s v="661191585"/>
    <s v="4010374235"/>
    <s v="YWEGT"/>
    <s v="1"/>
    <x v="0"/>
    <d v="2026-07-16T00:00:00"/>
    <s v="5112350955"/>
    <d v="2026-07-29T00:00:00"/>
  </r>
  <r>
    <x v="3"/>
    <d v="2026-07-29T00:00:00"/>
    <x v="6"/>
    <s v="6658020"/>
    <s v="Var Lease (excl.GER)"/>
    <s v="MW09C20011"/>
    <s v="Site logistics"/>
    <n v="64306.9"/>
    <s v="Valor Var Lease (excl GER) ref  Docto Nr  1810"/>
    <x v="0"/>
    <s v="661191586"/>
    <s v="4010374236"/>
    <s v="YWEGT"/>
    <s v="1"/>
    <x v="0"/>
    <d v="2026-07-16T00:00:00"/>
    <s v="5112350956"/>
    <d v="2026-07-29T00:00:00"/>
  </r>
  <r>
    <x v="3"/>
    <d v="2026-07-29T00:00:00"/>
    <x v="6"/>
    <s v="6658020"/>
    <s v="Var Lease (excl.GER)"/>
    <s v="MW09C20011"/>
    <s v="Site logistics"/>
    <n v="14469.05"/>
    <s v="Valor Var Lease (excl GER) ref  Docto Nr  1808"/>
    <x v="0"/>
    <s v="661191581"/>
    <s v="4010374238"/>
    <s v="YWEGT"/>
    <s v="1"/>
    <x v="0"/>
    <d v="2026-07-16T00:00:00"/>
    <s v="5112350968"/>
    <d v="2026-07-29T00:00:00"/>
  </r>
  <r>
    <x v="3"/>
    <d v="2026-08-10T00:00:00"/>
    <x v="7"/>
    <s v="6658020"/>
    <s v="Var Lease (excl.GER)"/>
    <s v="MW09C20011"/>
    <s v="Site logistics"/>
    <n v="80"/>
    <s v="Valor Var Lease (excl GER) ref  Docto Nr  1965"/>
    <x v="0"/>
    <s v="661199883"/>
    <s v="4010394674"/>
    <s v="EAUXB"/>
    <s v="1"/>
    <x v="0"/>
    <d v="2026-08-06T00:00:00"/>
    <s v="5112371945"/>
    <d v="2026-08-10T00:00:00"/>
  </r>
  <r>
    <x v="3"/>
    <d v="2026-08-14T00:00:00"/>
    <x v="7"/>
    <s v="6658020"/>
    <s v="Var Lease (excl.GER)"/>
    <s v="MW09C20011"/>
    <s v="Site logistics"/>
    <n v="1553.64"/>
    <s v="Valor Var Lease (excl GER) ref  Docto Nr  1868"/>
    <x v="0"/>
    <s v="661193063"/>
    <s v="4010402020"/>
    <s v="YWEGT"/>
    <s v="1"/>
    <x v="0"/>
    <d v="2026-07-21T00:00:00"/>
    <s v="5112382365"/>
    <d v="2026-08-14T00:00:00"/>
  </r>
  <r>
    <x v="3"/>
    <d v="2026-08-14T00:00:00"/>
    <x v="7"/>
    <s v="6658020"/>
    <s v="Var Lease (excl.GER)"/>
    <s v="MW09C20011"/>
    <s v="Site logistics"/>
    <n v="235.05"/>
    <s v="Valor Var Lease (excl GER) ref  Docto Nr  1867"/>
    <x v="0"/>
    <s v="661193064"/>
    <s v="4010402021"/>
    <s v="YWEGT"/>
    <s v="1"/>
    <x v="0"/>
    <d v="2026-07-21T00:00:00"/>
    <s v="5112382366"/>
    <d v="2026-08-14T00:00:00"/>
  </r>
  <r>
    <x v="3"/>
    <d v="2026-08-14T00:00:00"/>
    <x v="7"/>
    <s v="6658020"/>
    <s v="Var Lease (excl.GER)"/>
    <s v="MW09C20011"/>
    <s v="Site logistics"/>
    <n v="104.36"/>
    <s v="Valor Var Lease (excl GER) ref  Docto Nr  1866"/>
    <x v="0"/>
    <s v="661193065"/>
    <s v="4010402022"/>
    <s v="YWEGT"/>
    <s v="1"/>
    <x v="0"/>
    <d v="2026-07-21T00:00:00"/>
    <s v="5112382597"/>
    <d v="2026-08-14T00:00:00"/>
  </r>
  <r>
    <x v="3"/>
    <d v="2026-08-17T00:00:00"/>
    <x v="7"/>
    <s v="6420000"/>
    <s v="Transports"/>
    <s v="MW09C20011"/>
    <s v="Site logistics"/>
    <n v="70861.600000000006"/>
    <s v="Valor Transports ref  Docto Nr  2012"/>
    <x v="0"/>
    <s v="661201089"/>
    <s v="4010405837"/>
    <s v="EFXNJ"/>
    <s v="1"/>
    <x v="0"/>
    <d v="2026-08-10T00:00:00"/>
    <s v="5112385027"/>
    <d v="2026-08-17T00:00:00"/>
  </r>
  <r>
    <x v="3"/>
    <d v="2026-08-17T00:00:00"/>
    <x v="7"/>
    <s v="6658020"/>
    <s v="Var Lease (excl.GER)"/>
    <s v="MW09C20011"/>
    <s v="Site logistics"/>
    <n v="15943.85"/>
    <s v="Valor Var Lease (excl GER) ref  Docto Nr  2013"/>
    <x v="0"/>
    <s v="661201087"/>
    <s v="4010405838"/>
    <s v="EFXNJ"/>
    <s v="1"/>
    <x v="0"/>
    <d v="2026-08-10T00:00:00"/>
    <s v="5112385029"/>
    <d v="2026-08-17T00:00:00"/>
  </r>
  <r>
    <x v="3"/>
    <d v="2026-08-31T00:00:00"/>
    <x v="7"/>
    <s v="6658020"/>
    <s v="Var Lease (excl.GER)"/>
    <s v="MW09C20011"/>
    <s v="Site logistics"/>
    <n v="21981.19"/>
    <s v="Valor Var Lease (excl GER) ref  Docto Nr  2153"/>
    <x v="0"/>
    <s v="661201130"/>
    <s v="4010432801"/>
    <s v="GNEDA"/>
    <s v="1"/>
    <x v="0"/>
    <d v="2026-08-20T00:00:00"/>
    <s v="5112411059"/>
    <d v="2026-08-31T00:00:00"/>
  </r>
  <r>
    <x v="4"/>
    <m/>
    <x v="12"/>
    <m/>
    <m/>
    <m/>
    <m/>
    <m/>
    <m/>
    <x v="1"/>
    <m/>
    <m/>
    <m/>
    <m/>
    <x v="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7C4BF7-AD58-490E-A907-76B2D682CB07}" name="Tabela dinâmica3" cacheId="7" applyNumberFormats="0" applyBorderFormats="0" applyFontFormats="0" applyPatternFormats="0" applyAlignmentFormats="0" applyWidthHeightFormats="1" dataCaption="Valores" updatedVersion="8" minRefreshableVersion="3" useAutoFormatting="1" itemPrintTitles="1" createdVersion="7" indent="0" outline="1" outlineData="1" multipleFieldFilters="0">
  <location ref="A4:J7" firstHeaderRow="1" firstDataRow="2" firstDataCol="1" rowPageCount="1" colPageCount="1"/>
  <pivotFields count="18">
    <pivotField axis="axisPage" showAll="0">
      <items count="6">
        <item x="0"/>
        <item x="1"/>
        <item x="4"/>
        <item x="2"/>
        <item x="3"/>
        <item t="default"/>
      </items>
    </pivotField>
    <pivotField numFmtId="14" showAll="0"/>
    <pivotField axis="axisCol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dataField="1" numFmtId="4" showAll="0"/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axis="axisRow" showAll="0">
      <items count="11">
        <item sd="0" x="0"/>
        <item sd="0" m="1" x="5"/>
        <item sd="0" m="1" x="6"/>
        <item sd="0" m="1" x="7"/>
        <item sd="0" m="1" x="8"/>
        <item sd="0" m="1" x="9"/>
        <item x="1"/>
        <item m="1" x="3"/>
        <item m="1" x="4"/>
        <item m="1" x="2"/>
        <item t="default"/>
      </items>
    </pivotField>
    <pivotField showAll="0"/>
    <pivotField showAll="0"/>
    <pivotField showAll="0"/>
  </pivotFields>
  <rowFields count="2">
    <field x="14"/>
    <field x="9"/>
  </rowFields>
  <rowItems count="2">
    <i>
      <x/>
    </i>
    <i t="grand">
      <x/>
    </i>
  </rowItems>
  <colFields count="1">
    <field x="2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pageFields count="1">
    <pageField fld="0" item="4" hier="-1"/>
  </pageFields>
  <dataFields count="1">
    <dataField name="Custo" fld="7" baseField="14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1.bin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12332-E410-429E-B727-ACADD7B2BB8D}">
  <dimension ref="A2:O20"/>
  <sheetViews>
    <sheetView showGridLines="0" tabSelected="1" workbookViewId="0">
      <selection activeCell="H11" sqref="H11"/>
    </sheetView>
  </sheetViews>
  <sheetFormatPr defaultRowHeight="12.5" x14ac:dyDescent="0.25"/>
  <cols>
    <col min="1" max="1" width="17.7265625" bestFit="1" customWidth="1"/>
    <col min="2" max="2" width="19" bestFit="1" customWidth="1"/>
    <col min="3" max="3" width="8.90625" bestFit="1" customWidth="1"/>
    <col min="4" max="4" width="9.90625" bestFit="1" customWidth="1"/>
    <col min="5" max="5" width="8.90625" bestFit="1" customWidth="1"/>
    <col min="6" max="6" width="9.90625" bestFit="1" customWidth="1"/>
    <col min="7" max="7" width="8.90625" bestFit="1" customWidth="1"/>
    <col min="8" max="9" width="9.90625" bestFit="1" customWidth="1"/>
    <col min="10" max="10" width="10.36328125" bestFit="1" customWidth="1"/>
    <col min="11" max="11" width="9.90625" bestFit="1" customWidth="1"/>
    <col min="12" max="12" width="11.453125" bestFit="1" customWidth="1"/>
    <col min="13" max="13" width="8.90625" bestFit="1" customWidth="1"/>
    <col min="14" max="14" width="10.36328125" customWidth="1"/>
  </cols>
  <sheetData>
    <row r="2" spans="1:15" x14ac:dyDescent="0.25">
      <c r="A2" s="3" t="s">
        <v>19</v>
      </c>
      <c r="B2" t="s">
        <v>885</v>
      </c>
    </row>
    <row r="4" spans="1:15" x14ac:dyDescent="0.25">
      <c r="A4" s="3" t="s">
        <v>38</v>
      </c>
      <c r="B4" s="3" t="s">
        <v>35</v>
      </c>
    </row>
    <row r="5" spans="1:15" x14ac:dyDescent="0.25">
      <c r="A5" s="3" t="s">
        <v>37</v>
      </c>
      <c r="B5" t="s">
        <v>8</v>
      </c>
      <c r="C5" t="s">
        <v>6</v>
      </c>
      <c r="D5" t="s">
        <v>0</v>
      </c>
      <c r="E5" t="s">
        <v>5</v>
      </c>
      <c r="F5" t="s">
        <v>92</v>
      </c>
      <c r="G5" t="s">
        <v>116</v>
      </c>
      <c r="H5" t="s">
        <v>138</v>
      </c>
      <c r="I5" t="s">
        <v>184</v>
      </c>
      <c r="J5" t="s">
        <v>36</v>
      </c>
      <c r="O5" s="6"/>
    </row>
    <row r="6" spans="1:15" x14ac:dyDescent="0.25">
      <c r="A6" s="4" t="s">
        <v>34</v>
      </c>
      <c r="B6" s="5">
        <v>335</v>
      </c>
      <c r="C6" s="5">
        <v>75305.48000000001</v>
      </c>
      <c r="D6" s="5">
        <v>207988.22000000003</v>
      </c>
      <c r="E6" s="5">
        <v>20089.169999999998</v>
      </c>
      <c r="F6" s="5">
        <v>169585.48</v>
      </c>
      <c r="G6" s="5">
        <v>37925.040000000001</v>
      </c>
      <c r="H6" s="5">
        <v>209543.78</v>
      </c>
      <c r="I6" s="5">
        <v>110759.69000000002</v>
      </c>
      <c r="J6" s="5">
        <v>831531.8600000001</v>
      </c>
      <c r="O6" s="6"/>
    </row>
    <row r="7" spans="1:15" x14ac:dyDescent="0.25">
      <c r="A7" s="4" t="s">
        <v>36</v>
      </c>
      <c r="B7" s="5">
        <v>335</v>
      </c>
      <c r="C7" s="5">
        <v>75305.48000000001</v>
      </c>
      <c r="D7" s="5">
        <v>207988.22000000003</v>
      </c>
      <c r="E7" s="5">
        <v>20089.169999999998</v>
      </c>
      <c r="F7" s="5">
        <v>169585.48</v>
      </c>
      <c r="G7" s="5">
        <v>37925.040000000001</v>
      </c>
      <c r="H7" s="5">
        <v>209543.78</v>
      </c>
      <c r="I7" s="5">
        <v>110759.69000000002</v>
      </c>
      <c r="J7" s="5">
        <v>831531.8600000001</v>
      </c>
    </row>
    <row r="9" spans="1:15" x14ac:dyDescent="0.25">
      <c r="L9" s="13"/>
    </row>
    <row r="11" spans="1:15" x14ac:dyDescent="0.25">
      <c r="A11" s="16" t="s">
        <v>493</v>
      </c>
    </row>
    <row r="12" spans="1:15" ht="13" x14ac:dyDescent="0.25">
      <c r="A12" s="21" t="s">
        <v>492</v>
      </c>
    </row>
    <row r="14" spans="1:15" x14ac:dyDescent="0.25">
      <c r="L14" s="5"/>
    </row>
    <row r="15" spans="1:15" x14ac:dyDescent="0.25">
      <c r="L15" s="5"/>
    </row>
    <row r="16" spans="1:15" x14ac:dyDescent="0.25">
      <c r="L16" s="5"/>
    </row>
    <row r="17" spans="12:12" x14ac:dyDescent="0.25">
      <c r="L17" s="5"/>
    </row>
    <row r="19" spans="12:12" x14ac:dyDescent="0.25">
      <c r="L19" s="5"/>
    </row>
    <row r="20" spans="12:12" x14ac:dyDescent="0.25">
      <c r="L20" s="5"/>
    </row>
  </sheetData>
  <pageMargins left="0.511811024" right="0.511811024" top="0.78740157499999996" bottom="0.78740157499999996" header="0.31496062000000002" footer="0.31496062000000002"/>
  <pageSetup paperSize="9" orientation="portrait" horizontalDpi="90" verticalDpi="90" r:id="rId2"/>
  <headerFooter>
    <oddFooter>&amp;R&amp;1#&amp;"Calibri"&amp;22&amp;KFF8939RESTRICTED</oddFooter>
  </headerFooter>
  <customProperties>
    <customPr name="_pios_id" r:id="rId3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3"/>
  <sheetViews>
    <sheetView topLeftCell="A344" zoomScale="85" zoomScaleNormal="85" workbookViewId="0">
      <selection activeCell="R361" sqref="R361:R373"/>
    </sheetView>
  </sheetViews>
  <sheetFormatPr defaultRowHeight="12.5" outlineLevelRow="2" x14ac:dyDescent="0.25"/>
  <cols>
    <col min="1" max="1" width="13" bestFit="1" customWidth="1"/>
    <col min="2" max="2" width="13" style="7" bestFit="1" customWidth="1"/>
    <col min="3" max="3" width="8" bestFit="1" customWidth="1"/>
    <col min="4" max="4" width="14" hidden="1" customWidth="1"/>
    <col min="5" max="5" width="22" hidden="1" customWidth="1"/>
    <col min="6" max="6" width="13" bestFit="1" customWidth="1"/>
    <col min="7" max="7" width="22" bestFit="1" customWidth="1"/>
    <col min="8" max="8" width="17" bestFit="1" customWidth="1"/>
    <col min="9" max="9" width="49" bestFit="1" customWidth="1"/>
    <col min="10" max="10" width="43.1796875" customWidth="1"/>
    <col min="11" max="11" width="11" bestFit="1" customWidth="1"/>
    <col min="12" max="12" width="17" bestFit="1" customWidth="1"/>
    <col min="13" max="13" width="11" bestFit="1" customWidth="1"/>
    <col min="14" max="14" width="4.26953125" customWidth="1"/>
    <col min="15" max="15" width="13.26953125" customWidth="1"/>
    <col min="16" max="16" width="12.54296875" customWidth="1"/>
    <col min="17" max="17" width="11.7265625" customWidth="1"/>
    <col min="18" max="18" width="11.08984375" bestFit="1" customWidth="1"/>
    <col min="19" max="19" width="24.26953125" bestFit="1" customWidth="1"/>
    <col min="20" max="20" width="26.453125" customWidth="1"/>
    <col min="24" max="24" width="12.36328125" bestFit="1" customWidth="1"/>
  </cols>
  <sheetData>
    <row r="1" spans="1:23" ht="25" x14ac:dyDescent="0.25">
      <c r="A1" s="1" t="s">
        <v>19</v>
      </c>
      <c r="B1" s="10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2" t="s">
        <v>29</v>
      </c>
      <c r="L1" s="1" t="s">
        <v>30</v>
      </c>
      <c r="M1" s="1" t="s">
        <v>31</v>
      </c>
      <c r="N1" s="1" t="s">
        <v>32</v>
      </c>
      <c r="O1" s="27" t="s">
        <v>33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202</v>
      </c>
      <c r="U1" s="1" t="s">
        <v>203</v>
      </c>
      <c r="V1" s="1" t="s">
        <v>204</v>
      </c>
      <c r="W1" s="1" t="s">
        <v>205</v>
      </c>
    </row>
    <row r="2" spans="1:23" x14ac:dyDescent="0.25">
      <c r="A2" t="s">
        <v>39</v>
      </c>
      <c r="B2" s="7">
        <v>44945</v>
      </c>
      <c r="C2" t="s">
        <v>8</v>
      </c>
      <c r="D2" t="s">
        <v>1</v>
      </c>
      <c r="E2" t="s">
        <v>2</v>
      </c>
      <c r="F2" t="s">
        <v>3</v>
      </c>
      <c r="G2" t="s">
        <v>4</v>
      </c>
      <c r="H2">
        <v>7656.54</v>
      </c>
      <c r="I2" t="s">
        <v>10</v>
      </c>
      <c r="J2" t="s">
        <v>7</v>
      </c>
      <c r="K2" t="s">
        <v>40</v>
      </c>
      <c r="L2" t="s">
        <v>41</v>
      </c>
      <c r="M2" t="s">
        <v>9</v>
      </c>
      <c r="N2" t="s">
        <v>8</v>
      </c>
      <c r="O2" t="str">
        <f t="shared" ref="O2:O65" si="0">LEFT(J2,7)</f>
        <v>FIMATEC</v>
      </c>
      <c r="P2">
        <v>44942</v>
      </c>
      <c r="Q2" t="s">
        <v>42</v>
      </c>
      <c r="R2" s="7">
        <v>44945</v>
      </c>
      <c r="S2" t="s">
        <v>43</v>
      </c>
    </row>
    <row r="3" spans="1:23" x14ac:dyDescent="0.25">
      <c r="A3" t="s">
        <v>39</v>
      </c>
      <c r="B3" s="7">
        <v>44945</v>
      </c>
      <c r="C3" t="s">
        <v>8</v>
      </c>
      <c r="D3" t="s">
        <v>1</v>
      </c>
      <c r="E3" t="s">
        <v>2</v>
      </c>
      <c r="F3" t="s">
        <v>17</v>
      </c>
      <c r="G3" t="s">
        <v>18</v>
      </c>
      <c r="H3">
        <v>2700.72</v>
      </c>
      <c r="I3" t="s">
        <v>10</v>
      </c>
      <c r="J3" t="s">
        <v>7</v>
      </c>
      <c r="K3" t="s">
        <v>44</v>
      </c>
      <c r="L3" t="s">
        <v>45</v>
      </c>
      <c r="M3" t="s">
        <v>9</v>
      </c>
      <c r="N3" t="s">
        <v>8</v>
      </c>
      <c r="O3" t="str">
        <f t="shared" si="0"/>
        <v>FIMATEC</v>
      </c>
      <c r="P3">
        <v>44942</v>
      </c>
      <c r="Q3" t="s">
        <v>46</v>
      </c>
      <c r="R3" s="7">
        <v>44945</v>
      </c>
      <c r="S3" t="s">
        <v>47</v>
      </c>
    </row>
    <row r="4" spans="1:23" x14ac:dyDescent="0.25">
      <c r="A4" t="s">
        <v>39</v>
      </c>
      <c r="B4" s="7">
        <v>44945</v>
      </c>
      <c r="C4" t="s">
        <v>8</v>
      </c>
      <c r="D4" t="s">
        <v>1</v>
      </c>
      <c r="E4" t="s">
        <v>2</v>
      </c>
      <c r="F4" t="s">
        <v>13</v>
      </c>
      <c r="G4" t="s">
        <v>14</v>
      </c>
      <c r="H4">
        <v>1579.92</v>
      </c>
      <c r="I4" t="s">
        <v>10</v>
      </c>
      <c r="J4" t="s">
        <v>7</v>
      </c>
      <c r="K4" t="s">
        <v>40</v>
      </c>
      <c r="L4" t="s">
        <v>41</v>
      </c>
      <c r="M4" t="s">
        <v>9</v>
      </c>
      <c r="N4" t="s">
        <v>6</v>
      </c>
      <c r="O4" t="str">
        <f t="shared" si="0"/>
        <v>FIMATEC</v>
      </c>
      <c r="P4">
        <v>44942</v>
      </c>
      <c r="Q4" t="s">
        <v>42</v>
      </c>
      <c r="R4" s="7">
        <v>44945</v>
      </c>
      <c r="S4" t="s">
        <v>43</v>
      </c>
    </row>
    <row r="5" spans="1:23" x14ac:dyDescent="0.25">
      <c r="A5" t="s">
        <v>39</v>
      </c>
      <c r="B5" s="7">
        <v>44945</v>
      </c>
      <c r="C5" t="s">
        <v>8</v>
      </c>
      <c r="D5" t="s">
        <v>1</v>
      </c>
      <c r="E5" t="s">
        <v>2</v>
      </c>
      <c r="F5" t="s">
        <v>15</v>
      </c>
      <c r="G5" t="s">
        <v>16</v>
      </c>
      <c r="H5">
        <v>1458.39</v>
      </c>
      <c r="I5" t="s">
        <v>10</v>
      </c>
      <c r="J5" t="s">
        <v>7</v>
      </c>
      <c r="K5" t="s">
        <v>40</v>
      </c>
      <c r="L5" t="s">
        <v>41</v>
      </c>
      <c r="M5" t="s">
        <v>9</v>
      </c>
      <c r="N5" t="s">
        <v>0</v>
      </c>
      <c r="O5" t="str">
        <f t="shared" si="0"/>
        <v>FIMATEC</v>
      </c>
      <c r="P5">
        <v>44942</v>
      </c>
      <c r="Q5" t="s">
        <v>42</v>
      </c>
      <c r="R5" s="7">
        <v>44945</v>
      </c>
      <c r="S5" t="s">
        <v>43</v>
      </c>
    </row>
    <row r="6" spans="1:23" x14ac:dyDescent="0.25">
      <c r="A6" t="s">
        <v>39</v>
      </c>
      <c r="B6" s="7">
        <v>44945</v>
      </c>
      <c r="C6" t="s">
        <v>8</v>
      </c>
      <c r="D6" t="s">
        <v>1</v>
      </c>
      <c r="E6" t="s">
        <v>2</v>
      </c>
      <c r="F6" t="s">
        <v>11</v>
      </c>
      <c r="G6" t="s">
        <v>12</v>
      </c>
      <c r="H6">
        <v>1458.39</v>
      </c>
      <c r="I6" t="s">
        <v>10</v>
      </c>
      <c r="J6" t="s">
        <v>7</v>
      </c>
      <c r="K6" t="s">
        <v>40</v>
      </c>
      <c r="L6" t="s">
        <v>41</v>
      </c>
      <c r="M6" t="s">
        <v>9</v>
      </c>
      <c r="N6" t="s">
        <v>5</v>
      </c>
      <c r="O6" t="str">
        <f t="shared" si="0"/>
        <v>FIMATEC</v>
      </c>
      <c r="P6">
        <v>44942</v>
      </c>
      <c r="Q6" t="s">
        <v>42</v>
      </c>
      <c r="R6" s="7">
        <v>44945</v>
      </c>
      <c r="S6" t="s">
        <v>43</v>
      </c>
    </row>
    <row r="7" spans="1:23" x14ac:dyDescent="0.25">
      <c r="A7" t="s">
        <v>39</v>
      </c>
      <c r="B7" s="7">
        <v>44973</v>
      </c>
      <c r="C7" t="s">
        <v>6</v>
      </c>
      <c r="D7" t="s">
        <v>1</v>
      </c>
      <c r="E7" t="s">
        <v>2</v>
      </c>
      <c r="F7" t="s">
        <v>3</v>
      </c>
      <c r="G7" t="s">
        <v>4</v>
      </c>
      <c r="H7">
        <v>6948.31</v>
      </c>
      <c r="I7" t="s">
        <v>10</v>
      </c>
      <c r="J7" t="s">
        <v>7</v>
      </c>
      <c r="K7" t="s">
        <v>48</v>
      </c>
      <c r="L7" t="s">
        <v>49</v>
      </c>
      <c r="M7" t="s">
        <v>50</v>
      </c>
      <c r="N7" t="s">
        <v>8</v>
      </c>
      <c r="O7" t="str">
        <f t="shared" si="0"/>
        <v>FIMATEC</v>
      </c>
      <c r="P7">
        <v>44966</v>
      </c>
      <c r="Q7" t="s">
        <v>51</v>
      </c>
      <c r="R7" s="7">
        <v>44973</v>
      </c>
      <c r="S7" t="s">
        <v>52</v>
      </c>
    </row>
    <row r="8" spans="1:23" x14ac:dyDescent="0.25">
      <c r="A8" t="s">
        <v>39</v>
      </c>
      <c r="B8" s="7">
        <v>44973</v>
      </c>
      <c r="C8" t="s">
        <v>6</v>
      </c>
      <c r="D8" t="s">
        <v>1</v>
      </c>
      <c r="E8" t="s">
        <v>2</v>
      </c>
      <c r="F8" t="s">
        <v>17</v>
      </c>
      <c r="G8" t="s">
        <v>18</v>
      </c>
      <c r="H8">
        <v>2450.9</v>
      </c>
      <c r="I8" t="s">
        <v>10</v>
      </c>
      <c r="J8" t="s">
        <v>7</v>
      </c>
      <c r="K8" t="s">
        <v>53</v>
      </c>
      <c r="L8" t="s">
        <v>54</v>
      </c>
      <c r="M8" t="s">
        <v>50</v>
      </c>
      <c r="N8" t="s">
        <v>8</v>
      </c>
      <c r="O8" t="str">
        <f t="shared" si="0"/>
        <v>FIMATEC</v>
      </c>
      <c r="P8">
        <v>44966</v>
      </c>
      <c r="Q8" t="s">
        <v>55</v>
      </c>
      <c r="R8" s="7">
        <v>44973</v>
      </c>
      <c r="S8" t="s">
        <v>56</v>
      </c>
    </row>
    <row r="9" spans="1:23" x14ac:dyDescent="0.25">
      <c r="A9" t="s">
        <v>39</v>
      </c>
      <c r="B9" s="7">
        <v>44973</v>
      </c>
      <c r="C9" t="s">
        <v>6</v>
      </c>
      <c r="D9" t="s">
        <v>1</v>
      </c>
      <c r="E9" t="s">
        <v>2</v>
      </c>
      <c r="F9" t="s">
        <v>13</v>
      </c>
      <c r="G9" t="s">
        <v>14</v>
      </c>
      <c r="H9">
        <v>1433.78</v>
      </c>
      <c r="I9" t="s">
        <v>10</v>
      </c>
      <c r="J9" t="s">
        <v>7</v>
      </c>
      <c r="K9" t="s">
        <v>48</v>
      </c>
      <c r="L9" t="s">
        <v>49</v>
      </c>
      <c r="M9" t="s">
        <v>50</v>
      </c>
      <c r="N9" t="s">
        <v>6</v>
      </c>
      <c r="O9" t="str">
        <f t="shared" si="0"/>
        <v>FIMATEC</v>
      </c>
      <c r="P9">
        <v>44966</v>
      </c>
      <c r="Q9" t="s">
        <v>51</v>
      </c>
      <c r="R9" s="7">
        <v>44973</v>
      </c>
      <c r="S9" t="s">
        <v>52</v>
      </c>
    </row>
    <row r="10" spans="1:23" x14ac:dyDescent="0.25">
      <c r="A10" t="s">
        <v>39</v>
      </c>
      <c r="B10" s="7">
        <v>44973</v>
      </c>
      <c r="C10" t="s">
        <v>6</v>
      </c>
      <c r="D10" t="s">
        <v>1</v>
      </c>
      <c r="E10" t="s">
        <v>2</v>
      </c>
      <c r="F10" t="s">
        <v>15</v>
      </c>
      <c r="G10" t="s">
        <v>16</v>
      </c>
      <c r="H10">
        <v>1323.49</v>
      </c>
      <c r="I10" t="s">
        <v>10</v>
      </c>
      <c r="J10" t="s">
        <v>7</v>
      </c>
      <c r="K10" t="s">
        <v>48</v>
      </c>
      <c r="L10" t="s">
        <v>49</v>
      </c>
      <c r="M10" t="s">
        <v>50</v>
      </c>
      <c r="N10" t="s">
        <v>0</v>
      </c>
      <c r="O10" t="str">
        <f t="shared" si="0"/>
        <v>FIMATEC</v>
      </c>
      <c r="P10">
        <v>44966</v>
      </c>
      <c r="Q10" t="s">
        <v>51</v>
      </c>
      <c r="R10" s="7">
        <v>44973</v>
      </c>
      <c r="S10" t="s">
        <v>52</v>
      </c>
    </row>
    <row r="11" spans="1:23" x14ac:dyDescent="0.25">
      <c r="A11" t="s">
        <v>39</v>
      </c>
      <c r="B11" s="7">
        <v>44973</v>
      </c>
      <c r="C11" t="s">
        <v>6</v>
      </c>
      <c r="D11" t="s">
        <v>1</v>
      </c>
      <c r="E11" t="s">
        <v>2</v>
      </c>
      <c r="F11" t="s">
        <v>11</v>
      </c>
      <c r="G11" t="s">
        <v>12</v>
      </c>
      <c r="H11">
        <v>1323.49</v>
      </c>
      <c r="I11" t="s">
        <v>10</v>
      </c>
      <c r="J11" t="s">
        <v>7</v>
      </c>
      <c r="K11" t="s">
        <v>48</v>
      </c>
      <c r="L11" t="s">
        <v>49</v>
      </c>
      <c r="M11" t="s">
        <v>50</v>
      </c>
      <c r="N11" t="s">
        <v>5</v>
      </c>
      <c r="O11" t="str">
        <f t="shared" si="0"/>
        <v>FIMATEC</v>
      </c>
      <c r="P11">
        <v>44966</v>
      </c>
      <c r="Q11" t="s">
        <v>51</v>
      </c>
      <c r="R11" s="7">
        <v>44973</v>
      </c>
      <c r="S11" t="s">
        <v>52</v>
      </c>
    </row>
    <row r="12" spans="1:23" x14ac:dyDescent="0.25">
      <c r="A12" t="s">
        <v>39</v>
      </c>
      <c r="B12" s="7">
        <v>45001</v>
      </c>
      <c r="C12" t="s">
        <v>0</v>
      </c>
      <c r="D12" t="s">
        <v>1</v>
      </c>
      <c r="E12" t="s">
        <v>2</v>
      </c>
      <c r="F12" t="s">
        <v>3</v>
      </c>
      <c r="G12" t="s">
        <v>4</v>
      </c>
      <c r="H12">
        <v>6948.31</v>
      </c>
      <c r="I12" t="s">
        <v>10</v>
      </c>
      <c r="J12" t="s">
        <v>7</v>
      </c>
      <c r="K12" t="s">
        <v>61</v>
      </c>
      <c r="L12" t="s">
        <v>62</v>
      </c>
      <c r="M12" t="s">
        <v>50</v>
      </c>
      <c r="N12" t="s">
        <v>8</v>
      </c>
      <c r="O12" t="str">
        <f t="shared" si="0"/>
        <v>FIMATEC</v>
      </c>
      <c r="P12">
        <v>44993</v>
      </c>
      <c r="Q12" t="s">
        <v>63</v>
      </c>
      <c r="R12" s="7">
        <v>45001</v>
      </c>
      <c r="S12" t="s">
        <v>64</v>
      </c>
    </row>
    <row r="13" spans="1:23" x14ac:dyDescent="0.25">
      <c r="A13" t="s">
        <v>39</v>
      </c>
      <c r="B13" s="7">
        <v>45001</v>
      </c>
      <c r="C13" t="s">
        <v>0</v>
      </c>
      <c r="D13" t="s">
        <v>1</v>
      </c>
      <c r="E13" t="s">
        <v>2</v>
      </c>
      <c r="F13" t="s">
        <v>17</v>
      </c>
      <c r="G13" t="s">
        <v>18</v>
      </c>
      <c r="H13">
        <v>2450.91</v>
      </c>
      <c r="I13" t="s">
        <v>10</v>
      </c>
      <c r="J13" t="s">
        <v>7</v>
      </c>
      <c r="K13" t="s">
        <v>65</v>
      </c>
      <c r="L13" t="s">
        <v>66</v>
      </c>
      <c r="M13" t="s">
        <v>50</v>
      </c>
      <c r="N13" t="s">
        <v>8</v>
      </c>
      <c r="O13" t="str">
        <f t="shared" si="0"/>
        <v>FIMATEC</v>
      </c>
      <c r="P13">
        <v>44995</v>
      </c>
      <c r="Q13" t="s">
        <v>67</v>
      </c>
      <c r="R13" s="7">
        <v>45001</v>
      </c>
      <c r="S13" t="s">
        <v>68</v>
      </c>
    </row>
    <row r="14" spans="1:23" x14ac:dyDescent="0.25">
      <c r="A14" t="s">
        <v>39</v>
      </c>
      <c r="B14" s="7">
        <v>45001</v>
      </c>
      <c r="C14" t="s">
        <v>0</v>
      </c>
      <c r="D14" t="s">
        <v>1</v>
      </c>
      <c r="E14" t="s">
        <v>2</v>
      </c>
      <c r="F14" t="s">
        <v>13</v>
      </c>
      <c r="G14" t="s">
        <v>14</v>
      </c>
      <c r="H14">
        <v>1433.78</v>
      </c>
      <c r="I14" t="s">
        <v>10</v>
      </c>
      <c r="J14" t="s">
        <v>7</v>
      </c>
      <c r="K14" t="s">
        <v>61</v>
      </c>
      <c r="L14" t="s">
        <v>62</v>
      </c>
      <c r="M14" t="s">
        <v>50</v>
      </c>
      <c r="N14" t="s">
        <v>6</v>
      </c>
      <c r="O14" t="str">
        <f t="shared" si="0"/>
        <v>FIMATEC</v>
      </c>
      <c r="P14">
        <v>44993</v>
      </c>
      <c r="Q14" t="s">
        <v>63</v>
      </c>
      <c r="R14" s="7">
        <v>45001</v>
      </c>
      <c r="S14" t="s">
        <v>64</v>
      </c>
    </row>
    <row r="15" spans="1:23" x14ac:dyDescent="0.25">
      <c r="A15" t="s">
        <v>39</v>
      </c>
      <c r="B15" s="7">
        <v>45001</v>
      </c>
      <c r="C15" t="s">
        <v>0</v>
      </c>
      <c r="D15" t="s">
        <v>1</v>
      </c>
      <c r="E15" t="s">
        <v>2</v>
      </c>
      <c r="F15" t="s">
        <v>15</v>
      </c>
      <c r="G15" t="s">
        <v>16</v>
      </c>
      <c r="H15">
        <v>1323.49</v>
      </c>
      <c r="I15" t="s">
        <v>10</v>
      </c>
      <c r="J15" t="s">
        <v>7</v>
      </c>
      <c r="K15" t="s">
        <v>61</v>
      </c>
      <c r="L15" t="s">
        <v>62</v>
      </c>
      <c r="M15" t="s">
        <v>50</v>
      </c>
      <c r="N15" t="s">
        <v>0</v>
      </c>
      <c r="O15" t="str">
        <f t="shared" si="0"/>
        <v>FIMATEC</v>
      </c>
      <c r="P15">
        <v>44993</v>
      </c>
      <c r="Q15" t="s">
        <v>63</v>
      </c>
      <c r="R15" s="7">
        <v>45001</v>
      </c>
      <c r="S15" t="s">
        <v>64</v>
      </c>
    </row>
    <row r="16" spans="1:23" x14ac:dyDescent="0.25">
      <c r="A16" t="s">
        <v>39</v>
      </c>
      <c r="B16" s="7">
        <v>45001</v>
      </c>
      <c r="C16" t="s">
        <v>0</v>
      </c>
      <c r="D16" t="s">
        <v>1</v>
      </c>
      <c r="E16" t="s">
        <v>2</v>
      </c>
      <c r="F16" t="s">
        <v>11</v>
      </c>
      <c r="G16" t="s">
        <v>12</v>
      </c>
      <c r="H16">
        <v>1323.49</v>
      </c>
      <c r="I16" t="s">
        <v>10</v>
      </c>
      <c r="J16" t="s">
        <v>7</v>
      </c>
      <c r="K16" t="s">
        <v>61</v>
      </c>
      <c r="L16" t="s">
        <v>62</v>
      </c>
      <c r="M16" t="s">
        <v>50</v>
      </c>
      <c r="N16" t="s">
        <v>5</v>
      </c>
      <c r="O16" t="str">
        <f t="shared" si="0"/>
        <v>FIMATEC</v>
      </c>
      <c r="P16">
        <v>44993</v>
      </c>
      <c r="Q16" t="s">
        <v>63</v>
      </c>
      <c r="R16" s="7">
        <v>45001</v>
      </c>
      <c r="S16" t="s">
        <v>64</v>
      </c>
    </row>
    <row r="17" spans="1:20" x14ac:dyDescent="0.25">
      <c r="A17" t="s">
        <v>39</v>
      </c>
      <c r="B17" s="7">
        <v>45040</v>
      </c>
      <c r="C17" t="s">
        <v>5</v>
      </c>
      <c r="D17" t="s">
        <v>69</v>
      </c>
      <c r="E17" t="s">
        <v>70</v>
      </c>
      <c r="F17" t="s">
        <v>3</v>
      </c>
      <c r="G17" t="s">
        <v>4</v>
      </c>
      <c r="H17">
        <v>36828.239999999998</v>
      </c>
      <c r="I17" t="s">
        <v>71</v>
      </c>
      <c r="J17" t="s">
        <v>7</v>
      </c>
      <c r="K17" t="s">
        <v>72</v>
      </c>
      <c r="L17" t="s">
        <v>73</v>
      </c>
      <c r="M17" t="s">
        <v>50</v>
      </c>
      <c r="N17" t="s">
        <v>8</v>
      </c>
      <c r="O17" t="str">
        <f t="shared" si="0"/>
        <v>FIMATEC</v>
      </c>
      <c r="P17">
        <v>45029</v>
      </c>
      <c r="Q17" t="s">
        <v>74</v>
      </c>
      <c r="R17" s="7">
        <v>45040</v>
      </c>
      <c r="S17" t="s">
        <v>75</v>
      </c>
    </row>
    <row r="18" spans="1:20" x14ac:dyDescent="0.25">
      <c r="A18" t="s">
        <v>39</v>
      </c>
      <c r="B18" s="7">
        <v>45040</v>
      </c>
      <c r="C18" t="s">
        <v>5</v>
      </c>
      <c r="D18" t="s">
        <v>69</v>
      </c>
      <c r="E18" t="s">
        <v>70</v>
      </c>
      <c r="F18" t="s">
        <v>13</v>
      </c>
      <c r="G18" t="s">
        <v>14</v>
      </c>
      <c r="H18">
        <v>7599.48</v>
      </c>
      <c r="I18" t="s">
        <v>71</v>
      </c>
      <c r="J18" t="s">
        <v>7</v>
      </c>
      <c r="K18" t="s">
        <v>72</v>
      </c>
      <c r="L18" t="s">
        <v>73</v>
      </c>
      <c r="M18" t="s">
        <v>50</v>
      </c>
      <c r="N18" t="s">
        <v>6</v>
      </c>
      <c r="O18" t="str">
        <f t="shared" si="0"/>
        <v>FIMATEC</v>
      </c>
      <c r="P18">
        <v>45029</v>
      </c>
      <c r="Q18" t="s">
        <v>74</v>
      </c>
      <c r="R18" s="7">
        <v>45040</v>
      </c>
      <c r="S18" t="s">
        <v>75</v>
      </c>
    </row>
    <row r="19" spans="1:20" x14ac:dyDescent="0.25">
      <c r="A19" t="s">
        <v>39</v>
      </c>
      <c r="B19" s="7">
        <v>45040</v>
      </c>
      <c r="C19" t="s">
        <v>5</v>
      </c>
      <c r="D19" t="s">
        <v>69</v>
      </c>
      <c r="E19" t="s">
        <v>70</v>
      </c>
      <c r="F19" t="s">
        <v>15</v>
      </c>
      <c r="G19" t="s">
        <v>16</v>
      </c>
      <c r="H19">
        <v>7014.91</v>
      </c>
      <c r="I19" t="s">
        <v>71</v>
      </c>
      <c r="J19" t="s">
        <v>7</v>
      </c>
      <c r="K19" t="s">
        <v>72</v>
      </c>
      <c r="L19" t="s">
        <v>73</v>
      </c>
      <c r="M19" t="s">
        <v>50</v>
      </c>
      <c r="N19" t="s">
        <v>0</v>
      </c>
      <c r="O19" t="str">
        <f t="shared" si="0"/>
        <v>FIMATEC</v>
      </c>
      <c r="P19">
        <v>45029</v>
      </c>
      <c r="Q19" t="s">
        <v>74</v>
      </c>
      <c r="R19" s="7">
        <v>45040</v>
      </c>
      <c r="S19" t="s">
        <v>75</v>
      </c>
    </row>
    <row r="20" spans="1:20" x14ac:dyDescent="0.25">
      <c r="A20" t="s">
        <v>39</v>
      </c>
      <c r="B20" s="7">
        <v>45040</v>
      </c>
      <c r="C20" t="s">
        <v>5</v>
      </c>
      <c r="D20" t="s">
        <v>69</v>
      </c>
      <c r="E20" t="s">
        <v>70</v>
      </c>
      <c r="F20" t="s">
        <v>11</v>
      </c>
      <c r="G20" t="s">
        <v>12</v>
      </c>
      <c r="H20">
        <v>7014.91</v>
      </c>
      <c r="I20" t="s">
        <v>71</v>
      </c>
      <c r="J20" t="s">
        <v>7</v>
      </c>
      <c r="K20" t="s">
        <v>72</v>
      </c>
      <c r="L20" t="s">
        <v>73</v>
      </c>
      <c r="M20" t="s">
        <v>50</v>
      </c>
      <c r="N20" t="s">
        <v>5</v>
      </c>
      <c r="O20" t="str">
        <f t="shared" si="0"/>
        <v>FIMATEC</v>
      </c>
      <c r="P20">
        <v>45029</v>
      </c>
      <c r="Q20" t="s">
        <v>74</v>
      </c>
      <c r="R20" s="7">
        <v>45040</v>
      </c>
      <c r="S20" t="s">
        <v>75</v>
      </c>
    </row>
    <row r="21" spans="1:20" x14ac:dyDescent="0.25">
      <c r="A21" t="s">
        <v>39</v>
      </c>
      <c r="B21" s="7">
        <v>45040</v>
      </c>
      <c r="C21" t="s">
        <v>5</v>
      </c>
      <c r="D21" t="s">
        <v>69</v>
      </c>
      <c r="E21" t="s">
        <v>70</v>
      </c>
      <c r="F21" t="s">
        <v>3</v>
      </c>
      <c r="G21" t="s">
        <v>4</v>
      </c>
      <c r="H21">
        <v>6629.08</v>
      </c>
      <c r="I21" t="s">
        <v>76</v>
      </c>
      <c r="J21" t="s">
        <v>7</v>
      </c>
      <c r="K21" t="s">
        <v>77</v>
      </c>
      <c r="L21" t="s">
        <v>78</v>
      </c>
      <c r="M21" t="s">
        <v>50</v>
      </c>
      <c r="N21" t="s">
        <v>8</v>
      </c>
      <c r="O21" t="str">
        <f t="shared" si="0"/>
        <v>FIMATEC</v>
      </c>
      <c r="P21">
        <v>45029</v>
      </c>
      <c r="Q21" t="s">
        <v>79</v>
      </c>
      <c r="R21" s="7">
        <v>45040</v>
      </c>
      <c r="S21" t="s">
        <v>80</v>
      </c>
    </row>
    <row r="22" spans="1:20" x14ac:dyDescent="0.25">
      <c r="A22" t="s">
        <v>39</v>
      </c>
      <c r="B22" s="7">
        <v>45040</v>
      </c>
      <c r="C22" t="s">
        <v>5</v>
      </c>
      <c r="D22" t="s">
        <v>69</v>
      </c>
      <c r="E22" t="s">
        <v>70</v>
      </c>
      <c r="F22" t="s">
        <v>17</v>
      </c>
      <c r="G22" t="s">
        <v>18</v>
      </c>
      <c r="H22">
        <v>3297</v>
      </c>
      <c r="I22" t="s">
        <v>81</v>
      </c>
      <c r="J22" t="s">
        <v>7</v>
      </c>
      <c r="K22" t="s">
        <v>82</v>
      </c>
      <c r="L22" t="s">
        <v>83</v>
      </c>
      <c r="M22" t="s">
        <v>50</v>
      </c>
      <c r="N22" t="s">
        <v>8</v>
      </c>
      <c r="O22" t="str">
        <f t="shared" si="0"/>
        <v>FIMATEC</v>
      </c>
      <c r="P22">
        <v>45029</v>
      </c>
      <c r="Q22" t="s">
        <v>84</v>
      </c>
      <c r="R22" s="7">
        <v>45040</v>
      </c>
      <c r="S22" t="s">
        <v>85</v>
      </c>
    </row>
    <row r="23" spans="1:20" x14ac:dyDescent="0.25">
      <c r="A23" t="s">
        <v>39</v>
      </c>
      <c r="B23" s="7">
        <v>45040</v>
      </c>
      <c r="C23" t="s">
        <v>5</v>
      </c>
      <c r="D23" t="s">
        <v>69</v>
      </c>
      <c r="E23" t="s">
        <v>70</v>
      </c>
      <c r="F23" t="s">
        <v>13</v>
      </c>
      <c r="G23" t="s">
        <v>14</v>
      </c>
      <c r="H23">
        <v>1367.9</v>
      </c>
      <c r="I23" t="s">
        <v>76</v>
      </c>
      <c r="J23" t="s">
        <v>7</v>
      </c>
      <c r="K23" t="s">
        <v>77</v>
      </c>
      <c r="L23" t="s">
        <v>78</v>
      </c>
      <c r="M23" t="s">
        <v>50</v>
      </c>
      <c r="N23" t="s">
        <v>6</v>
      </c>
      <c r="O23" t="str">
        <f t="shared" si="0"/>
        <v>FIMATEC</v>
      </c>
      <c r="P23">
        <v>45029</v>
      </c>
      <c r="Q23" t="s">
        <v>79</v>
      </c>
      <c r="R23" s="7">
        <v>45040</v>
      </c>
      <c r="S23" t="s">
        <v>80</v>
      </c>
    </row>
    <row r="24" spans="1:20" x14ac:dyDescent="0.25">
      <c r="A24" t="s">
        <v>39</v>
      </c>
      <c r="B24" s="7">
        <v>45040</v>
      </c>
      <c r="C24" t="s">
        <v>5</v>
      </c>
      <c r="D24" t="s">
        <v>69</v>
      </c>
      <c r="E24" t="s">
        <v>70</v>
      </c>
      <c r="F24" t="s">
        <v>15</v>
      </c>
      <c r="G24" t="s">
        <v>16</v>
      </c>
      <c r="H24">
        <v>1262.68</v>
      </c>
      <c r="I24" t="s">
        <v>76</v>
      </c>
      <c r="J24" t="s">
        <v>7</v>
      </c>
      <c r="K24" t="s">
        <v>77</v>
      </c>
      <c r="L24" t="s">
        <v>78</v>
      </c>
      <c r="M24" t="s">
        <v>50</v>
      </c>
      <c r="N24" t="s">
        <v>0</v>
      </c>
      <c r="O24" t="str">
        <f t="shared" si="0"/>
        <v>FIMATEC</v>
      </c>
      <c r="P24">
        <v>45029</v>
      </c>
      <c r="Q24" t="s">
        <v>79</v>
      </c>
      <c r="R24" s="7">
        <v>45040</v>
      </c>
      <c r="S24" t="s">
        <v>80</v>
      </c>
    </row>
    <row r="25" spans="1:20" x14ac:dyDescent="0.25">
      <c r="A25" t="s">
        <v>39</v>
      </c>
      <c r="B25" s="7">
        <v>45040</v>
      </c>
      <c r="C25" t="s">
        <v>5</v>
      </c>
      <c r="D25" t="s">
        <v>69</v>
      </c>
      <c r="E25" t="s">
        <v>70</v>
      </c>
      <c r="F25" t="s">
        <v>11</v>
      </c>
      <c r="G25" t="s">
        <v>12</v>
      </c>
      <c r="H25">
        <v>1262.68</v>
      </c>
      <c r="I25" t="s">
        <v>76</v>
      </c>
      <c r="J25" t="s">
        <v>7</v>
      </c>
      <c r="K25" t="s">
        <v>77</v>
      </c>
      <c r="L25" t="s">
        <v>78</v>
      </c>
      <c r="M25" t="s">
        <v>50</v>
      </c>
      <c r="N25" t="s">
        <v>5</v>
      </c>
      <c r="O25" t="str">
        <f t="shared" si="0"/>
        <v>FIMATEC</v>
      </c>
      <c r="P25">
        <v>45029</v>
      </c>
      <c r="Q25" t="s">
        <v>79</v>
      </c>
      <c r="R25" s="7">
        <v>45040</v>
      </c>
      <c r="S25" t="s">
        <v>80</v>
      </c>
    </row>
    <row r="26" spans="1:20" x14ac:dyDescent="0.25">
      <c r="A26" t="s">
        <v>39</v>
      </c>
      <c r="B26" s="7">
        <v>45042</v>
      </c>
      <c r="C26" t="s">
        <v>5</v>
      </c>
      <c r="D26" t="s">
        <v>86</v>
      </c>
      <c r="E26" t="s">
        <v>87</v>
      </c>
      <c r="F26" t="s">
        <v>3</v>
      </c>
      <c r="G26" t="s">
        <v>4</v>
      </c>
      <c r="H26">
        <v>9346.99</v>
      </c>
      <c r="I26" t="s">
        <v>81</v>
      </c>
      <c r="J26" t="s">
        <v>7</v>
      </c>
      <c r="K26" t="s">
        <v>88</v>
      </c>
      <c r="L26" t="s">
        <v>89</v>
      </c>
      <c r="M26" t="s">
        <v>50</v>
      </c>
      <c r="N26" t="s">
        <v>8</v>
      </c>
      <c r="O26" t="str">
        <f t="shared" si="0"/>
        <v>FIMATEC</v>
      </c>
      <c r="P26">
        <v>45034</v>
      </c>
      <c r="Q26" t="s">
        <v>90</v>
      </c>
      <c r="R26" s="7">
        <v>45042</v>
      </c>
      <c r="S26" t="s">
        <v>91</v>
      </c>
    </row>
    <row r="27" spans="1:20" x14ac:dyDescent="0.25">
      <c r="A27" t="s">
        <v>39</v>
      </c>
      <c r="B27" s="7">
        <v>45042</v>
      </c>
      <c r="C27" t="s">
        <v>5</v>
      </c>
      <c r="D27" t="s">
        <v>86</v>
      </c>
      <c r="E27" t="s">
        <v>87</v>
      </c>
      <c r="F27" t="s">
        <v>13</v>
      </c>
      <c r="G27" t="s">
        <v>14</v>
      </c>
      <c r="H27">
        <v>1928.75</v>
      </c>
      <c r="I27" t="s">
        <v>81</v>
      </c>
      <c r="J27" t="s">
        <v>7</v>
      </c>
      <c r="K27" t="s">
        <v>88</v>
      </c>
      <c r="L27" t="s">
        <v>89</v>
      </c>
      <c r="M27" t="s">
        <v>50</v>
      </c>
      <c r="N27" t="s">
        <v>6</v>
      </c>
      <c r="O27" t="str">
        <f t="shared" si="0"/>
        <v>FIMATEC</v>
      </c>
      <c r="P27">
        <v>45034</v>
      </c>
      <c r="Q27" t="s">
        <v>90</v>
      </c>
      <c r="R27" s="7">
        <v>45042</v>
      </c>
      <c r="S27" t="s">
        <v>91</v>
      </c>
    </row>
    <row r="28" spans="1:20" x14ac:dyDescent="0.25">
      <c r="A28" t="s">
        <v>39</v>
      </c>
      <c r="B28" s="7">
        <v>45042</v>
      </c>
      <c r="C28" t="s">
        <v>5</v>
      </c>
      <c r="D28" t="s">
        <v>86</v>
      </c>
      <c r="E28" t="s">
        <v>87</v>
      </c>
      <c r="F28" t="s">
        <v>15</v>
      </c>
      <c r="G28" t="s">
        <v>16</v>
      </c>
      <c r="H28">
        <v>1780.38</v>
      </c>
      <c r="I28" t="s">
        <v>81</v>
      </c>
      <c r="J28" t="s">
        <v>7</v>
      </c>
      <c r="K28" t="s">
        <v>88</v>
      </c>
      <c r="L28" t="s">
        <v>89</v>
      </c>
      <c r="M28" t="s">
        <v>50</v>
      </c>
      <c r="N28" t="s">
        <v>0</v>
      </c>
      <c r="O28" t="str">
        <f t="shared" si="0"/>
        <v>FIMATEC</v>
      </c>
      <c r="P28">
        <v>45034</v>
      </c>
      <c r="Q28" t="s">
        <v>90</v>
      </c>
      <c r="R28" s="7">
        <v>45042</v>
      </c>
      <c r="S28" t="s">
        <v>91</v>
      </c>
    </row>
    <row r="29" spans="1:20" x14ac:dyDescent="0.25">
      <c r="A29" t="s">
        <v>39</v>
      </c>
      <c r="B29" s="7">
        <v>45042</v>
      </c>
      <c r="C29" t="s">
        <v>5</v>
      </c>
      <c r="D29" t="s">
        <v>86</v>
      </c>
      <c r="E29" t="s">
        <v>87</v>
      </c>
      <c r="F29" t="s">
        <v>11</v>
      </c>
      <c r="G29" t="s">
        <v>12</v>
      </c>
      <c r="H29">
        <v>1780.38</v>
      </c>
      <c r="I29" t="s">
        <v>81</v>
      </c>
      <c r="J29" t="s">
        <v>7</v>
      </c>
      <c r="K29" t="s">
        <v>88</v>
      </c>
      <c r="L29" t="s">
        <v>89</v>
      </c>
      <c r="M29" t="s">
        <v>50</v>
      </c>
      <c r="N29" t="s">
        <v>5</v>
      </c>
      <c r="O29" t="str">
        <f t="shared" si="0"/>
        <v>FIMATEC</v>
      </c>
      <c r="P29">
        <v>45034</v>
      </c>
      <c r="Q29" t="s">
        <v>90</v>
      </c>
      <c r="R29" s="7">
        <v>45042</v>
      </c>
      <c r="S29" t="s">
        <v>91</v>
      </c>
    </row>
    <row r="30" spans="1:20" x14ac:dyDescent="0.25">
      <c r="A30" t="s">
        <v>39</v>
      </c>
      <c r="B30" s="8">
        <v>45056</v>
      </c>
      <c r="C30" t="s">
        <v>92</v>
      </c>
      <c r="D30" t="s">
        <v>1</v>
      </c>
      <c r="E30" t="s">
        <v>2</v>
      </c>
      <c r="F30" t="s">
        <v>3</v>
      </c>
      <c r="G30" t="s">
        <v>4</v>
      </c>
      <c r="H30" s="9">
        <v>36828.26</v>
      </c>
      <c r="I30" t="s">
        <v>71</v>
      </c>
      <c r="J30" t="s">
        <v>7</v>
      </c>
      <c r="K30" t="s">
        <v>93</v>
      </c>
      <c r="L30" t="s">
        <v>94</v>
      </c>
      <c r="M30" t="s">
        <v>95</v>
      </c>
      <c r="N30" t="s">
        <v>8</v>
      </c>
      <c r="O30" t="str">
        <f t="shared" si="0"/>
        <v>FIMATEC</v>
      </c>
      <c r="P30" s="8">
        <v>45050</v>
      </c>
      <c r="Q30" t="s">
        <v>96</v>
      </c>
      <c r="R30" s="8">
        <v>45056</v>
      </c>
      <c r="S30" t="s">
        <v>97</v>
      </c>
      <c r="T30" t="s">
        <v>71</v>
      </c>
    </row>
    <row r="31" spans="1:20" x14ac:dyDescent="0.25">
      <c r="A31" t="s">
        <v>39</v>
      </c>
      <c r="B31" s="8">
        <v>45056</v>
      </c>
      <c r="C31" t="s">
        <v>92</v>
      </c>
      <c r="D31" t="s">
        <v>1</v>
      </c>
      <c r="E31" t="s">
        <v>2</v>
      </c>
      <c r="F31" t="s">
        <v>3</v>
      </c>
      <c r="G31" t="s">
        <v>4</v>
      </c>
      <c r="H31" s="9">
        <v>9346.99</v>
      </c>
      <c r="I31" t="s">
        <v>81</v>
      </c>
      <c r="J31" t="s">
        <v>7</v>
      </c>
      <c r="K31" t="s">
        <v>98</v>
      </c>
      <c r="L31" t="s">
        <v>99</v>
      </c>
      <c r="M31" t="s">
        <v>95</v>
      </c>
      <c r="N31" t="s">
        <v>8</v>
      </c>
      <c r="O31" t="str">
        <f t="shared" si="0"/>
        <v>FIMATEC</v>
      </c>
      <c r="P31" s="8">
        <v>45050</v>
      </c>
      <c r="Q31" t="s">
        <v>100</v>
      </c>
      <c r="R31" s="8">
        <v>45056</v>
      </c>
      <c r="S31" t="s">
        <v>101</v>
      </c>
      <c r="T31" t="s">
        <v>81</v>
      </c>
    </row>
    <row r="32" spans="1:20" x14ac:dyDescent="0.25">
      <c r="A32" t="s">
        <v>39</v>
      </c>
      <c r="B32" s="8">
        <v>45056</v>
      </c>
      <c r="C32" t="s">
        <v>92</v>
      </c>
      <c r="D32" t="s">
        <v>1</v>
      </c>
      <c r="E32" t="s">
        <v>2</v>
      </c>
      <c r="F32" t="s">
        <v>13</v>
      </c>
      <c r="G32" t="s">
        <v>14</v>
      </c>
      <c r="H32" s="9">
        <v>7599.48</v>
      </c>
      <c r="I32" t="s">
        <v>71</v>
      </c>
      <c r="J32" t="s">
        <v>7</v>
      </c>
      <c r="K32" t="s">
        <v>93</v>
      </c>
      <c r="L32" t="s">
        <v>94</v>
      </c>
      <c r="M32" t="s">
        <v>95</v>
      </c>
      <c r="N32" t="s">
        <v>6</v>
      </c>
      <c r="O32" t="str">
        <f t="shared" si="0"/>
        <v>FIMATEC</v>
      </c>
      <c r="P32" s="8">
        <v>45050</v>
      </c>
      <c r="Q32" t="s">
        <v>96</v>
      </c>
      <c r="R32" s="8">
        <v>45056</v>
      </c>
      <c r="S32" t="s">
        <v>97</v>
      </c>
      <c r="T32" t="s">
        <v>71</v>
      </c>
    </row>
    <row r="33" spans="1:20" x14ac:dyDescent="0.25">
      <c r="A33" t="s">
        <v>39</v>
      </c>
      <c r="B33" s="8">
        <v>45056</v>
      </c>
      <c r="C33" t="s">
        <v>92</v>
      </c>
      <c r="D33" t="s">
        <v>1</v>
      </c>
      <c r="E33" t="s">
        <v>2</v>
      </c>
      <c r="F33" t="s">
        <v>15</v>
      </c>
      <c r="G33" t="s">
        <v>16</v>
      </c>
      <c r="H33" s="9">
        <v>7014.9</v>
      </c>
      <c r="I33" t="s">
        <v>71</v>
      </c>
      <c r="J33" t="s">
        <v>7</v>
      </c>
      <c r="K33" t="s">
        <v>93</v>
      </c>
      <c r="L33" t="s">
        <v>94</v>
      </c>
      <c r="M33" t="s">
        <v>95</v>
      </c>
      <c r="N33" t="s">
        <v>0</v>
      </c>
      <c r="O33" t="str">
        <f t="shared" si="0"/>
        <v>FIMATEC</v>
      </c>
      <c r="P33" s="8">
        <v>45050</v>
      </c>
      <c r="Q33" t="s">
        <v>96</v>
      </c>
      <c r="R33" s="8">
        <v>45056</v>
      </c>
      <c r="S33" t="s">
        <v>97</v>
      </c>
      <c r="T33" t="s">
        <v>71</v>
      </c>
    </row>
    <row r="34" spans="1:20" x14ac:dyDescent="0.25">
      <c r="A34" t="s">
        <v>39</v>
      </c>
      <c r="B34" s="8">
        <v>45056</v>
      </c>
      <c r="C34" t="s">
        <v>92</v>
      </c>
      <c r="D34" t="s">
        <v>1</v>
      </c>
      <c r="E34" t="s">
        <v>2</v>
      </c>
      <c r="F34" t="s">
        <v>11</v>
      </c>
      <c r="G34" t="s">
        <v>12</v>
      </c>
      <c r="H34" s="9">
        <v>7014.9</v>
      </c>
      <c r="I34" t="s">
        <v>71</v>
      </c>
      <c r="J34" t="s">
        <v>7</v>
      </c>
      <c r="K34" t="s">
        <v>93</v>
      </c>
      <c r="L34" t="s">
        <v>94</v>
      </c>
      <c r="M34" t="s">
        <v>95</v>
      </c>
      <c r="N34" t="s">
        <v>5</v>
      </c>
      <c r="O34" t="str">
        <f t="shared" si="0"/>
        <v>FIMATEC</v>
      </c>
      <c r="P34" s="8">
        <v>45050</v>
      </c>
      <c r="Q34" t="s">
        <v>96</v>
      </c>
      <c r="R34" s="8">
        <v>45056</v>
      </c>
      <c r="S34" t="s">
        <v>97</v>
      </c>
      <c r="T34" t="s">
        <v>71</v>
      </c>
    </row>
    <row r="35" spans="1:20" x14ac:dyDescent="0.25">
      <c r="A35" t="s">
        <v>39</v>
      </c>
      <c r="B35" s="8">
        <v>45056</v>
      </c>
      <c r="C35" t="s">
        <v>92</v>
      </c>
      <c r="D35" t="s">
        <v>1</v>
      </c>
      <c r="E35" t="s">
        <v>2</v>
      </c>
      <c r="F35" t="s">
        <v>3</v>
      </c>
      <c r="G35" t="s">
        <v>4</v>
      </c>
      <c r="H35" s="9">
        <v>6629.08</v>
      </c>
      <c r="I35" t="s">
        <v>76</v>
      </c>
      <c r="J35" t="s">
        <v>7</v>
      </c>
      <c r="K35" t="s">
        <v>102</v>
      </c>
      <c r="L35" t="s">
        <v>103</v>
      </c>
      <c r="M35" t="s">
        <v>95</v>
      </c>
      <c r="N35" t="s">
        <v>8</v>
      </c>
      <c r="O35" t="str">
        <f t="shared" si="0"/>
        <v>FIMATEC</v>
      </c>
      <c r="P35" s="8">
        <v>45050</v>
      </c>
      <c r="Q35" t="s">
        <v>104</v>
      </c>
      <c r="R35" s="8">
        <v>45056</v>
      </c>
      <c r="S35" t="s">
        <v>105</v>
      </c>
      <c r="T35" t="s">
        <v>76</v>
      </c>
    </row>
    <row r="36" spans="1:20" x14ac:dyDescent="0.25">
      <c r="A36" t="s">
        <v>39</v>
      </c>
      <c r="B36" s="8">
        <v>45056</v>
      </c>
      <c r="C36" t="s">
        <v>92</v>
      </c>
      <c r="D36" t="s">
        <v>1</v>
      </c>
      <c r="E36" t="s">
        <v>2</v>
      </c>
      <c r="F36" t="s">
        <v>17</v>
      </c>
      <c r="G36" t="s">
        <v>18</v>
      </c>
      <c r="H36" s="9">
        <v>3297</v>
      </c>
      <c r="I36" t="s">
        <v>81</v>
      </c>
      <c r="J36" t="s">
        <v>7</v>
      </c>
      <c r="K36" t="s">
        <v>106</v>
      </c>
      <c r="L36" t="s">
        <v>107</v>
      </c>
      <c r="M36" t="s">
        <v>95</v>
      </c>
      <c r="N36" t="s">
        <v>8</v>
      </c>
      <c r="O36" t="str">
        <f t="shared" si="0"/>
        <v>FIMATEC</v>
      </c>
      <c r="P36" s="8">
        <v>45050</v>
      </c>
      <c r="Q36" t="s">
        <v>108</v>
      </c>
      <c r="R36" s="8">
        <v>45056</v>
      </c>
      <c r="S36" t="s">
        <v>109</v>
      </c>
      <c r="T36" t="s">
        <v>81</v>
      </c>
    </row>
    <row r="37" spans="1:20" x14ac:dyDescent="0.25">
      <c r="A37" t="s">
        <v>39</v>
      </c>
      <c r="B37" s="8">
        <v>45056</v>
      </c>
      <c r="C37" t="s">
        <v>92</v>
      </c>
      <c r="D37" t="s">
        <v>1</v>
      </c>
      <c r="E37" t="s">
        <v>2</v>
      </c>
      <c r="F37" t="s">
        <v>13</v>
      </c>
      <c r="G37" t="s">
        <v>14</v>
      </c>
      <c r="H37" s="9">
        <v>1928.75</v>
      </c>
      <c r="I37" t="s">
        <v>81</v>
      </c>
      <c r="J37" t="s">
        <v>7</v>
      </c>
      <c r="K37" t="s">
        <v>98</v>
      </c>
      <c r="L37" t="s">
        <v>99</v>
      </c>
      <c r="M37" t="s">
        <v>95</v>
      </c>
      <c r="N37" t="s">
        <v>6</v>
      </c>
      <c r="O37" t="str">
        <f t="shared" si="0"/>
        <v>FIMATEC</v>
      </c>
      <c r="P37" s="8">
        <v>45050</v>
      </c>
      <c r="Q37" t="s">
        <v>100</v>
      </c>
      <c r="R37" s="8">
        <v>45056</v>
      </c>
      <c r="S37" t="s">
        <v>101</v>
      </c>
      <c r="T37" t="s">
        <v>81</v>
      </c>
    </row>
    <row r="38" spans="1:20" x14ac:dyDescent="0.25">
      <c r="A38" t="s">
        <v>39</v>
      </c>
      <c r="B38" s="8">
        <v>45056</v>
      </c>
      <c r="C38" t="s">
        <v>92</v>
      </c>
      <c r="D38" t="s">
        <v>1</v>
      </c>
      <c r="E38" t="s">
        <v>2</v>
      </c>
      <c r="F38" t="s">
        <v>15</v>
      </c>
      <c r="G38" t="s">
        <v>16</v>
      </c>
      <c r="H38" s="9">
        <v>1780.38</v>
      </c>
      <c r="I38" t="s">
        <v>81</v>
      </c>
      <c r="J38" t="s">
        <v>7</v>
      </c>
      <c r="K38" t="s">
        <v>98</v>
      </c>
      <c r="L38" t="s">
        <v>99</v>
      </c>
      <c r="M38" t="s">
        <v>95</v>
      </c>
      <c r="N38" t="s">
        <v>0</v>
      </c>
      <c r="O38" t="str">
        <f t="shared" si="0"/>
        <v>FIMATEC</v>
      </c>
      <c r="P38" s="8">
        <v>45050</v>
      </c>
      <c r="Q38" t="s">
        <v>100</v>
      </c>
      <c r="R38" s="8">
        <v>45056</v>
      </c>
      <c r="S38" t="s">
        <v>101</v>
      </c>
      <c r="T38" t="s">
        <v>81</v>
      </c>
    </row>
    <row r="39" spans="1:20" x14ac:dyDescent="0.25">
      <c r="A39" t="s">
        <v>39</v>
      </c>
      <c r="B39" s="8">
        <v>45056</v>
      </c>
      <c r="C39" t="s">
        <v>92</v>
      </c>
      <c r="D39" t="s">
        <v>1</v>
      </c>
      <c r="E39" t="s">
        <v>2</v>
      </c>
      <c r="F39" t="s">
        <v>11</v>
      </c>
      <c r="G39" t="s">
        <v>12</v>
      </c>
      <c r="H39" s="9">
        <v>1780.38</v>
      </c>
      <c r="I39" t="s">
        <v>81</v>
      </c>
      <c r="J39" t="s">
        <v>7</v>
      </c>
      <c r="K39" t="s">
        <v>98</v>
      </c>
      <c r="L39" t="s">
        <v>99</v>
      </c>
      <c r="M39" t="s">
        <v>95</v>
      </c>
      <c r="N39" t="s">
        <v>5</v>
      </c>
      <c r="O39" t="str">
        <f t="shared" si="0"/>
        <v>FIMATEC</v>
      </c>
      <c r="P39" s="8">
        <v>45050</v>
      </c>
      <c r="Q39" t="s">
        <v>100</v>
      </c>
      <c r="R39" s="8">
        <v>45056</v>
      </c>
      <c r="S39" t="s">
        <v>101</v>
      </c>
      <c r="T39" t="s">
        <v>81</v>
      </c>
    </row>
    <row r="40" spans="1:20" x14ac:dyDescent="0.25">
      <c r="A40" t="s">
        <v>39</v>
      </c>
      <c r="B40" s="8">
        <v>45056</v>
      </c>
      <c r="C40" t="s">
        <v>92</v>
      </c>
      <c r="D40" t="s">
        <v>1</v>
      </c>
      <c r="E40" t="s">
        <v>2</v>
      </c>
      <c r="F40" t="s">
        <v>13</v>
      </c>
      <c r="G40" t="s">
        <v>14</v>
      </c>
      <c r="H40" s="9">
        <v>1367.9</v>
      </c>
      <c r="I40" t="s">
        <v>76</v>
      </c>
      <c r="J40" t="s">
        <v>7</v>
      </c>
      <c r="K40" t="s">
        <v>102</v>
      </c>
      <c r="L40" t="s">
        <v>103</v>
      </c>
      <c r="M40" t="s">
        <v>95</v>
      </c>
      <c r="N40" t="s">
        <v>6</v>
      </c>
      <c r="O40" t="str">
        <f t="shared" si="0"/>
        <v>FIMATEC</v>
      </c>
      <c r="P40" s="8">
        <v>45050</v>
      </c>
      <c r="Q40" t="s">
        <v>104</v>
      </c>
      <c r="R40" s="8">
        <v>45056</v>
      </c>
      <c r="S40" t="s">
        <v>105</v>
      </c>
      <c r="T40" t="s">
        <v>76</v>
      </c>
    </row>
    <row r="41" spans="1:20" x14ac:dyDescent="0.25">
      <c r="A41" t="s">
        <v>39</v>
      </c>
      <c r="B41" s="8">
        <v>45056</v>
      </c>
      <c r="C41" t="s">
        <v>92</v>
      </c>
      <c r="D41" t="s">
        <v>1</v>
      </c>
      <c r="E41" t="s">
        <v>2</v>
      </c>
      <c r="F41" t="s">
        <v>15</v>
      </c>
      <c r="G41" t="s">
        <v>16</v>
      </c>
      <c r="H41" s="9">
        <v>1262.68</v>
      </c>
      <c r="I41" t="s">
        <v>76</v>
      </c>
      <c r="J41" t="s">
        <v>7</v>
      </c>
      <c r="K41" t="s">
        <v>102</v>
      </c>
      <c r="L41" t="s">
        <v>103</v>
      </c>
      <c r="M41" t="s">
        <v>95</v>
      </c>
      <c r="N41" t="s">
        <v>0</v>
      </c>
      <c r="O41" t="str">
        <f t="shared" si="0"/>
        <v>FIMATEC</v>
      </c>
      <c r="P41" s="8">
        <v>45050</v>
      </c>
      <c r="Q41" t="s">
        <v>104</v>
      </c>
      <c r="R41" s="8">
        <v>45056</v>
      </c>
      <c r="S41" t="s">
        <v>105</v>
      </c>
      <c r="T41" t="s">
        <v>76</v>
      </c>
    </row>
    <row r="42" spans="1:20" x14ac:dyDescent="0.25">
      <c r="A42" t="s">
        <v>39</v>
      </c>
      <c r="B42" s="8">
        <v>45056</v>
      </c>
      <c r="C42" t="s">
        <v>92</v>
      </c>
      <c r="D42" t="s">
        <v>1</v>
      </c>
      <c r="E42" t="s">
        <v>2</v>
      </c>
      <c r="F42" t="s">
        <v>11</v>
      </c>
      <c r="G42" t="s">
        <v>12</v>
      </c>
      <c r="H42" s="9">
        <v>1262.68</v>
      </c>
      <c r="I42" t="s">
        <v>76</v>
      </c>
      <c r="J42" t="s">
        <v>7</v>
      </c>
      <c r="K42" t="s">
        <v>102</v>
      </c>
      <c r="L42" t="s">
        <v>103</v>
      </c>
      <c r="M42" t="s">
        <v>95</v>
      </c>
      <c r="N42" t="s">
        <v>5</v>
      </c>
      <c r="O42" t="str">
        <f t="shared" si="0"/>
        <v>FIMATEC</v>
      </c>
      <c r="P42" s="8">
        <v>45050</v>
      </c>
      <c r="Q42" t="s">
        <v>104</v>
      </c>
      <c r="R42" s="8">
        <v>45056</v>
      </c>
      <c r="S42" t="s">
        <v>105</v>
      </c>
      <c r="T42" t="s">
        <v>76</v>
      </c>
    </row>
    <row r="43" spans="1:20" x14ac:dyDescent="0.25">
      <c r="A43" t="s">
        <v>39</v>
      </c>
      <c r="B43" s="8">
        <v>45077</v>
      </c>
      <c r="C43" t="s">
        <v>92</v>
      </c>
      <c r="D43" t="s">
        <v>1</v>
      </c>
      <c r="E43" t="s">
        <v>2</v>
      </c>
      <c r="F43" t="s">
        <v>3</v>
      </c>
      <c r="G43" t="s">
        <v>4</v>
      </c>
      <c r="H43" s="9">
        <v>800</v>
      </c>
      <c r="I43" t="s">
        <v>110</v>
      </c>
      <c r="J43" t="s">
        <v>7</v>
      </c>
      <c r="K43" t="s">
        <v>111</v>
      </c>
      <c r="L43" t="s">
        <v>112</v>
      </c>
      <c r="M43" t="s">
        <v>50</v>
      </c>
      <c r="N43" t="s">
        <v>8</v>
      </c>
      <c r="O43" t="str">
        <f t="shared" si="0"/>
        <v>FIMATEC</v>
      </c>
      <c r="P43" s="8">
        <v>45070</v>
      </c>
      <c r="Q43" t="s">
        <v>113</v>
      </c>
      <c r="R43" s="8">
        <v>45077</v>
      </c>
      <c r="S43" t="s">
        <v>114</v>
      </c>
      <c r="T43" t="s">
        <v>115</v>
      </c>
    </row>
    <row r="44" spans="1:20" x14ac:dyDescent="0.25">
      <c r="A44" t="s">
        <v>39</v>
      </c>
      <c r="B44" s="7">
        <v>45092</v>
      </c>
      <c r="C44" t="s">
        <v>116</v>
      </c>
      <c r="D44" t="s">
        <v>1</v>
      </c>
      <c r="E44" t="s">
        <v>2</v>
      </c>
      <c r="F44" t="s">
        <v>3</v>
      </c>
      <c r="G44" t="s">
        <v>4</v>
      </c>
      <c r="H44">
        <v>36828.26</v>
      </c>
      <c r="I44" t="s">
        <v>71</v>
      </c>
      <c r="J44" t="s">
        <v>7</v>
      </c>
      <c r="K44" t="s">
        <v>117</v>
      </c>
      <c r="L44" t="s">
        <v>118</v>
      </c>
      <c r="M44" t="s">
        <v>50</v>
      </c>
      <c r="N44" t="s">
        <v>8</v>
      </c>
      <c r="O44" t="str">
        <f t="shared" si="0"/>
        <v>FIMATEC</v>
      </c>
      <c r="P44">
        <v>45082</v>
      </c>
      <c r="Q44" t="s">
        <v>119</v>
      </c>
      <c r="R44" s="7">
        <v>45092</v>
      </c>
      <c r="S44" t="s">
        <v>120</v>
      </c>
      <c r="T44" t="s">
        <v>71</v>
      </c>
    </row>
    <row r="45" spans="1:20" x14ac:dyDescent="0.25">
      <c r="A45" t="s">
        <v>39</v>
      </c>
      <c r="B45" s="7">
        <v>45092</v>
      </c>
      <c r="C45" t="s">
        <v>116</v>
      </c>
      <c r="D45" t="s">
        <v>1</v>
      </c>
      <c r="E45" t="s">
        <v>2</v>
      </c>
      <c r="F45" t="s">
        <v>3</v>
      </c>
      <c r="G45" t="s">
        <v>4</v>
      </c>
      <c r="H45">
        <v>9346.99</v>
      </c>
      <c r="I45" t="s">
        <v>81</v>
      </c>
      <c r="J45" t="s">
        <v>7</v>
      </c>
      <c r="K45" t="s">
        <v>121</v>
      </c>
      <c r="L45" t="s">
        <v>122</v>
      </c>
      <c r="M45" t="s">
        <v>50</v>
      </c>
      <c r="N45" t="s">
        <v>8</v>
      </c>
      <c r="O45" t="str">
        <f t="shared" si="0"/>
        <v>FIMATEC</v>
      </c>
      <c r="P45">
        <v>45082</v>
      </c>
      <c r="Q45" t="s">
        <v>123</v>
      </c>
      <c r="R45" s="7">
        <v>45092</v>
      </c>
      <c r="S45" t="s">
        <v>124</v>
      </c>
      <c r="T45" t="s">
        <v>81</v>
      </c>
    </row>
    <row r="46" spans="1:20" x14ac:dyDescent="0.25">
      <c r="A46" t="s">
        <v>39</v>
      </c>
      <c r="B46" s="7">
        <v>45092</v>
      </c>
      <c r="C46" t="s">
        <v>116</v>
      </c>
      <c r="D46" t="s">
        <v>1</v>
      </c>
      <c r="E46" t="s">
        <v>2</v>
      </c>
      <c r="F46" t="s">
        <v>13</v>
      </c>
      <c r="G46" t="s">
        <v>14</v>
      </c>
      <c r="H46">
        <v>7599.48</v>
      </c>
      <c r="I46" t="s">
        <v>71</v>
      </c>
      <c r="J46" t="s">
        <v>7</v>
      </c>
      <c r="K46" t="s">
        <v>117</v>
      </c>
      <c r="L46" t="s">
        <v>118</v>
      </c>
      <c r="M46" t="s">
        <v>50</v>
      </c>
      <c r="N46" t="s">
        <v>6</v>
      </c>
      <c r="O46" t="str">
        <f t="shared" si="0"/>
        <v>FIMATEC</v>
      </c>
      <c r="P46">
        <v>45082</v>
      </c>
      <c r="Q46" t="s">
        <v>119</v>
      </c>
      <c r="R46" s="7">
        <v>45092</v>
      </c>
      <c r="S46" t="s">
        <v>120</v>
      </c>
      <c r="T46" t="s">
        <v>71</v>
      </c>
    </row>
    <row r="47" spans="1:20" x14ac:dyDescent="0.25">
      <c r="A47" t="s">
        <v>39</v>
      </c>
      <c r="B47" s="7">
        <v>45092</v>
      </c>
      <c r="C47" t="s">
        <v>116</v>
      </c>
      <c r="D47" t="s">
        <v>1</v>
      </c>
      <c r="E47" t="s">
        <v>2</v>
      </c>
      <c r="F47" t="s">
        <v>15</v>
      </c>
      <c r="G47" t="s">
        <v>16</v>
      </c>
      <c r="H47">
        <v>7014.9</v>
      </c>
      <c r="I47" t="s">
        <v>71</v>
      </c>
      <c r="J47" t="s">
        <v>7</v>
      </c>
      <c r="K47" t="s">
        <v>117</v>
      </c>
      <c r="L47" t="s">
        <v>118</v>
      </c>
      <c r="M47" t="s">
        <v>50</v>
      </c>
      <c r="N47" t="s">
        <v>0</v>
      </c>
      <c r="O47" t="str">
        <f t="shared" si="0"/>
        <v>FIMATEC</v>
      </c>
      <c r="P47">
        <v>45082</v>
      </c>
      <c r="Q47" t="s">
        <v>119</v>
      </c>
      <c r="R47" s="7">
        <v>45092</v>
      </c>
      <c r="S47" t="s">
        <v>120</v>
      </c>
      <c r="T47" t="s">
        <v>71</v>
      </c>
    </row>
    <row r="48" spans="1:20" x14ac:dyDescent="0.25">
      <c r="A48" t="s">
        <v>39</v>
      </c>
      <c r="B48" s="7">
        <v>45092</v>
      </c>
      <c r="C48" t="s">
        <v>116</v>
      </c>
      <c r="D48" t="s">
        <v>1</v>
      </c>
      <c r="E48" t="s">
        <v>2</v>
      </c>
      <c r="F48" t="s">
        <v>11</v>
      </c>
      <c r="G48" t="s">
        <v>12</v>
      </c>
      <c r="H48">
        <v>7014.9</v>
      </c>
      <c r="I48" t="s">
        <v>71</v>
      </c>
      <c r="J48" t="s">
        <v>7</v>
      </c>
      <c r="K48" t="s">
        <v>117</v>
      </c>
      <c r="L48" t="s">
        <v>118</v>
      </c>
      <c r="M48" t="s">
        <v>50</v>
      </c>
      <c r="N48" t="s">
        <v>5</v>
      </c>
      <c r="O48" t="str">
        <f t="shared" si="0"/>
        <v>FIMATEC</v>
      </c>
      <c r="P48">
        <v>45082</v>
      </c>
      <c r="Q48" t="s">
        <v>119</v>
      </c>
      <c r="R48" s="7">
        <v>45092</v>
      </c>
      <c r="S48" t="s">
        <v>120</v>
      </c>
      <c r="T48" t="s">
        <v>71</v>
      </c>
    </row>
    <row r="49" spans="1:20" x14ac:dyDescent="0.25">
      <c r="A49" t="s">
        <v>39</v>
      </c>
      <c r="B49" s="7">
        <v>45092</v>
      </c>
      <c r="C49" t="s">
        <v>116</v>
      </c>
      <c r="D49" t="s">
        <v>1</v>
      </c>
      <c r="E49" t="s">
        <v>2</v>
      </c>
      <c r="F49" t="s">
        <v>3</v>
      </c>
      <c r="G49" t="s">
        <v>4</v>
      </c>
      <c r="H49">
        <v>6629.08</v>
      </c>
      <c r="I49" t="s">
        <v>76</v>
      </c>
      <c r="J49" t="s">
        <v>7</v>
      </c>
      <c r="K49" t="s">
        <v>125</v>
      </c>
      <c r="L49" t="s">
        <v>126</v>
      </c>
      <c r="M49" t="s">
        <v>50</v>
      </c>
      <c r="N49" t="s">
        <v>8</v>
      </c>
      <c r="O49" t="str">
        <f t="shared" si="0"/>
        <v>FIMATEC</v>
      </c>
      <c r="P49">
        <v>45082</v>
      </c>
      <c r="Q49" t="s">
        <v>127</v>
      </c>
      <c r="R49" s="7">
        <v>45092</v>
      </c>
      <c r="S49" t="s">
        <v>128</v>
      </c>
      <c r="T49" t="s">
        <v>76</v>
      </c>
    </row>
    <row r="50" spans="1:20" x14ac:dyDescent="0.25">
      <c r="A50" t="s">
        <v>39</v>
      </c>
      <c r="B50" s="7">
        <v>45092</v>
      </c>
      <c r="C50" t="s">
        <v>116</v>
      </c>
      <c r="D50" t="s">
        <v>1</v>
      </c>
      <c r="E50" t="s">
        <v>2</v>
      </c>
      <c r="F50" t="s">
        <v>17</v>
      </c>
      <c r="G50" t="s">
        <v>18</v>
      </c>
      <c r="H50">
        <v>3297</v>
      </c>
      <c r="I50" t="s">
        <v>81</v>
      </c>
      <c r="J50" t="s">
        <v>7</v>
      </c>
      <c r="K50" t="s">
        <v>129</v>
      </c>
      <c r="L50" t="s">
        <v>130</v>
      </c>
      <c r="M50" t="s">
        <v>50</v>
      </c>
      <c r="N50" t="s">
        <v>8</v>
      </c>
      <c r="O50" t="str">
        <f t="shared" si="0"/>
        <v>FIMATEC</v>
      </c>
      <c r="P50">
        <v>45082</v>
      </c>
      <c r="Q50" t="s">
        <v>131</v>
      </c>
      <c r="R50" s="7">
        <v>45092</v>
      </c>
      <c r="S50" t="s">
        <v>132</v>
      </c>
      <c r="T50" t="s">
        <v>81</v>
      </c>
    </row>
    <row r="51" spans="1:20" x14ac:dyDescent="0.25">
      <c r="A51" t="s">
        <v>39</v>
      </c>
      <c r="B51" s="7">
        <v>45092</v>
      </c>
      <c r="C51" t="s">
        <v>116</v>
      </c>
      <c r="D51" t="s">
        <v>1</v>
      </c>
      <c r="E51" t="s">
        <v>2</v>
      </c>
      <c r="F51" t="s">
        <v>13</v>
      </c>
      <c r="G51" t="s">
        <v>14</v>
      </c>
      <c r="H51">
        <v>1928.75</v>
      </c>
      <c r="I51" t="s">
        <v>81</v>
      </c>
      <c r="J51" t="s">
        <v>7</v>
      </c>
      <c r="K51" t="s">
        <v>121</v>
      </c>
      <c r="L51" t="s">
        <v>122</v>
      </c>
      <c r="M51" t="s">
        <v>50</v>
      </c>
      <c r="N51" t="s">
        <v>6</v>
      </c>
      <c r="O51" t="str">
        <f t="shared" si="0"/>
        <v>FIMATEC</v>
      </c>
      <c r="P51">
        <v>45082</v>
      </c>
      <c r="Q51" t="s">
        <v>123</v>
      </c>
      <c r="R51" s="7">
        <v>45092</v>
      </c>
      <c r="S51" t="s">
        <v>124</v>
      </c>
      <c r="T51" t="s">
        <v>81</v>
      </c>
    </row>
    <row r="52" spans="1:20" x14ac:dyDescent="0.25">
      <c r="A52" t="s">
        <v>39</v>
      </c>
      <c r="B52" s="7">
        <v>45092</v>
      </c>
      <c r="C52" t="s">
        <v>116</v>
      </c>
      <c r="D52" t="s">
        <v>1</v>
      </c>
      <c r="E52" t="s">
        <v>2</v>
      </c>
      <c r="F52" t="s">
        <v>15</v>
      </c>
      <c r="G52" t="s">
        <v>16</v>
      </c>
      <c r="H52">
        <v>1780.38</v>
      </c>
      <c r="I52" t="s">
        <v>81</v>
      </c>
      <c r="J52" t="s">
        <v>7</v>
      </c>
      <c r="K52" t="s">
        <v>121</v>
      </c>
      <c r="L52" t="s">
        <v>122</v>
      </c>
      <c r="M52" t="s">
        <v>50</v>
      </c>
      <c r="N52" t="s">
        <v>0</v>
      </c>
      <c r="O52" t="str">
        <f t="shared" si="0"/>
        <v>FIMATEC</v>
      </c>
      <c r="P52">
        <v>45082</v>
      </c>
      <c r="Q52" t="s">
        <v>123</v>
      </c>
      <c r="R52" s="7">
        <v>45092</v>
      </c>
      <c r="S52" t="s">
        <v>124</v>
      </c>
      <c r="T52" t="s">
        <v>81</v>
      </c>
    </row>
    <row r="53" spans="1:20" x14ac:dyDescent="0.25">
      <c r="A53" t="s">
        <v>39</v>
      </c>
      <c r="B53" s="7">
        <v>45092</v>
      </c>
      <c r="C53" t="s">
        <v>116</v>
      </c>
      <c r="D53" t="s">
        <v>1</v>
      </c>
      <c r="E53" t="s">
        <v>2</v>
      </c>
      <c r="F53" t="s">
        <v>11</v>
      </c>
      <c r="G53" t="s">
        <v>12</v>
      </c>
      <c r="H53">
        <v>1780.38</v>
      </c>
      <c r="I53" t="s">
        <v>81</v>
      </c>
      <c r="J53" t="s">
        <v>7</v>
      </c>
      <c r="K53" t="s">
        <v>121</v>
      </c>
      <c r="L53" t="s">
        <v>122</v>
      </c>
      <c r="M53" t="s">
        <v>50</v>
      </c>
      <c r="N53" t="s">
        <v>5</v>
      </c>
      <c r="O53" t="str">
        <f t="shared" si="0"/>
        <v>FIMATEC</v>
      </c>
      <c r="P53">
        <v>45082</v>
      </c>
      <c r="Q53" t="s">
        <v>123</v>
      </c>
      <c r="R53" s="7">
        <v>45092</v>
      </c>
      <c r="S53" t="s">
        <v>124</v>
      </c>
      <c r="T53" t="s">
        <v>81</v>
      </c>
    </row>
    <row r="54" spans="1:20" x14ac:dyDescent="0.25">
      <c r="A54" t="s">
        <v>39</v>
      </c>
      <c r="B54" s="7">
        <v>45090</v>
      </c>
      <c r="C54" t="s">
        <v>116</v>
      </c>
      <c r="D54" t="s">
        <v>1</v>
      </c>
      <c r="E54" t="s">
        <v>2</v>
      </c>
      <c r="F54" t="s">
        <v>3</v>
      </c>
      <c r="G54" t="s">
        <v>4</v>
      </c>
      <c r="H54">
        <v>1560</v>
      </c>
      <c r="I54" t="s">
        <v>133</v>
      </c>
      <c r="J54" t="s">
        <v>7</v>
      </c>
      <c r="K54" t="s">
        <v>134</v>
      </c>
      <c r="L54" t="s">
        <v>135</v>
      </c>
      <c r="M54" t="s">
        <v>50</v>
      </c>
      <c r="N54" t="s">
        <v>8</v>
      </c>
      <c r="O54" t="str">
        <f t="shared" si="0"/>
        <v>FIMATEC</v>
      </c>
      <c r="P54">
        <v>45077</v>
      </c>
      <c r="Q54" t="s">
        <v>136</v>
      </c>
      <c r="R54" s="7">
        <v>45090</v>
      </c>
      <c r="S54" t="s">
        <v>137</v>
      </c>
      <c r="T54" t="s">
        <v>115</v>
      </c>
    </row>
    <row r="55" spans="1:20" x14ac:dyDescent="0.25">
      <c r="A55" t="s">
        <v>39</v>
      </c>
      <c r="B55" s="7">
        <v>45092</v>
      </c>
      <c r="C55" t="s">
        <v>116</v>
      </c>
      <c r="D55" t="s">
        <v>1</v>
      </c>
      <c r="E55" t="s">
        <v>2</v>
      </c>
      <c r="F55" t="s">
        <v>13</v>
      </c>
      <c r="G55" t="s">
        <v>14</v>
      </c>
      <c r="H55">
        <v>1367.9</v>
      </c>
      <c r="I55" t="s">
        <v>76</v>
      </c>
      <c r="J55" t="s">
        <v>7</v>
      </c>
      <c r="K55" t="s">
        <v>125</v>
      </c>
      <c r="L55" t="s">
        <v>126</v>
      </c>
      <c r="M55" t="s">
        <v>50</v>
      </c>
      <c r="N55" t="s">
        <v>6</v>
      </c>
      <c r="O55" t="str">
        <f t="shared" si="0"/>
        <v>FIMATEC</v>
      </c>
      <c r="P55">
        <v>45082</v>
      </c>
      <c r="Q55" t="s">
        <v>127</v>
      </c>
      <c r="R55" s="7">
        <v>45092</v>
      </c>
      <c r="S55" t="s">
        <v>128</v>
      </c>
      <c r="T55" t="s">
        <v>76</v>
      </c>
    </row>
    <row r="56" spans="1:20" x14ac:dyDescent="0.25">
      <c r="A56" t="s">
        <v>39</v>
      </c>
      <c r="B56" s="7">
        <v>45092</v>
      </c>
      <c r="C56" t="s">
        <v>116</v>
      </c>
      <c r="D56" t="s">
        <v>1</v>
      </c>
      <c r="E56" t="s">
        <v>2</v>
      </c>
      <c r="F56" t="s">
        <v>15</v>
      </c>
      <c r="G56" t="s">
        <v>16</v>
      </c>
      <c r="H56">
        <v>1262.68</v>
      </c>
      <c r="I56" t="s">
        <v>76</v>
      </c>
      <c r="J56" t="s">
        <v>7</v>
      </c>
      <c r="K56" t="s">
        <v>125</v>
      </c>
      <c r="L56" t="s">
        <v>126</v>
      </c>
      <c r="M56" t="s">
        <v>50</v>
      </c>
      <c r="N56" t="s">
        <v>0</v>
      </c>
      <c r="O56" t="str">
        <f t="shared" si="0"/>
        <v>FIMATEC</v>
      </c>
      <c r="P56">
        <v>45082</v>
      </c>
      <c r="Q56" t="s">
        <v>127</v>
      </c>
      <c r="R56" s="7">
        <v>45092</v>
      </c>
      <c r="S56" t="s">
        <v>128</v>
      </c>
      <c r="T56" t="s">
        <v>76</v>
      </c>
    </row>
    <row r="57" spans="1:20" x14ac:dyDescent="0.25">
      <c r="A57" t="s">
        <v>39</v>
      </c>
      <c r="B57" s="7">
        <v>45092</v>
      </c>
      <c r="C57" t="s">
        <v>116</v>
      </c>
      <c r="D57" t="s">
        <v>1</v>
      </c>
      <c r="E57" t="s">
        <v>2</v>
      </c>
      <c r="F57" t="s">
        <v>11</v>
      </c>
      <c r="G57" t="s">
        <v>12</v>
      </c>
      <c r="H57">
        <v>1262.68</v>
      </c>
      <c r="I57" t="s">
        <v>76</v>
      </c>
      <c r="J57" t="s">
        <v>7</v>
      </c>
      <c r="K57" t="s">
        <v>125</v>
      </c>
      <c r="L57" t="s">
        <v>126</v>
      </c>
      <c r="M57" t="s">
        <v>50</v>
      </c>
      <c r="N57" t="s">
        <v>5</v>
      </c>
      <c r="O57" t="str">
        <f t="shared" si="0"/>
        <v>FIMATEC</v>
      </c>
      <c r="P57">
        <v>45082</v>
      </c>
      <c r="Q57" t="s">
        <v>127</v>
      </c>
      <c r="R57" s="7">
        <v>45092</v>
      </c>
      <c r="S57" t="s">
        <v>128</v>
      </c>
      <c r="T57" t="s">
        <v>76</v>
      </c>
    </row>
    <row r="58" spans="1:20" x14ac:dyDescent="0.25">
      <c r="A58" t="s">
        <v>39</v>
      </c>
      <c r="B58" s="8">
        <v>45117</v>
      </c>
      <c r="C58" t="s">
        <v>138</v>
      </c>
      <c r="D58" t="s">
        <v>1</v>
      </c>
      <c r="E58" t="s">
        <v>2</v>
      </c>
      <c r="F58" t="s">
        <v>3</v>
      </c>
      <c r="G58" t="s">
        <v>4</v>
      </c>
      <c r="H58" s="9">
        <v>36828.26</v>
      </c>
      <c r="I58" t="s">
        <v>71</v>
      </c>
      <c r="J58" t="s">
        <v>7</v>
      </c>
      <c r="K58" t="s">
        <v>139</v>
      </c>
      <c r="L58" t="s">
        <v>140</v>
      </c>
      <c r="M58" t="s">
        <v>50</v>
      </c>
      <c r="N58" t="s">
        <v>8</v>
      </c>
      <c r="O58" t="str">
        <f t="shared" si="0"/>
        <v>FIMATEC</v>
      </c>
      <c r="P58" s="8">
        <v>45112</v>
      </c>
      <c r="Q58" t="s">
        <v>141</v>
      </c>
      <c r="R58" s="8">
        <v>45117</v>
      </c>
      <c r="S58" t="s">
        <v>142</v>
      </c>
      <c r="T58" t="s">
        <v>71</v>
      </c>
    </row>
    <row r="59" spans="1:20" x14ac:dyDescent="0.25">
      <c r="A59" t="s">
        <v>39</v>
      </c>
      <c r="B59" s="8">
        <v>45117</v>
      </c>
      <c r="C59" t="s">
        <v>138</v>
      </c>
      <c r="D59" t="s">
        <v>1</v>
      </c>
      <c r="E59" t="s">
        <v>2</v>
      </c>
      <c r="F59" t="s">
        <v>3</v>
      </c>
      <c r="G59" t="s">
        <v>4</v>
      </c>
      <c r="H59" s="9">
        <v>9346.99</v>
      </c>
      <c r="I59" t="s">
        <v>81</v>
      </c>
      <c r="J59" t="s">
        <v>7</v>
      </c>
      <c r="K59" t="s">
        <v>143</v>
      </c>
      <c r="L59" t="s">
        <v>144</v>
      </c>
      <c r="M59" t="s">
        <v>50</v>
      </c>
      <c r="N59" t="s">
        <v>8</v>
      </c>
      <c r="O59" t="str">
        <f t="shared" si="0"/>
        <v>FIMATEC</v>
      </c>
      <c r="P59" s="8">
        <v>45112</v>
      </c>
      <c r="Q59" t="s">
        <v>145</v>
      </c>
      <c r="R59" s="8">
        <v>45117</v>
      </c>
      <c r="S59" t="s">
        <v>146</v>
      </c>
      <c r="T59" t="s">
        <v>81</v>
      </c>
    </row>
    <row r="60" spans="1:20" x14ac:dyDescent="0.25">
      <c r="A60" t="s">
        <v>39</v>
      </c>
      <c r="B60" s="8">
        <v>45117</v>
      </c>
      <c r="C60" t="s">
        <v>138</v>
      </c>
      <c r="D60" t="s">
        <v>1</v>
      </c>
      <c r="E60" t="s">
        <v>2</v>
      </c>
      <c r="F60" t="s">
        <v>13</v>
      </c>
      <c r="G60" t="s">
        <v>14</v>
      </c>
      <c r="H60" s="9">
        <v>7599.48</v>
      </c>
      <c r="I60" t="s">
        <v>71</v>
      </c>
      <c r="J60" t="s">
        <v>7</v>
      </c>
      <c r="K60" t="s">
        <v>139</v>
      </c>
      <c r="L60" t="s">
        <v>140</v>
      </c>
      <c r="M60" t="s">
        <v>50</v>
      </c>
      <c r="N60" t="s">
        <v>6</v>
      </c>
      <c r="O60" t="str">
        <f t="shared" si="0"/>
        <v>FIMATEC</v>
      </c>
      <c r="P60" s="8">
        <v>45112</v>
      </c>
      <c r="Q60" t="s">
        <v>141</v>
      </c>
      <c r="R60" s="8">
        <v>45117</v>
      </c>
      <c r="S60" t="s">
        <v>142</v>
      </c>
      <c r="T60" t="s">
        <v>71</v>
      </c>
    </row>
    <row r="61" spans="1:20" x14ac:dyDescent="0.25">
      <c r="A61" t="s">
        <v>39</v>
      </c>
      <c r="B61" s="8">
        <v>45117</v>
      </c>
      <c r="C61" t="s">
        <v>138</v>
      </c>
      <c r="D61" t="s">
        <v>1</v>
      </c>
      <c r="E61" t="s">
        <v>2</v>
      </c>
      <c r="F61" t="s">
        <v>15</v>
      </c>
      <c r="G61" t="s">
        <v>16</v>
      </c>
      <c r="H61" s="9">
        <v>7014.9</v>
      </c>
      <c r="I61" t="s">
        <v>71</v>
      </c>
      <c r="J61" t="s">
        <v>7</v>
      </c>
      <c r="K61" t="s">
        <v>139</v>
      </c>
      <c r="L61" t="s">
        <v>140</v>
      </c>
      <c r="M61" t="s">
        <v>50</v>
      </c>
      <c r="N61" t="s">
        <v>0</v>
      </c>
      <c r="O61" t="str">
        <f t="shared" si="0"/>
        <v>FIMATEC</v>
      </c>
      <c r="P61" s="8">
        <v>45112</v>
      </c>
      <c r="Q61" t="s">
        <v>141</v>
      </c>
      <c r="R61" s="8">
        <v>45117</v>
      </c>
      <c r="S61" t="s">
        <v>142</v>
      </c>
      <c r="T61" t="s">
        <v>71</v>
      </c>
    </row>
    <row r="62" spans="1:20" x14ac:dyDescent="0.25">
      <c r="A62" t="s">
        <v>39</v>
      </c>
      <c r="B62" s="8">
        <v>45117</v>
      </c>
      <c r="C62" t="s">
        <v>138</v>
      </c>
      <c r="D62" t="s">
        <v>1</v>
      </c>
      <c r="E62" t="s">
        <v>2</v>
      </c>
      <c r="F62" t="s">
        <v>11</v>
      </c>
      <c r="G62" t="s">
        <v>12</v>
      </c>
      <c r="H62" s="9">
        <v>7014.9</v>
      </c>
      <c r="I62" t="s">
        <v>71</v>
      </c>
      <c r="J62" t="s">
        <v>7</v>
      </c>
      <c r="K62" t="s">
        <v>139</v>
      </c>
      <c r="L62" t="s">
        <v>140</v>
      </c>
      <c r="M62" t="s">
        <v>50</v>
      </c>
      <c r="N62" t="s">
        <v>5</v>
      </c>
      <c r="O62" t="str">
        <f t="shared" si="0"/>
        <v>FIMATEC</v>
      </c>
      <c r="P62" s="8">
        <v>45112</v>
      </c>
      <c r="Q62" t="s">
        <v>141</v>
      </c>
      <c r="R62" s="8">
        <v>45117</v>
      </c>
      <c r="S62" t="s">
        <v>142</v>
      </c>
      <c r="T62" t="s">
        <v>71</v>
      </c>
    </row>
    <row r="63" spans="1:20" x14ac:dyDescent="0.25">
      <c r="A63" t="s">
        <v>39</v>
      </c>
      <c r="B63" s="8">
        <v>45117</v>
      </c>
      <c r="C63" t="s">
        <v>138</v>
      </c>
      <c r="D63" t="s">
        <v>1</v>
      </c>
      <c r="E63" t="s">
        <v>2</v>
      </c>
      <c r="F63" t="s">
        <v>3</v>
      </c>
      <c r="G63" t="s">
        <v>4</v>
      </c>
      <c r="H63" s="9">
        <v>6629.08</v>
      </c>
      <c r="I63" t="s">
        <v>76</v>
      </c>
      <c r="J63" t="s">
        <v>7</v>
      </c>
      <c r="K63" t="s">
        <v>147</v>
      </c>
      <c r="L63" t="s">
        <v>148</v>
      </c>
      <c r="M63" t="s">
        <v>50</v>
      </c>
      <c r="N63" t="s">
        <v>8</v>
      </c>
      <c r="O63" t="str">
        <f t="shared" si="0"/>
        <v>FIMATEC</v>
      </c>
      <c r="P63" s="8">
        <v>45112</v>
      </c>
      <c r="Q63" t="s">
        <v>149</v>
      </c>
      <c r="R63" s="8">
        <v>45117</v>
      </c>
      <c r="S63" t="s">
        <v>150</v>
      </c>
      <c r="T63" t="s">
        <v>76</v>
      </c>
    </row>
    <row r="64" spans="1:20" x14ac:dyDescent="0.25">
      <c r="A64" t="s">
        <v>39</v>
      </c>
      <c r="B64" s="8">
        <v>45117</v>
      </c>
      <c r="C64" t="s">
        <v>138</v>
      </c>
      <c r="D64" t="s">
        <v>1</v>
      </c>
      <c r="E64" t="s">
        <v>2</v>
      </c>
      <c r="F64" t="s">
        <v>17</v>
      </c>
      <c r="G64" t="s">
        <v>18</v>
      </c>
      <c r="H64" s="9">
        <v>3297</v>
      </c>
      <c r="I64" t="s">
        <v>81</v>
      </c>
      <c r="J64" t="s">
        <v>7</v>
      </c>
      <c r="K64" t="s">
        <v>151</v>
      </c>
      <c r="L64" t="s">
        <v>152</v>
      </c>
      <c r="M64" t="s">
        <v>50</v>
      </c>
      <c r="N64" t="s">
        <v>8</v>
      </c>
      <c r="O64" t="str">
        <f t="shared" si="0"/>
        <v>FIMATEC</v>
      </c>
      <c r="P64" s="8">
        <v>45112</v>
      </c>
      <c r="Q64" t="s">
        <v>153</v>
      </c>
      <c r="R64" s="8">
        <v>45117</v>
      </c>
      <c r="S64" t="s">
        <v>154</v>
      </c>
      <c r="T64" t="s">
        <v>81</v>
      </c>
    </row>
    <row r="65" spans="1:23" x14ac:dyDescent="0.25">
      <c r="A65" t="s">
        <v>39</v>
      </c>
      <c r="B65" s="8">
        <v>45117</v>
      </c>
      <c r="C65" t="s">
        <v>138</v>
      </c>
      <c r="D65" t="s">
        <v>1</v>
      </c>
      <c r="E65" t="s">
        <v>2</v>
      </c>
      <c r="F65" t="s">
        <v>13</v>
      </c>
      <c r="G65" t="s">
        <v>14</v>
      </c>
      <c r="H65" s="9">
        <v>1928.75</v>
      </c>
      <c r="I65" t="s">
        <v>81</v>
      </c>
      <c r="J65" t="s">
        <v>7</v>
      </c>
      <c r="K65" t="s">
        <v>143</v>
      </c>
      <c r="L65" t="s">
        <v>144</v>
      </c>
      <c r="M65" t="s">
        <v>50</v>
      </c>
      <c r="N65" t="s">
        <v>6</v>
      </c>
      <c r="O65" t="str">
        <f t="shared" si="0"/>
        <v>FIMATEC</v>
      </c>
      <c r="P65" s="8">
        <v>45112</v>
      </c>
      <c r="Q65" t="s">
        <v>145</v>
      </c>
      <c r="R65" s="8">
        <v>45117</v>
      </c>
      <c r="S65" t="s">
        <v>146</v>
      </c>
      <c r="T65" t="s">
        <v>81</v>
      </c>
    </row>
    <row r="66" spans="1:23" x14ac:dyDescent="0.25">
      <c r="A66" t="s">
        <v>39</v>
      </c>
      <c r="B66" s="8">
        <v>45117</v>
      </c>
      <c r="C66" t="s">
        <v>138</v>
      </c>
      <c r="D66" t="s">
        <v>1</v>
      </c>
      <c r="E66" t="s">
        <v>2</v>
      </c>
      <c r="F66" t="s">
        <v>15</v>
      </c>
      <c r="G66" t="s">
        <v>16</v>
      </c>
      <c r="H66" s="9">
        <v>1780.38</v>
      </c>
      <c r="I66" t="s">
        <v>81</v>
      </c>
      <c r="J66" t="s">
        <v>7</v>
      </c>
      <c r="K66" t="s">
        <v>143</v>
      </c>
      <c r="L66" t="s">
        <v>144</v>
      </c>
      <c r="M66" t="s">
        <v>50</v>
      </c>
      <c r="N66" t="s">
        <v>0</v>
      </c>
      <c r="O66" t="str">
        <f t="shared" ref="O66:O129" si="1">LEFT(J66,7)</f>
        <v>FIMATEC</v>
      </c>
      <c r="P66" s="8">
        <v>45112</v>
      </c>
      <c r="Q66" t="s">
        <v>145</v>
      </c>
      <c r="R66" s="8">
        <v>45117</v>
      </c>
      <c r="S66" t="s">
        <v>146</v>
      </c>
      <c r="T66" t="s">
        <v>81</v>
      </c>
    </row>
    <row r="67" spans="1:23" x14ac:dyDescent="0.25">
      <c r="A67" t="s">
        <v>39</v>
      </c>
      <c r="B67" s="8">
        <v>45117</v>
      </c>
      <c r="C67" t="s">
        <v>138</v>
      </c>
      <c r="D67" t="s">
        <v>1</v>
      </c>
      <c r="E67" t="s">
        <v>2</v>
      </c>
      <c r="F67" t="s">
        <v>11</v>
      </c>
      <c r="G67" t="s">
        <v>12</v>
      </c>
      <c r="H67" s="9">
        <v>1780.38</v>
      </c>
      <c r="I67" t="s">
        <v>81</v>
      </c>
      <c r="J67" t="s">
        <v>7</v>
      </c>
      <c r="K67" t="s">
        <v>143</v>
      </c>
      <c r="L67" t="s">
        <v>144</v>
      </c>
      <c r="M67" t="s">
        <v>50</v>
      </c>
      <c r="N67" t="s">
        <v>5</v>
      </c>
      <c r="O67" t="str">
        <f t="shared" si="1"/>
        <v>FIMATEC</v>
      </c>
      <c r="P67" s="8">
        <v>45112</v>
      </c>
      <c r="Q67" t="s">
        <v>145</v>
      </c>
      <c r="R67" s="8">
        <v>45117</v>
      </c>
      <c r="S67" t="s">
        <v>146</v>
      </c>
      <c r="T67" t="s">
        <v>81</v>
      </c>
    </row>
    <row r="68" spans="1:23" x14ac:dyDescent="0.25">
      <c r="A68" t="s">
        <v>39</v>
      </c>
      <c r="B68" s="8">
        <v>45117</v>
      </c>
      <c r="C68" t="s">
        <v>138</v>
      </c>
      <c r="D68" t="s">
        <v>1</v>
      </c>
      <c r="E68" t="s">
        <v>2</v>
      </c>
      <c r="F68" t="s">
        <v>13</v>
      </c>
      <c r="G68" t="s">
        <v>14</v>
      </c>
      <c r="H68" s="9">
        <v>1367.9</v>
      </c>
      <c r="I68" t="s">
        <v>76</v>
      </c>
      <c r="J68" t="s">
        <v>7</v>
      </c>
      <c r="K68" t="s">
        <v>147</v>
      </c>
      <c r="L68" t="s">
        <v>148</v>
      </c>
      <c r="M68" t="s">
        <v>50</v>
      </c>
      <c r="N68" t="s">
        <v>6</v>
      </c>
      <c r="O68" t="str">
        <f t="shared" si="1"/>
        <v>FIMATEC</v>
      </c>
      <c r="P68" s="8">
        <v>45112</v>
      </c>
      <c r="Q68" t="s">
        <v>149</v>
      </c>
      <c r="R68" s="8">
        <v>45117</v>
      </c>
      <c r="S68" t="s">
        <v>150</v>
      </c>
      <c r="T68" t="s">
        <v>76</v>
      </c>
    </row>
    <row r="69" spans="1:23" x14ac:dyDescent="0.25">
      <c r="A69" t="s">
        <v>39</v>
      </c>
      <c r="B69" s="8">
        <v>45117</v>
      </c>
      <c r="C69" t="s">
        <v>138</v>
      </c>
      <c r="D69" t="s">
        <v>1</v>
      </c>
      <c r="E69" t="s">
        <v>2</v>
      </c>
      <c r="F69" t="s">
        <v>15</v>
      </c>
      <c r="G69" t="s">
        <v>16</v>
      </c>
      <c r="H69" s="9">
        <v>1262.68</v>
      </c>
      <c r="I69" t="s">
        <v>76</v>
      </c>
      <c r="J69" t="s">
        <v>7</v>
      </c>
      <c r="K69" t="s">
        <v>147</v>
      </c>
      <c r="L69" t="s">
        <v>148</v>
      </c>
      <c r="M69" t="s">
        <v>50</v>
      </c>
      <c r="N69" t="s">
        <v>0</v>
      </c>
      <c r="O69" t="str">
        <f t="shared" si="1"/>
        <v>FIMATEC</v>
      </c>
      <c r="P69" s="8">
        <v>45112</v>
      </c>
      <c r="Q69" t="s">
        <v>149</v>
      </c>
      <c r="R69" s="8">
        <v>45117</v>
      </c>
      <c r="S69" t="s">
        <v>150</v>
      </c>
      <c r="T69" t="s">
        <v>76</v>
      </c>
    </row>
    <row r="70" spans="1:23" x14ac:dyDescent="0.25">
      <c r="A70" t="s">
        <v>39</v>
      </c>
      <c r="B70" s="8">
        <v>45117</v>
      </c>
      <c r="C70" t="s">
        <v>138</v>
      </c>
      <c r="D70" t="s">
        <v>1</v>
      </c>
      <c r="E70" t="s">
        <v>2</v>
      </c>
      <c r="F70" t="s">
        <v>11</v>
      </c>
      <c r="G70" t="s">
        <v>12</v>
      </c>
      <c r="H70" s="9">
        <v>1262.68</v>
      </c>
      <c r="I70" t="s">
        <v>76</v>
      </c>
      <c r="J70" t="s">
        <v>7</v>
      </c>
      <c r="K70" t="s">
        <v>147</v>
      </c>
      <c r="L70" t="s">
        <v>148</v>
      </c>
      <c r="M70" t="s">
        <v>50</v>
      </c>
      <c r="N70" t="s">
        <v>5</v>
      </c>
      <c r="O70" t="str">
        <f t="shared" si="1"/>
        <v>FIMATEC</v>
      </c>
      <c r="P70" s="8">
        <v>45112</v>
      </c>
      <c r="Q70" t="s">
        <v>149</v>
      </c>
      <c r="R70" s="8">
        <v>45117</v>
      </c>
      <c r="S70" t="s">
        <v>150</v>
      </c>
      <c r="T70" t="s">
        <v>76</v>
      </c>
    </row>
    <row r="71" spans="1:23" x14ac:dyDescent="0.25">
      <c r="A71" t="s">
        <v>39</v>
      </c>
      <c r="B71" s="8">
        <v>45135</v>
      </c>
      <c r="C71" t="s">
        <v>138</v>
      </c>
      <c r="D71" t="s">
        <v>1</v>
      </c>
      <c r="E71" t="s">
        <v>2</v>
      </c>
      <c r="F71" t="s">
        <v>3</v>
      </c>
      <c r="G71" t="s">
        <v>4</v>
      </c>
      <c r="H71" s="9">
        <v>1200</v>
      </c>
      <c r="I71" t="s">
        <v>155</v>
      </c>
      <c r="J71" t="s">
        <v>7</v>
      </c>
      <c r="K71" t="s">
        <v>156</v>
      </c>
      <c r="L71" t="s">
        <v>157</v>
      </c>
      <c r="M71" t="s">
        <v>50</v>
      </c>
      <c r="N71" t="s">
        <v>8</v>
      </c>
      <c r="O71" t="str">
        <f t="shared" si="1"/>
        <v>FIMATEC</v>
      </c>
      <c r="P71" s="8">
        <v>45127</v>
      </c>
      <c r="Q71" t="s">
        <v>158</v>
      </c>
      <c r="R71" s="8">
        <v>45135</v>
      </c>
      <c r="S71" t="s">
        <v>159</v>
      </c>
      <c r="T71" t="s">
        <v>115</v>
      </c>
    </row>
    <row r="72" spans="1:23" x14ac:dyDescent="0.25">
      <c r="A72" t="s">
        <v>39</v>
      </c>
      <c r="B72" s="8">
        <v>45135</v>
      </c>
      <c r="C72" t="s">
        <v>138</v>
      </c>
      <c r="D72" t="s">
        <v>1</v>
      </c>
      <c r="E72" t="s">
        <v>2</v>
      </c>
      <c r="F72" t="s">
        <v>3</v>
      </c>
      <c r="G72" t="s">
        <v>4</v>
      </c>
      <c r="H72" s="9">
        <v>770</v>
      </c>
      <c r="I72" t="s">
        <v>160</v>
      </c>
      <c r="J72" t="s">
        <v>7</v>
      </c>
      <c r="K72" t="s">
        <v>161</v>
      </c>
      <c r="L72" t="s">
        <v>162</v>
      </c>
      <c r="M72" t="s">
        <v>50</v>
      </c>
      <c r="N72" t="s">
        <v>8</v>
      </c>
      <c r="O72" t="str">
        <f t="shared" si="1"/>
        <v>FIMATEC</v>
      </c>
      <c r="P72" s="8">
        <v>45127</v>
      </c>
      <c r="Q72" t="s">
        <v>163</v>
      </c>
      <c r="R72" s="8">
        <v>45135</v>
      </c>
      <c r="S72" t="s">
        <v>164</v>
      </c>
      <c r="T72" t="s">
        <v>115</v>
      </c>
    </row>
    <row r="73" spans="1:23" x14ac:dyDescent="0.25">
      <c r="A73" t="s">
        <v>39</v>
      </c>
      <c r="B73" s="8">
        <v>45135</v>
      </c>
      <c r="C73" t="s">
        <v>138</v>
      </c>
      <c r="D73" t="s">
        <v>1</v>
      </c>
      <c r="E73" t="s">
        <v>2</v>
      </c>
      <c r="F73" t="s">
        <v>3</v>
      </c>
      <c r="G73" t="s">
        <v>4</v>
      </c>
      <c r="H73" s="9">
        <v>320</v>
      </c>
      <c r="I73" t="s">
        <v>165</v>
      </c>
      <c r="J73" t="s">
        <v>7</v>
      </c>
      <c r="K73" t="s">
        <v>166</v>
      </c>
      <c r="L73" t="s">
        <v>167</v>
      </c>
      <c r="M73" t="s">
        <v>50</v>
      </c>
      <c r="N73" t="s">
        <v>8</v>
      </c>
      <c r="O73" t="str">
        <f t="shared" si="1"/>
        <v>FIMATEC</v>
      </c>
      <c r="P73" s="8">
        <v>45127</v>
      </c>
      <c r="Q73" t="s">
        <v>168</v>
      </c>
      <c r="R73" s="8">
        <v>45135</v>
      </c>
      <c r="S73" t="s">
        <v>169</v>
      </c>
      <c r="T73" t="s">
        <v>115</v>
      </c>
    </row>
    <row r="74" spans="1:23" x14ac:dyDescent="0.25">
      <c r="A74" t="s">
        <v>39</v>
      </c>
      <c r="B74" s="8">
        <v>45135</v>
      </c>
      <c r="C74" t="s">
        <v>138</v>
      </c>
      <c r="D74" t="s">
        <v>170</v>
      </c>
      <c r="E74" t="s">
        <v>171</v>
      </c>
      <c r="F74" t="s">
        <v>172</v>
      </c>
      <c r="G74" t="s">
        <v>173</v>
      </c>
      <c r="H74" s="9">
        <v>315</v>
      </c>
      <c r="I74" t="s">
        <v>174</v>
      </c>
      <c r="J74" t="s">
        <v>7</v>
      </c>
      <c r="K74" t="s">
        <v>175</v>
      </c>
      <c r="L74" t="s">
        <v>176</v>
      </c>
      <c r="M74" t="s">
        <v>50</v>
      </c>
      <c r="N74" t="s">
        <v>8</v>
      </c>
      <c r="O74" t="str">
        <f t="shared" si="1"/>
        <v>FIMATEC</v>
      </c>
      <c r="P74" s="8">
        <v>45127</v>
      </c>
      <c r="Q74" t="s">
        <v>177</v>
      </c>
      <c r="R74" s="8">
        <v>45135</v>
      </c>
      <c r="S74" t="s">
        <v>178</v>
      </c>
      <c r="T74" t="s">
        <v>115</v>
      </c>
    </row>
    <row r="75" spans="1:23" x14ac:dyDescent="0.25">
      <c r="A75" t="s">
        <v>39</v>
      </c>
      <c r="B75" s="8">
        <v>45135</v>
      </c>
      <c r="C75" t="s">
        <v>138</v>
      </c>
      <c r="D75" t="s">
        <v>1</v>
      </c>
      <c r="E75" t="s">
        <v>2</v>
      </c>
      <c r="F75" t="s">
        <v>3</v>
      </c>
      <c r="G75" t="s">
        <v>4</v>
      </c>
      <c r="H75" s="9">
        <v>78</v>
      </c>
      <c r="I75" t="s">
        <v>179</v>
      </c>
      <c r="J75" t="s">
        <v>7</v>
      </c>
      <c r="K75" t="s">
        <v>180</v>
      </c>
      <c r="L75" t="s">
        <v>181</v>
      </c>
      <c r="M75" t="s">
        <v>50</v>
      </c>
      <c r="N75" t="s">
        <v>8</v>
      </c>
      <c r="O75" t="str">
        <f t="shared" si="1"/>
        <v>FIMATEC</v>
      </c>
      <c r="P75" s="8">
        <v>45127</v>
      </c>
      <c r="Q75" t="s">
        <v>182</v>
      </c>
      <c r="R75" s="8">
        <v>45135</v>
      </c>
      <c r="S75" t="s">
        <v>183</v>
      </c>
      <c r="T75" t="s">
        <v>115</v>
      </c>
    </row>
    <row r="76" spans="1:23" x14ac:dyDescent="0.25">
      <c r="A76" t="s">
        <v>39</v>
      </c>
      <c r="B76" s="8">
        <v>45145</v>
      </c>
      <c r="C76" t="s">
        <v>184</v>
      </c>
      <c r="D76" t="s">
        <v>1</v>
      </c>
      <c r="E76" t="s">
        <v>2</v>
      </c>
      <c r="F76" t="s">
        <v>3</v>
      </c>
      <c r="G76" t="s">
        <v>4</v>
      </c>
      <c r="H76" s="9">
        <v>36828.26</v>
      </c>
      <c r="I76" t="s">
        <v>71</v>
      </c>
      <c r="J76" t="s">
        <v>7</v>
      </c>
      <c r="K76" t="s">
        <v>185</v>
      </c>
      <c r="L76" t="s">
        <v>186</v>
      </c>
      <c r="M76" t="s">
        <v>50</v>
      </c>
      <c r="N76" t="s">
        <v>8</v>
      </c>
      <c r="O76" t="str">
        <f t="shared" si="1"/>
        <v>FIMATEC</v>
      </c>
      <c r="P76" s="8">
        <v>45140</v>
      </c>
      <c r="Q76" t="s">
        <v>187</v>
      </c>
      <c r="R76" s="8">
        <v>45145</v>
      </c>
      <c r="S76" t="s">
        <v>188</v>
      </c>
      <c r="T76" t="s">
        <v>71</v>
      </c>
      <c r="U76" s="11">
        <v>0.63</v>
      </c>
      <c r="V76" t="s">
        <v>189</v>
      </c>
      <c r="W76" t="s">
        <v>189</v>
      </c>
    </row>
    <row r="77" spans="1:23" x14ac:dyDescent="0.25">
      <c r="A77" t="s">
        <v>39</v>
      </c>
      <c r="B77" s="8">
        <v>45145</v>
      </c>
      <c r="C77" t="s">
        <v>184</v>
      </c>
      <c r="D77" t="s">
        <v>1</v>
      </c>
      <c r="E77" t="s">
        <v>2</v>
      </c>
      <c r="F77" t="s">
        <v>3</v>
      </c>
      <c r="G77" t="s">
        <v>4</v>
      </c>
      <c r="H77" s="9">
        <v>9346.99</v>
      </c>
      <c r="I77" t="s">
        <v>81</v>
      </c>
      <c r="J77" t="s">
        <v>7</v>
      </c>
      <c r="K77" t="s">
        <v>190</v>
      </c>
      <c r="L77" t="s">
        <v>191</v>
      </c>
      <c r="M77" t="s">
        <v>50</v>
      </c>
      <c r="N77" t="s">
        <v>8</v>
      </c>
      <c r="O77" t="str">
        <f t="shared" si="1"/>
        <v>FIMATEC</v>
      </c>
      <c r="P77" s="8">
        <v>45140</v>
      </c>
      <c r="Q77" t="s">
        <v>192</v>
      </c>
      <c r="R77" s="8">
        <v>45145</v>
      </c>
      <c r="S77" t="s">
        <v>193</v>
      </c>
      <c r="T77" t="s">
        <v>81</v>
      </c>
      <c r="U77" s="11">
        <v>0.63</v>
      </c>
      <c r="V77" t="s">
        <v>189</v>
      </c>
      <c r="W77" t="s">
        <v>189</v>
      </c>
    </row>
    <row r="78" spans="1:23" x14ac:dyDescent="0.25">
      <c r="A78" t="s">
        <v>39</v>
      </c>
      <c r="B78" s="8">
        <v>45145</v>
      </c>
      <c r="C78" t="s">
        <v>184</v>
      </c>
      <c r="D78" t="s">
        <v>1</v>
      </c>
      <c r="E78" t="s">
        <v>2</v>
      </c>
      <c r="F78" t="s">
        <v>13</v>
      </c>
      <c r="G78" t="s">
        <v>14</v>
      </c>
      <c r="H78" s="9">
        <v>7599.48</v>
      </c>
      <c r="I78" t="s">
        <v>71</v>
      </c>
      <c r="J78" t="s">
        <v>7</v>
      </c>
      <c r="K78" t="s">
        <v>185</v>
      </c>
      <c r="L78" t="s">
        <v>186</v>
      </c>
      <c r="M78" t="s">
        <v>50</v>
      </c>
      <c r="N78" t="s">
        <v>6</v>
      </c>
      <c r="O78" t="str">
        <f t="shared" si="1"/>
        <v>FIMATEC</v>
      </c>
      <c r="P78" s="8">
        <v>45140</v>
      </c>
      <c r="Q78" t="s">
        <v>187</v>
      </c>
      <c r="R78" s="8">
        <v>45145</v>
      </c>
      <c r="S78" t="s">
        <v>188</v>
      </c>
      <c r="T78" t="s">
        <v>71</v>
      </c>
      <c r="U78" s="11">
        <v>0.13</v>
      </c>
      <c r="V78" t="s">
        <v>189</v>
      </c>
      <c r="W78" t="s">
        <v>189</v>
      </c>
    </row>
    <row r="79" spans="1:23" x14ac:dyDescent="0.25">
      <c r="A79" t="s">
        <v>39</v>
      </c>
      <c r="B79" s="8">
        <v>45145</v>
      </c>
      <c r="C79" t="s">
        <v>184</v>
      </c>
      <c r="D79" t="s">
        <v>1</v>
      </c>
      <c r="E79" t="s">
        <v>2</v>
      </c>
      <c r="F79" t="s">
        <v>15</v>
      </c>
      <c r="G79" t="s">
        <v>16</v>
      </c>
      <c r="H79" s="9">
        <v>7014.9</v>
      </c>
      <c r="I79" t="s">
        <v>71</v>
      </c>
      <c r="J79" t="s">
        <v>7</v>
      </c>
      <c r="K79" t="s">
        <v>185</v>
      </c>
      <c r="L79" t="s">
        <v>186</v>
      </c>
      <c r="M79" t="s">
        <v>50</v>
      </c>
      <c r="N79" t="s">
        <v>0</v>
      </c>
      <c r="O79" t="str">
        <f t="shared" si="1"/>
        <v>FIMATEC</v>
      </c>
      <c r="P79" s="8">
        <v>45140</v>
      </c>
      <c r="Q79" t="s">
        <v>187</v>
      </c>
      <c r="R79" s="8">
        <v>45145</v>
      </c>
      <c r="S79" t="s">
        <v>188</v>
      </c>
      <c r="T79" t="s">
        <v>71</v>
      </c>
      <c r="U79" s="11">
        <v>0.12</v>
      </c>
      <c r="V79" t="s">
        <v>189</v>
      </c>
      <c r="W79" t="s">
        <v>189</v>
      </c>
    </row>
    <row r="80" spans="1:23" x14ac:dyDescent="0.25">
      <c r="A80" t="s">
        <v>39</v>
      </c>
      <c r="B80" s="8">
        <v>45145</v>
      </c>
      <c r="C80" t="s">
        <v>184</v>
      </c>
      <c r="D80" t="s">
        <v>1</v>
      </c>
      <c r="E80" t="s">
        <v>2</v>
      </c>
      <c r="F80" t="s">
        <v>11</v>
      </c>
      <c r="G80" t="s">
        <v>12</v>
      </c>
      <c r="H80" s="9">
        <v>7014.9</v>
      </c>
      <c r="I80" t="s">
        <v>71</v>
      </c>
      <c r="J80" t="s">
        <v>7</v>
      </c>
      <c r="K80" t="s">
        <v>185</v>
      </c>
      <c r="L80" t="s">
        <v>186</v>
      </c>
      <c r="M80" t="s">
        <v>50</v>
      </c>
      <c r="N80" t="s">
        <v>5</v>
      </c>
      <c r="O80" t="str">
        <f t="shared" si="1"/>
        <v>FIMATEC</v>
      </c>
      <c r="P80" s="8">
        <v>45140</v>
      </c>
      <c r="Q80" t="s">
        <v>187</v>
      </c>
      <c r="R80" s="8">
        <v>45145</v>
      </c>
      <c r="S80" t="s">
        <v>188</v>
      </c>
      <c r="T80" t="s">
        <v>71</v>
      </c>
      <c r="U80" s="11">
        <v>0.12</v>
      </c>
      <c r="V80" t="s">
        <v>189</v>
      </c>
      <c r="W80" t="s">
        <v>189</v>
      </c>
    </row>
    <row r="81" spans="1:23" x14ac:dyDescent="0.25">
      <c r="A81" t="s">
        <v>39</v>
      </c>
      <c r="B81" s="8">
        <v>45145</v>
      </c>
      <c r="C81" t="s">
        <v>184</v>
      </c>
      <c r="D81" t="s">
        <v>1</v>
      </c>
      <c r="E81" t="s">
        <v>2</v>
      </c>
      <c r="F81" t="s">
        <v>3</v>
      </c>
      <c r="G81" t="s">
        <v>4</v>
      </c>
      <c r="H81" s="9">
        <v>6629.08</v>
      </c>
      <c r="I81" t="s">
        <v>76</v>
      </c>
      <c r="J81" t="s">
        <v>7</v>
      </c>
      <c r="K81" t="s">
        <v>194</v>
      </c>
      <c r="L81" t="s">
        <v>195</v>
      </c>
      <c r="M81" t="s">
        <v>50</v>
      </c>
      <c r="N81" t="s">
        <v>8</v>
      </c>
      <c r="O81" t="str">
        <f t="shared" si="1"/>
        <v>FIMATEC</v>
      </c>
      <c r="P81" s="8">
        <v>45140</v>
      </c>
      <c r="Q81" t="s">
        <v>196</v>
      </c>
      <c r="R81" s="8">
        <v>45145</v>
      </c>
      <c r="S81" t="s">
        <v>197</v>
      </c>
      <c r="T81" t="s">
        <v>76</v>
      </c>
      <c r="U81" s="11">
        <v>0.63</v>
      </c>
      <c r="V81" t="s">
        <v>189</v>
      </c>
      <c r="W81" t="s">
        <v>189</v>
      </c>
    </row>
    <row r="82" spans="1:23" x14ac:dyDescent="0.25">
      <c r="A82" t="s">
        <v>39</v>
      </c>
      <c r="B82" s="8">
        <v>45145</v>
      </c>
      <c r="C82" t="s">
        <v>184</v>
      </c>
      <c r="D82" t="s">
        <v>1</v>
      </c>
      <c r="E82" t="s">
        <v>2</v>
      </c>
      <c r="F82" t="s">
        <v>17</v>
      </c>
      <c r="G82" t="s">
        <v>18</v>
      </c>
      <c r="H82" s="9">
        <v>3297</v>
      </c>
      <c r="I82" t="s">
        <v>81</v>
      </c>
      <c r="J82" t="s">
        <v>7</v>
      </c>
      <c r="K82" t="s">
        <v>198</v>
      </c>
      <c r="L82" t="s">
        <v>199</v>
      </c>
      <c r="M82" t="s">
        <v>50</v>
      </c>
      <c r="N82" t="s">
        <v>8</v>
      </c>
      <c r="O82" t="str">
        <f t="shared" si="1"/>
        <v>FIMATEC</v>
      </c>
      <c r="P82" s="8">
        <v>45140</v>
      </c>
      <c r="Q82" t="s">
        <v>200</v>
      </c>
      <c r="R82" s="8">
        <v>45145</v>
      </c>
      <c r="S82" t="s">
        <v>201</v>
      </c>
      <c r="T82" t="s">
        <v>81</v>
      </c>
      <c r="U82" s="12">
        <v>1</v>
      </c>
      <c r="V82" t="s">
        <v>189</v>
      </c>
      <c r="W82" t="s">
        <v>189</v>
      </c>
    </row>
    <row r="83" spans="1:23" x14ac:dyDescent="0.25">
      <c r="A83" t="s">
        <v>39</v>
      </c>
      <c r="B83" s="8">
        <v>45145</v>
      </c>
      <c r="C83" t="s">
        <v>184</v>
      </c>
      <c r="D83" t="s">
        <v>1</v>
      </c>
      <c r="E83" t="s">
        <v>2</v>
      </c>
      <c r="F83" t="s">
        <v>13</v>
      </c>
      <c r="G83" t="s">
        <v>14</v>
      </c>
      <c r="H83" s="9">
        <v>1928.75</v>
      </c>
      <c r="I83" t="s">
        <v>81</v>
      </c>
      <c r="J83" t="s">
        <v>7</v>
      </c>
      <c r="K83" t="s">
        <v>190</v>
      </c>
      <c r="L83" t="s">
        <v>191</v>
      </c>
      <c r="M83" t="s">
        <v>50</v>
      </c>
      <c r="N83" t="s">
        <v>6</v>
      </c>
      <c r="O83" t="str">
        <f t="shared" si="1"/>
        <v>FIMATEC</v>
      </c>
      <c r="P83" s="8">
        <v>45140</v>
      </c>
      <c r="Q83" t="s">
        <v>192</v>
      </c>
      <c r="R83" s="8">
        <v>45145</v>
      </c>
      <c r="S83" t="s">
        <v>193</v>
      </c>
      <c r="T83" t="s">
        <v>81</v>
      </c>
      <c r="U83" s="11">
        <v>0.13</v>
      </c>
      <c r="V83" t="s">
        <v>189</v>
      </c>
      <c r="W83" t="s">
        <v>189</v>
      </c>
    </row>
    <row r="84" spans="1:23" x14ac:dyDescent="0.25">
      <c r="A84" t="s">
        <v>39</v>
      </c>
      <c r="B84" s="8">
        <v>45145</v>
      </c>
      <c r="C84" t="s">
        <v>184</v>
      </c>
      <c r="D84" t="s">
        <v>1</v>
      </c>
      <c r="E84" t="s">
        <v>2</v>
      </c>
      <c r="F84" t="s">
        <v>15</v>
      </c>
      <c r="G84" t="s">
        <v>16</v>
      </c>
      <c r="H84" s="9">
        <v>1780.38</v>
      </c>
      <c r="I84" t="s">
        <v>81</v>
      </c>
      <c r="J84" t="s">
        <v>7</v>
      </c>
      <c r="K84" t="s">
        <v>190</v>
      </c>
      <c r="L84" t="s">
        <v>191</v>
      </c>
      <c r="M84" t="s">
        <v>50</v>
      </c>
      <c r="N84" t="s">
        <v>0</v>
      </c>
      <c r="O84" t="str">
        <f t="shared" si="1"/>
        <v>FIMATEC</v>
      </c>
      <c r="P84" s="8">
        <v>45140</v>
      </c>
      <c r="Q84" t="s">
        <v>192</v>
      </c>
      <c r="R84" s="8">
        <v>45145</v>
      </c>
      <c r="S84" t="s">
        <v>193</v>
      </c>
      <c r="T84" t="s">
        <v>81</v>
      </c>
      <c r="U84" s="11">
        <v>0.12</v>
      </c>
      <c r="V84" t="s">
        <v>189</v>
      </c>
      <c r="W84" t="s">
        <v>189</v>
      </c>
    </row>
    <row r="85" spans="1:23" x14ac:dyDescent="0.25">
      <c r="A85" t="s">
        <v>39</v>
      </c>
      <c r="B85" s="8">
        <v>45145</v>
      </c>
      <c r="C85" t="s">
        <v>184</v>
      </c>
      <c r="D85" t="s">
        <v>1</v>
      </c>
      <c r="E85" t="s">
        <v>2</v>
      </c>
      <c r="F85" t="s">
        <v>11</v>
      </c>
      <c r="G85" t="s">
        <v>12</v>
      </c>
      <c r="H85" s="9">
        <v>1780.38</v>
      </c>
      <c r="I85" t="s">
        <v>81</v>
      </c>
      <c r="J85" t="s">
        <v>7</v>
      </c>
      <c r="K85" t="s">
        <v>190</v>
      </c>
      <c r="L85" t="s">
        <v>191</v>
      </c>
      <c r="M85" t="s">
        <v>50</v>
      </c>
      <c r="N85" t="s">
        <v>5</v>
      </c>
      <c r="O85" t="str">
        <f t="shared" si="1"/>
        <v>FIMATEC</v>
      </c>
      <c r="P85" s="8">
        <v>45140</v>
      </c>
      <c r="Q85" t="s">
        <v>192</v>
      </c>
      <c r="R85" s="8">
        <v>45145</v>
      </c>
      <c r="S85" t="s">
        <v>193</v>
      </c>
      <c r="T85" t="s">
        <v>81</v>
      </c>
      <c r="U85" s="11">
        <v>0.12</v>
      </c>
      <c r="V85" t="s">
        <v>189</v>
      </c>
      <c r="W85" t="s">
        <v>189</v>
      </c>
    </row>
    <row r="86" spans="1:23" x14ac:dyDescent="0.25">
      <c r="A86" t="s">
        <v>39</v>
      </c>
      <c r="B86" s="8">
        <v>45145</v>
      </c>
      <c r="C86" t="s">
        <v>184</v>
      </c>
      <c r="D86" t="s">
        <v>1</v>
      </c>
      <c r="E86" t="s">
        <v>2</v>
      </c>
      <c r="F86" t="s">
        <v>13</v>
      </c>
      <c r="G86" t="s">
        <v>14</v>
      </c>
      <c r="H86" s="9">
        <v>1367.9</v>
      </c>
      <c r="I86" t="s">
        <v>76</v>
      </c>
      <c r="J86" t="s">
        <v>7</v>
      </c>
      <c r="K86" t="s">
        <v>194</v>
      </c>
      <c r="L86" t="s">
        <v>195</v>
      </c>
      <c r="M86" t="s">
        <v>50</v>
      </c>
      <c r="N86" t="s">
        <v>6</v>
      </c>
      <c r="O86" t="str">
        <f t="shared" si="1"/>
        <v>FIMATEC</v>
      </c>
      <c r="P86" s="8">
        <v>45140</v>
      </c>
      <c r="Q86" t="s">
        <v>196</v>
      </c>
      <c r="R86" s="8">
        <v>45145</v>
      </c>
      <c r="S86" t="s">
        <v>197</v>
      </c>
      <c r="T86" t="s">
        <v>76</v>
      </c>
      <c r="U86" s="11">
        <v>0.13</v>
      </c>
      <c r="V86" t="s">
        <v>189</v>
      </c>
      <c r="W86" t="s">
        <v>189</v>
      </c>
    </row>
    <row r="87" spans="1:23" x14ac:dyDescent="0.25">
      <c r="A87" t="s">
        <v>39</v>
      </c>
      <c r="B87" s="8">
        <v>45145</v>
      </c>
      <c r="C87" t="s">
        <v>184</v>
      </c>
      <c r="D87" t="s">
        <v>1</v>
      </c>
      <c r="E87" t="s">
        <v>2</v>
      </c>
      <c r="F87" t="s">
        <v>15</v>
      </c>
      <c r="G87" t="s">
        <v>16</v>
      </c>
      <c r="H87" s="9">
        <v>1262.68</v>
      </c>
      <c r="I87" t="s">
        <v>76</v>
      </c>
      <c r="J87" t="s">
        <v>7</v>
      </c>
      <c r="K87" t="s">
        <v>194</v>
      </c>
      <c r="L87" t="s">
        <v>195</v>
      </c>
      <c r="M87" t="s">
        <v>50</v>
      </c>
      <c r="N87" t="s">
        <v>0</v>
      </c>
      <c r="O87" t="str">
        <f t="shared" si="1"/>
        <v>FIMATEC</v>
      </c>
      <c r="P87" s="8">
        <v>45140</v>
      </c>
      <c r="Q87" t="s">
        <v>196</v>
      </c>
      <c r="R87" s="8">
        <v>45145</v>
      </c>
      <c r="S87" t="s">
        <v>197</v>
      </c>
      <c r="T87" t="s">
        <v>76</v>
      </c>
      <c r="U87" s="11">
        <v>0.12</v>
      </c>
      <c r="V87" t="s">
        <v>189</v>
      </c>
      <c r="W87" t="s">
        <v>189</v>
      </c>
    </row>
    <row r="88" spans="1:23" x14ac:dyDescent="0.25">
      <c r="A88" t="s">
        <v>39</v>
      </c>
      <c r="B88" s="8">
        <v>45145</v>
      </c>
      <c r="C88" t="s">
        <v>184</v>
      </c>
      <c r="D88" t="s">
        <v>1</v>
      </c>
      <c r="E88" t="s">
        <v>2</v>
      </c>
      <c r="F88" t="s">
        <v>11</v>
      </c>
      <c r="G88" t="s">
        <v>12</v>
      </c>
      <c r="H88" s="9">
        <v>1262.68</v>
      </c>
      <c r="I88" t="s">
        <v>76</v>
      </c>
      <c r="J88" t="s">
        <v>7</v>
      </c>
      <c r="K88" t="s">
        <v>194</v>
      </c>
      <c r="L88" t="s">
        <v>195</v>
      </c>
      <c r="M88" t="s">
        <v>50</v>
      </c>
      <c r="N88" t="s">
        <v>5</v>
      </c>
      <c r="O88" t="str">
        <f t="shared" si="1"/>
        <v>FIMATEC</v>
      </c>
      <c r="P88" s="8">
        <v>45140</v>
      </c>
      <c r="Q88" t="s">
        <v>196</v>
      </c>
      <c r="R88" s="8">
        <v>45145</v>
      </c>
      <c r="S88" t="s">
        <v>197</v>
      </c>
      <c r="T88" t="s">
        <v>76</v>
      </c>
      <c r="U88" s="11">
        <v>0.12</v>
      </c>
      <c r="V88" t="s">
        <v>189</v>
      </c>
      <c r="W88" t="s">
        <v>189</v>
      </c>
    </row>
    <row r="89" spans="1:23" x14ac:dyDescent="0.25">
      <c r="A89" t="s">
        <v>39</v>
      </c>
      <c r="B89" s="8">
        <v>45175</v>
      </c>
      <c r="C89" t="s">
        <v>206</v>
      </c>
      <c r="D89" t="s">
        <v>1</v>
      </c>
      <c r="E89" t="s">
        <v>2</v>
      </c>
      <c r="F89" t="s">
        <v>3</v>
      </c>
      <c r="G89" t="s">
        <v>4</v>
      </c>
      <c r="H89" s="9">
        <v>36828.26</v>
      </c>
      <c r="I89" t="s">
        <v>71</v>
      </c>
      <c r="J89" t="s">
        <v>7</v>
      </c>
      <c r="K89" t="s">
        <v>207</v>
      </c>
      <c r="L89" t="s">
        <v>208</v>
      </c>
      <c r="M89" t="s">
        <v>50</v>
      </c>
      <c r="N89" t="s">
        <v>8</v>
      </c>
      <c r="O89" t="str">
        <f t="shared" si="1"/>
        <v>FIMATEC</v>
      </c>
      <c r="P89" s="8">
        <v>45173</v>
      </c>
      <c r="Q89" t="s">
        <v>209</v>
      </c>
      <c r="R89" s="8">
        <v>45175</v>
      </c>
      <c r="S89" t="s">
        <v>210</v>
      </c>
      <c r="T89" t="s">
        <v>71</v>
      </c>
      <c r="U89" s="11">
        <v>0.63</v>
      </c>
      <c r="V89" t="s">
        <v>189</v>
      </c>
      <c r="W89" t="s">
        <v>189</v>
      </c>
    </row>
    <row r="90" spans="1:23" x14ac:dyDescent="0.25">
      <c r="A90" t="s">
        <v>39</v>
      </c>
      <c r="B90" s="8">
        <v>45175</v>
      </c>
      <c r="C90" t="s">
        <v>206</v>
      </c>
      <c r="D90" t="s">
        <v>1</v>
      </c>
      <c r="E90" t="s">
        <v>2</v>
      </c>
      <c r="F90" t="s">
        <v>3</v>
      </c>
      <c r="G90" t="s">
        <v>4</v>
      </c>
      <c r="H90" s="9">
        <v>9346.99</v>
      </c>
      <c r="I90" t="s">
        <v>81</v>
      </c>
      <c r="J90" t="s">
        <v>7</v>
      </c>
      <c r="K90" t="s">
        <v>211</v>
      </c>
      <c r="L90" t="s">
        <v>212</v>
      </c>
      <c r="M90" t="s">
        <v>50</v>
      </c>
      <c r="N90" t="s">
        <v>8</v>
      </c>
      <c r="O90" t="str">
        <f t="shared" si="1"/>
        <v>FIMATEC</v>
      </c>
      <c r="P90" s="8">
        <v>45173</v>
      </c>
      <c r="Q90" t="s">
        <v>213</v>
      </c>
      <c r="R90" s="8">
        <v>45175</v>
      </c>
      <c r="S90" t="s">
        <v>214</v>
      </c>
      <c r="T90" t="s">
        <v>81</v>
      </c>
      <c r="U90" s="11">
        <v>0.63</v>
      </c>
      <c r="V90" t="s">
        <v>189</v>
      </c>
      <c r="W90" t="s">
        <v>189</v>
      </c>
    </row>
    <row r="91" spans="1:23" x14ac:dyDescent="0.25">
      <c r="A91" t="s">
        <v>39</v>
      </c>
      <c r="B91" s="8">
        <v>45175</v>
      </c>
      <c r="C91" t="s">
        <v>206</v>
      </c>
      <c r="D91" t="s">
        <v>1</v>
      </c>
      <c r="E91" t="s">
        <v>2</v>
      </c>
      <c r="F91" t="s">
        <v>13</v>
      </c>
      <c r="G91" t="s">
        <v>14</v>
      </c>
      <c r="H91" s="9">
        <v>7599.48</v>
      </c>
      <c r="I91" t="s">
        <v>71</v>
      </c>
      <c r="J91" t="s">
        <v>7</v>
      </c>
      <c r="K91" t="s">
        <v>207</v>
      </c>
      <c r="L91" t="s">
        <v>208</v>
      </c>
      <c r="M91" t="s">
        <v>50</v>
      </c>
      <c r="N91" t="s">
        <v>6</v>
      </c>
      <c r="O91" t="str">
        <f t="shared" si="1"/>
        <v>FIMATEC</v>
      </c>
      <c r="P91" s="8">
        <v>45173</v>
      </c>
      <c r="Q91" t="s">
        <v>209</v>
      </c>
      <c r="R91" s="8">
        <v>45175</v>
      </c>
      <c r="S91" t="s">
        <v>210</v>
      </c>
      <c r="T91" t="s">
        <v>71</v>
      </c>
      <c r="U91" s="11">
        <v>0.13</v>
      </c>
      <c r="V91" t="s">
        <v>189</v>
      </c>
      <c r="W91" t="s">
        <v>189</v>
      </c>
    </row>
    <row r="92" spans="1:23" x14ac:dyDescent="0.25">
      <c r="A92" t="s">
        <v>39</v>
      </c>
      <c r="B92" s="8">
        <v>45175</v>
      </c>
      <c r="C92" t="s">
        <v>206</v>
      </c>
      <c r="D92" t="s">
        <v>1</v>
      </c>
      <c r="E92" t="s">
        <v>2</v>
      </c>
      <c r="F92" t="s">
        <v>15</v>
      </c>
      <c r="G92" t="s">
        <v>16</v>
      </c>
      <c r="H92" s="9">
        <v>7014.9</v>
      </c>
      <c r="I92" t="s">
        <v>71</v>
      </c>
      <c r="J92" t="s">
        <v>7</v>
      </c>
      <c r="K92" t="s">
        <v>207</v>
      </c>
      <c r="L92" t="s">
        <v>208</v>
      </c>
      <c r="M92" t="s">
        <v>50</v>
      </c>
      <c r="N92" t="s">
        <v>0</v>
      </c>
      <c r="O92" t="str">
        <f t="shared" si="1"/>
        <v>FIMATEC</v>
      </c>
      <c r="P92" s="8">
        <v>45173</v>
      </c>
      <c r="Q92" t="s">
        <v>209</v>
      </c>
      <c r="R92" s="8">
        <v>45175</v>
      </c>
      <c r="S92" t="s">
        <v>210</v>
      </c>
      <c r="T92" t="s">
        <v>71</v>
      </c>
      <c r="U92" s="11">
        <v>0.12</v>
      </c>
      <c r="V92" t="s">
        <v>189</v>
      </c>
      <c r="W92" t="s">
        <v>189</v>
      </c>
    </row>
    <row r="93" spans="1:23" x14ac:dyDescent="0.25">
      <c r="A93" t="s">
        <v>39</v>
      </c>
      <c r="B93" s="8">
        <v>45175</v>
      </c>
      <c r="C93" t="s">
        <v>206</v>
      </c>
      <c r="D93" t="s">
        <v>1</v>
      </c>
      <c r="E93" t="s">
        <v>2</v>
      </c>
      <c r="F93" t="s">
        <v>11</v>
      </c>
      <c r="G93" t="s">
        <v>12</v>
      </c>
      <c r="H93" s="9">
        <v>7014.9</v>
      </c>
      <c r="I93" t="s">
        <v>71</v>
      </c>
      <c r="J93" t="s">
        <v>7</v>
      </c>
      <c r="K93" t="s">
        <v>207</v>
      </c>
      <c r="L93" t="s">
        <v>208</v>
      </c>
      <c r="M93" t="s">
        <v>50</v>
      </c>
      <c r="N93" t="s">
        <v>5</v>
      </c>
      <c r="O93" t="str">
        <f t="shared" si="1"/>
        <v>FIMATEC</v>
      </c>
      <c r="P93" s="8">
        <v>45173</v>
      </c>
      <c r="Q93" t="s">
        <v>209</v>
      </c>
      <c r="R93" s="8">
        <v>45175</v>
      </c>
      <c r="S93" t="s">
        <v>210</v>
      </c>
      <c r="T93" t="s">
        <v>71</v>
      </c>
      <c r="U93" s="11">
        <v>0.12</v>
      </c>
      <c r="V93" t="s">
        <v>189</v>
      </c>
      <c r="W93" t="s">
        <v>189</v>
      </c>
    </row>
    <row r="94" spans="1:23" x14ac:dyDescent="0.25">
      <c r="A94" t="s">
        <v>39</v>
      </c>
      <c r="B94" s="8">
        <v>45175</v>
      </c>
      <c r="C94" t="s">
        <v>206</v>
      </c>
      <c r="D94" t="s">
        <v>1</v>
      </c>
      <c r="E94" t="s">
        <v>2</v>
      </c>
      <c r="F94" t="s">
        <v>3</v>
      </c>
      <c r="G94" t="s">
        <v>4</v>
      </c>
      <c r="H94" s="9">
        <v>6629.08</v>
      </c>
      <c r="I94" t="s">
        <v>76</v>
      </c>
      <c r="J94" t="s">
        <v>7</v>
      </c>
      <c r="K94" t="s">
        <v>215</v>
      </c>
      <c r="L94" t="s">
        <v>216</v>
      </c>
      <c r="M94" t="s">
        <v>50</v>
      </c>
      <c r="N94" t="s">
        <v>8</v>
      </c>
      <c r="O94" t="str">
        <f t="shared" si="1"/>
        <v>FIMATEC</v>
      </c>
      <c r="P94" s="8">
        <v>45173</v>
      </c>
      <c r="Q94" t="s">
        <v>217</v>
      </c>
      <c r="R94" s="8">
        <v>45175</v>
      </c>
      <c r="S94" t="s">
        <v>218</v>
      </c>
      <c r="T94" t="s">
        <v>76</v>
      </c>
      <c r="U94" s="11">
        <v>0.63</v>
      </c>
      <c r="V94" t="s">
        <v>189</v>
      </c>
      <c r="W94" t="s">
        <v>189</v>
      </c>
    </row>
    <row r="95" spans="1:23" x14ac:dyDescent="0.25">
      <c r="A95" t="s">
        <v>39</v>
      </c>
      <c r="B95" s="8">
        <v>45175</v>
      </c>
      <c r="C95" t="s">
        <v>206</v>
      </c>
      <c r="D95" t="s">
        <v>1</v>
      </c>
      <c r="E95" t="s">
        <v>2</v>
      </c>
      <c r="F95" t="s">
        <v>17</v>
      </c>
      <c r="G95" t="s">
        <v>18</v>
      </c>
      <c r="H95" s="9">
        <v>3297</v>
      </c>
      <c r="I95" t="s">
        <v>81</v>
      </c>
      <c r="J95" t="s">
        <v>7</v>
      </c>
      <c r="K95" t="s">
        <v>219</v>
      </c>
      <c r="L95" t="s">
        <v>220</v>
      </c>
      <c r="M95" t="s">
        <v>50</v>
      </c>
      <c r="N95" t="s">
        <v>8</v>
      </c>
      <c r="O95" t="str">
        <f t="shared" si="1"/>
        <v>FIMATEC</v>
      </c>
      <c r="P95" s="8">
        <v>45173</v>
      </c>
      <c r="Q95" t="s">
        <v>221</v>
      </c>
      <c r="R95" s="8">
        <v>45175</v>
      </c>
      <c r="S95" t="s">
        <v>222</v>
      </c>
      <c r="T95" t="s">
        <v>81</v>
      </c>
      <c r="U95" s="12">
        <v>1</v>
      </c>
      <c r="V95" t="s">
        <v>189</v>
      </c>
      <c r="W95" t="s">
        <v>189</v>
      </c>
    </row>
    <row r="96" spans="1:23" x14ac:dyDescent="0.25">
      <c r="A96" t="s">
        <v>39</v>
      </c>
      <c r="B96" s="8">
        <v>45175</v>
      </c>
      <c r="C96" t="s">
        <v>206</v>
      </c>
      <c r="D96" t="s">
        <v>1</v>
      </c>
      <c r="E96" t="s">
        <v>2</v>
      </c>
      <c r="F96" t="s">
        <v>13</v>
      </c>
      <c r="G96" t="s">
        <v>14</v>
      </c>
      <c r="H96" s="9">
        <v>1928.75</v>
      </c>
      <c r="I96" t="s">
        <v>81</v>
      </c>
      <c r="J96" t="s">
        <v>7</v>
      </c>
      <c r="K96" t="s">
        <v>211</v>
      </c>
      <c r="L96" t="s">
        <v>212</v>
      </c>
      <c r="M96" t="s">
        <v>50</v>
      </c>
      <c r="N96" t="s">
        <v>6</v>
      </c>
      <c r="O96" t="str">
        <f t="shared" si="1"/>
        <v>FIMATEC</v>
      </c>
      <c r="P96" s="8">
        <v>45173</v>
      </c>
      <c r="Q96" t="s">
        <v>213</v>
      </c>
      <c r="R96" s="8">
        <v>45175</v>
      </c>
      <c r="S96" t="s">
        <v>214</v>
      </c>
      <c r="T96" t="s">
        <v>81</v>
      </c>
      <c r="U96" s="11">
        <v>0.13</v>
      </c>
      <c r="V96" t="s">
        <v>189</v>
      </c>
      <c r="W96" t="s">
        <v>189</v>
      </c>
    </row>
    <row r="97" spans="1:24" x14ac:dyDescent="0.25">
      <c r="A97" t="s">
        <v>39</v>
      </c>
      <c r="B97" s="8">
        <v>45175</v>
      </c>
      <c r="C97" t="s">
        <v>206</v>
      </c>
      <c r="D97" t="s">
        <v>1</v>
      </c>
      <c r="E97" t="s">
        <v>2</v>
      </c>
      <c r="F97" t="s">
        <v>15</v>
      </c>
      <c r="G97" t="s">
        <v>16</v>
      </c>
      <c r="H97" s="9">
        <v>1780.38</v>
      </c>
      <c r="I97" t="s">
        <v>81</v>
      </c>
      <c r="J97" t="s">
        <v>7</v>
      </c>
      <c r="K97" t="s">
        <v>211</v>
      </c>
      <c r="L97" t="s">
        <v>212</v>
      </c>
      <c r="M97" t="s">
        <v>50</v>
      </c>
      <c r="N97" t="s">
        <v>0</v>
      </c>
      <c r="O97" t="str">
        <f t="shared" si="1"/>
        <v>FIMATEC</v>
      </c>
      <c r="P97" s="8">
        <v>45173</v>
      </c>
      <c r="Q97" t="s">
        <v>213</v>
      </c>
      <c r="R97" s="8">
        <v>45175</v>
      </c>
      <c r="S97" t="s">
        <v>214</v>
      </c>
      <c r="T97" t="s">
        <v>81</v>
      </c>
      <c r="U97" s="11">
        <v>0.12</v>
      </c>
      <c r="V97" t="s">
        <v>189</v>
      </c>
      <c r="W97" t="s">
        <v>189</v>
      </c>
    </row>
    <row r="98" spans="1:24" x14ac:dyDescent="0.25">
      <c r="A98" t="s">
        <v>39</v>
      </c>
      <c r="B98" s="8">
        <v>45175</v>
      </c>
      <c r="C98" t="s">
        <v>206</v>
      </c>
      <c r="D98" t="s">
        <v>1</v>
      </c>
      <c r="E98" t="s">
        <v>2</v>
      </c>
      <c r="F98" t="s">
        <v>11</v>
      </c>
      <c r="G98" t="s">
        <v>12</v>
      </c>
      <c r="H98" s="9">
        <v>1780.38</v>
      </c>
      <c r="I98" t="s">
        <v>81</v>
      </c>
      <c r="J98" t="s">
        <v>7</v>
      </c>
      <c r="K98" t="s">
        <v>211</v>
      </c>
      <c r="L98" t="s">
        <v>212</v>
      </c>
      <c r="M98" t="s">
        <v>50</v>
      </c>
      <c r="N98" t="s">
        <v>5</v>
      </c>
      <c r="O98" t="str">
        <f t="shared" si="1"/>
        <v>FIMATEC</v>
      </c>
      <c r="P98" s="8">
        <v>45173</v>
      </c>
      <c r="Q98" t="s">
        <v>213</v>
      </c>
      <c r="R98" s="8">
        <v>45175</v>
      </c>
      <c r="S98" t="s">
        <v>214</v>
      </c>
      <c r="T98" t="s">
        <v>81</v>
      </c>
      <c r="U98" s="11">
        <v>0.12</v>
      </c>
      <c r="V98" t="s">
        <v>189</v>
      </c>
      <c r="W98" t="s">
        <v>189</v>
      </c>
    </row>
    <row r="99" spans="1:24" x14ac:dyDescent="0.25">
      <c r="A99" t="s">
        <v>39</v>
      </c>
      <c r="B99" s="8">
        <v>45175</v>
      </c>
      <c r="C99" t="s">
        <v>206</v>
      </c>
      <c r="D99" t="s">
        <v>1</v>
      </c>
      <c r="E99" t="s">
        <v>2</v>
      </c>
      <c r="F99" t="s">
        <v>13</v>
      </c>
      <c r="G99" t="s">
        <v>14</v>
      </c>
      <c r="H99" s="9">
        <v>1367.9</v>
      </c>
      <c r="I99" t="s">
        <v>76</v>
      </c>
      <c r="J99" t="s">
        <v>7</v>
      </c>
      <c r="K99" t="s">
        <v>215</v>
      </c>
      <c r="L99" t="s">
        <v>216</v>
      </c>
      <c r="M99" t="s">
        <v>50</v>
      </c>
      <c r="N99" t="s">
        <v>6</v>
      </c>
      <c r="O99" t="str">
        <f t="shared" si="1"/>
        <v>FIMATEC</v>
      </c>
      <c r="P99" s="8">
        <v>45173</v>
      </c>
      <c r="Q99" t="s">
        <v>217</v>
      </c>
      <c r="R99" s="8">
        <v>45175</v>
      </c>
      <c r="S99" t="s">
        <v>218</v>
      </c>
      <c r="T99" t="s">
        <v>76</v>
      </c>
      <c r="U99" s="11">
        <v>0.13</v>
      </c>
      <c r="V99" t="s">
        <v>189</v>
      </c>
      <c r="W99" t="s">
        <v>189</v>
      </c>
    </row>
    <row r="100" spans="1:24" x14ac:dyDescent="0.25">
      <c r="A100" t="s">
        <v>39</v>
      </c>
      <c r="B100" s="8">
        <v>45175</v>
      </c>
      <c r="C100" t="s">
        <v>206</v>
      </c>
      <c r="D100" t="s">
        <v>1</v>
      </c>
      <c r="E100" t="s">
        <v>2</v>
      </c>
      <c r="F100" t="s">
        <v>15</v>
      </c>
      <c r="G100" t="s">
        <v>16</v>
      </c>
      <c r="H100" s="9">
        <v>1262.68</v>
      </c>
      <c r="I100" t="s">
        <v>76</v>
      </c>
      <c r="J100" t="s">
        <v>7</v>
      </c>
      <c r="K100" t="s">
        <v>215</v>
      </c>
      <c r="L100" t="s">
        <v>216</v>
      </c>
      <c r="M100" t="s">
        <v>50</v>
      </c>
      <c r="N100" t="s">
        <v>0</v>
      </c>
      <c r="O100" t="str">
        <f t="shared" si="1"/>
        <v>FIMATEC</v>
      </c>
      <c r="P100" s="8">
        <v>45173</v>
      </c>
      <c r="Q100" t="s">
        <v>217</v>
      </c>
      <c r="R100" s="8">
        <v>45175</v>
      </c>
      <c r="S100" t="s">
        <v>218</v>
      </c>
      <c r="T100" t="s">
        <v>76</v>
      </c>
      <c r="U100" s="11">
        <v>0.12</v>
      </c>
      <c r="V100" t="s">
        <v>189</v>
      </c>
      <c r="W100" t="s">
        <v>189</v>
      </c>
    </row>
    <row r="101" spans="1:24" x14ac:dyDescent="0.25">
      <c r="A101" t="s">
        <v>39</v>
      </c>
      <c r="B101" s="8">
        <v>45175</v>
      </c>
      <c r="C101" t="s">
        <v>206</v>
      </c>
      <c r="D101" t="s">
        <v>1</v>
      </c>
      <c r="E101" t="s">
        <v>2</v>
      </c>
      <c r="F101" t="s">
        <v>11</v>
      </c>
      <c r="G101" t="s">
        <v>12</v>
      </c>
      <c r="H101" s="9">
        <v>1262.68</v>
      </c>
      <c r="I101" t="s">
        <v>76</v>
      </c>
      <c r="J101" t="s">
        <v>7</v>
      </c>
      <c r="K101" t="s">
        <v>215</v>
      </c>
      <c r="L101" t="s">
        <v>216</v>
      </c>
      <c r="M101" t="s">
        <v>50</v>
      </c>
      <c r="N101" t="s">
        <v>5</v>
      </c>
      <c r="O101" t="str">
        <f t="shared" si="1"/>
        <v>FIMATEC</v>
      </c>
      <c r="P101" s="8">
        <v>45173</v>
      </c>
      <c r="Q101" t="s">
        <v>217</v>
      </c>
      <c r="R101" s="8">
        <v>45175</v>
      </c>
      <c r="S101" t="s">
        <v>218</v>
      </c>
      <c r="T101" t="s">
        <v>76</v>
      </c>
      <c r="U101" s="11">
        <v>0.12</v>
      </c>
      <c r="V101" t="s">
        <v>189</v>
      </c>
      <c r="W101" t="s">
        <v>189</v>
      </c>
    </row>
    <row r="102" spans="1:24" x14ac:dyDescent="0.25">
      <c r="A102" t="s">
        <v>39</v>
      </c>
      <c r="B102" s="8">
        <v>45208</v>
      </c>
      <c r="C102" t="s">
        <v>223</v>
      </c>
      <c r="D102" t="s">
        <v>1</v>
      </c>
      <c r="E102" t="s">
        <v>2</v>
      </c>
      <c r="F102" t="s">
        <v>3</v>
      </c>
      <c r="G102" t="s">
        <v>4</v>
      </c>
      <c r="H102" s="9">
        <v>36828.26</v>
      </c>
      <c r="I102" t="s">
        <v>71</v>
      </c>
      <c r="J102" t="s">
        <v>7</v>
      </c>
      <c r="K102" t="s">
        <v>224</v>
      </c>
      <c r="L102" t="s">
        <v>225</v>
      </c>
      <c r="M102" t="s">
        <v>50</v>
      </c>
      <c r="N102" t="s">
        <v>8</v>
      </c>
      <c r="O102" t="str">
        <f t="shared" si="1"/>
        <v>FIMATEC</v>
      </c>
      <c r="P102" s="8">
        <v>45203</v>
      </c>
      <c r="Q102" t="s">
        <v>226</v>
      </c>
      <c r="R102" s="8">
        <v>45208</v>
      </c>
      <c r="S102" t="s">
        <v>227</v>
      </c>
      <c r="T102" t="s">
        <v>71</v>
      </c>
      <c r="U102" s="11">
        <v>0.63</v>
      </c>
      <c r="V102" t="s">
        <v>189</v>
      </c>
      <c r="W102" t="s">
        <v>189</v>
      </c>
      <c r="X102" t="s">
        <v>3</v>
      </c>
    </row>
    <row r="103" spans="1:24" x14ac:dyDescent="0.25">
      <c r="A103" t="s">
        <v>39</v>
      </c>
      <c r="B103" s="8">
        <v>45208</v>
      </c>
      <c r="C103" t="s">
        <v>223</v>
      </c>
      <c r="D103" t="s">
        <v>1</v>
      </c>
      <c r="E103" t="s">
        <v>2</v>
      </c>
      <c r="F103" t="s">
        <v>3</v>
      </c>
      <c r="G103" t="s">
        <v>4</v>
      </c>
      <c r="H103" s="9">
        <v>9346.99</v>
      </c>
      <c r="I103" t="s">
        <v>81</v>
      </c>
      <c r="J103" t="s">
        <v>7</v>
      </c>
      <c r="K103" t="s">
        <v>228</v>
      </c>
      <c r="L103" t="s">
        <v>229</v>
      </c>
      <c r="M103" t="s">
        <v>50</v>
      </c>
      <c r="N103" t="s">
        <v>8</v>
      </c>
      <c r="O103" t="str">
        <f t="shared" si="1"/>
        <v>FIMATEC</v>
      </c>
      <c r="P103" s="8">
        <v>45203</v>
      </c>
      <c r="Q103" t="s">
        <v>230</v>
      </c>
      <c r="R103" s="8">
        <v>45208</v>
      </c>
      <c r="S103" t="s">
        <v>231</v>
      </c>
      <c r="T103" t="s">
        <v>81</v>
      </c>
      <c r="U103" s="11">
        <v>0.63</v>
      </c>
      <c r="V103" t="s">
        <v>189</v>
      </c>
      <c r="W103" t="s">
        <v>189</v>
      </c>
      <c r="X103" t="s">
        <v>3</v>
      </c>
    </row>
    <row r="104" spans="1:24" x14ac:dyDescent="0.25">
      <c r="A104" t="s">
        <v>39</v>
      </c>
      <c r="B104" s="8">
        <v>45208</v>
      </c>
      <c r="C104" t="s">
        <v>223</v>
      </c>
      <c r="D104" t="s">
        <v>1</v>
      </c>
      <c r="E104" t="s">
        <v>2</v>
      </c>
      <c r="F104" t="s">
        <v>13</v>
      </c>
      <c r="G104" t="s">
        <v>14</v>
      </c>
      <c r="H104" s="9">
        <v>7599.48</v>
      </c>
      <c r="I104" t="s">
        <v>71</v>
      </c>
      <c r="J104" t="s">
        <v>7</v>
      </c>
      <c r="K104" t="s">
        <v>224</v>
      </c>
      <c r="L104" t="s">
        <v>225</v>
      </c>
      <c r="M104" t="s">
        <v>50</v>
      </c>
      <c r="N104" t="s">
        <v>6</v>
      </c>
      <c r="O104" t="str">
        <f t="shared" si="1"/>
        <v>FIMATEC</v>
      </c>
      <c r="P104" s="8">
        <v>45203</v>
      </c>
      <c r="Q104" t="s">
        <v>226</v>
      </c>
      <c r="R104" s="8">
        <v>45208</v>
      </c>
      <c r="S104" t="s">
        <v>227</v>
      </c>
      <c r="T104" t="s">
        <v>71</v>
      </c>
      <c r="U104" s="11">
        <v>0.13</v>
      </c>
      <c r="V104" t="s">
        <v>189</v>
      </c>
      <c r="W104" t="s">
        <v>189</v>
      </c>
      <c r="X104" t="s">
        <v>13</v>
      </c>
    </row>
    <row r="105" spans="1:24" x14ac:dyDescent="0.25">
      <c r="A105" t="s">
        <v>39</v>
      </c>
      <c r="B105" s="8">
        <v>45208</v>
      </c>
      <c r="C105" t="s">
        <v>223</v>
      </c>
      <c r="D105" t="s">
        <v>1</v>
      </c>
      <c r="E105" t="s">
        <v>2</v>
      </c>
      <c r="F105" t="s">
        <v>15</v>
      </c>
      <c r="G105" t="s">
        <v>16</v>
      </c>
      <c r="H105" s="9">
        <v>7014.9</v>
      </c>
      <c r="I105" t="s">
        <v>71</v>
      </c>
      <c r="J105" t="s">
        <v>7</v>
      </c>
      <c r="K105" t="s">
        <v>224</v>
      </c>
      <c r="L105" t="s">
        <v>225</v>
      </c>
      <c r="M105" t="s">
        <v>50</v>
      </c>
      <c r="N105" t="s">
        <v>0</v>
      </c>
      <c r="O105" t="str">
        <f t="shared" si="1"/>
        <v>FIMATEC</v>
      </c>
      <c r="P105" s="8">
        <v>45203</v>
      </c>
      <c r="Q105" t="s">
        <v>226</v>
      </c>
      <c r="R105" s="8">
        <v>45208</v>
      </c>
      <c r="S105" t="s">
        <v>227</v>
      </c>
      <c r="T105" t="s">
        <v>71</v>
      </c>
      <c r="U105" s="11">
        <v>0.12</v>
      </c>
      <c r="V105" t="s">
        <v>189</v>
      </c>
      <c r="W105" t="s">
        <v>189</v>
      </c>
      <c r="X105" t="s">
        <v>15</v>
      </c>
    </row>
    <row r="106" spans="1:24" x14ac:dyDescent="0.25">
      <c r="A106" t="s">
        <v>39</v>
      </c>
      <c r="B106" s="8">
        <v>45208</v>
      </c>
      <c r="C106" t="s">
        <v>223</v>
      </c>
      <c r="D106" t="s">
        <v>1</v>
      </c>
      <c r="E106" t="s">
        <v>2</v>
      </c>
      <c r="F106" t="s">
        <v>11</v>
      </c>
      <c r="G106" t="s">
        <v>12</v>
      </c>
      <c r="H106" s="9">
        <v>7014.9</v>
      </c>
      <c r="I106" t="s">
        <v>71</v>
      </c>
      <c r="J106" t="s">
        <v>7</v>
      </c>
      <c r="K106" t="s">
        <v>224</v>
      </c>
      <c r="L106" t="s">
        <v>225</v>
      </c>
      <c r="M106" t="s">
        <v>50</v>
      </c>
      <c r="N106" t="s">
        <v>5</v>
      </c>
      <c r="O106" t="str">
        <f t="shared" si="1"/>
        <v>FIMATEC</v>
      </c>
      <c r="P106" s="8">
        <v>45203</v>
      </c>
      <c r="Q106" t="s">
        <v>226</v>
      </c>
      <c r="R106" s="8">
        <v>45208</v>
      </c>
      <c r="S106" t="s">
        <v>227</v>
      </c>
      <c r="T106" t="s">
        <v>71</v>
      </c>
      <c r="U106" s="11">
        <v>0.12</v>
      </c>
      <c r="V106" t="s">
        <v>189</v>
      </c>
      <c r="W106" t="s">
        <v>189</v>
      </c>
      <c r="X106" t="s">
        <v>11</v>
      </c>
    </row>
    <row r="107" spans="1:24" x14ac:dyDescent="0.25">
      <c r="A107" t="s">
        <v>39</v>
      </c>
      <c r="B107" s="8">
        <v>45208</v>
      </c>
      <c r="C107" t="s">
        <v>223</v>
      </c>
      <c r="D107" t="s">
        <v>1</v>
      </c>
      <c r="E107" t="s">
        <v>2</v>
      </c>
      <c r="F107" t="s">
        <v>3</v>
      </c>
      <c r="G107" t="s">
        <v>4</v>
      </c>
      <c r="H107" s="9">
        <v>6629.08</v>
      </c>
      <c r="I107" t="s">
        <v>76</v>
      </c>
      <c r="J107" t="s">
        <v>7</v>
      </c>
      <c r="K107" t="s">
        <v>232</v>
      </c>
      <c r="L107" t="s">
        <v>233</v>
      </c>
      <c r="M107" t="s">
        <v>50</v>
      </c>
      <c r="N107" t="s">
        <v>8</v>
      </c>
      <c r="O107" t="str">
        <f t="shared" si="1"/>
        <v>FIMATEC</v>
      </c>
      <c r="P107" s="8">
        <v>45203</v>
      </c>
      <c r="Q107" t="s">
        <v>234</v>
      </c>
      <c r="R107" s="8">
        <v>45208</v>
      </c>
      <c r="S107" t="s">
        <v>235</v>
      </c>
      <c r="T107" t="s">
        <v>76</v>
      </c>
      <c r="U107" s="11">
        <v>0.63</v>
      </c>
      <c r="V107" t="s">
        <v>189</v>
      </c>
      <c r="W107" t="s">
        <v>189</v>
      </c>
      <c r="X107" t="s">
        <v>3</v>
      </c>
    </row>
    <row r="108" spans="1:24" x14ac:dyDescent="0.25">
      <c r="A108" t="s">
        <v>39</v>
      </c>
      <c r="B108" s="8">
        <v>45208</v>
      </c>
      <c r="C108" t="s">
        <v>223</v>
      </c>
      <c r="D108" t="s">
        <v>1</v>
      </c>
      <c r="E108" t="s">
        <v>2</v>
      </c>
      <c r="F108" t="s">
        <v>17</v>
      </c>
      <c r="G108" t="s">
        <v>18</v>
      </c>
      <c r="H108" s="9">
        <v>3297</v>
      </c>
      <c r="I108" t="s">
        <v>81</v>
      </c>
      <c r="J108" t="s">
        <v>7</v>
      </c>
      <c r="K108" t="s">
        <v>236</v>
      </c>
      <c r="L108" t="s">
        <v>237</v>
      </c>
      <c r="M108" t="s">
        <v>50</v>
      </c>
      <c r="N108" t="s">
        <v>8</v>
      </c>
      <c r="O108" t="str">
        <f t="shared" si="1"/>
        <v>FIMATEC</v>
      </c>
      <c r="P108" s="8">
        <v>45203</v>
      </c>
      <c r="Q108" t="s">
        <v>238</v>
      </c>
      <c r="R108" s="8">
        <v>45208</v>
      </c>
      <c r="S108" t="s">
        <v>239</v>
      </c>
      <c r="T108" t="s">
        <v>81</v>
      </c>
      <c r="U108" s="12">
        <v>1</v>
      </c>
      <c r="V108" t="s">
        <v>189</v>
      </c>
      <c r="W108" t="s">
        <v>189</v>
      </c>
      <c r="X108" t="s">
        <v>17</v>
      </c>
    </row>
    <row r="109" spans="1:24" x14ac:dyDescent="0.25">
      <c r="A109" t="s">
        <v>39</v>
      </c>
      <c r="B109" s="8">
        <v>45208</v>
      </c>
      <c r="C109" t="s">
        <v>223</v>
      </c>
      <c r="D109" t="s">
        <v>1</v>
      </c>
      <c r="E109" t="s">
        <v>2</v>
      </c>
      <c r="F109" t="s">
        <v>13</v>
      </c>
      <c r="G109" t="s">
        <v>14</v>
      </c>
      <c r="H109" s="9">
        <v>1928.75</v>
      </c>
      <c r="I109" t="s">
        <v>81</v>
      </c>
      <c r="J109" t="s">
        <v>7</v>
      </c>
      <c r="K109" t="s">
        <v>228</v>
      </c>
      <c r="L109" t="s">
        <v>229</v>
      </c>
      <c r="M109" t="s">
        <v>50</v>
      </c>
      <c r="N109" t="s">
        <v>6</v>
      </c>
      <c r="O109" t="str">
        <f t="shared" si="1"/>
        <v>FIMATEC</v>
      </c>
      <c r="P109" s="8">
        <v>45203</v>
      </c>
      <c r="Q109" t="s">
        <v>230</v>
      </c>
      <c r="R109" s="8">
        <v>45208</v>
      </c>
      <c r="S109" t="s">
        <v>231</v>
      </c>
      <c r="T109" t="s">
        <v>81</v>
      </c>
      <c r="U109" s="11">
        <v>0.13</v>
      </c>
      <c r="V109" t="s">
        <v>189</v>
      </c>
      <c r="W109" t="s">
        <v>189</v>
      </c>
      <c r="X109" t="s">
        <v>13</v>
      </c>
    </row>
    <row r="110" spans="1:24" x14ac:dyDescent="0.25">
      <c r="A110" t="s">
        <v>39</v>
      </c>
      <c r="B110" s="8">
        <v>45208</v>
      </c>
      <c r="C110" t="s">
        <v>223</v>
      </c>
      <c r="D110" t="s">
        <v>1</v>
      </c>
      <c r="E110" t="s">
        <v>2</v>
      </c>
      <c r="F110" t="s">
        <v>15</v>
      </c>
      <c r="G110" t="s">
        <v>16</v>
      </c>
      <c r="H110" s="9">
        <v>1780.38</v>
      </c>
      <c r="I110" t="s">
        <v>81</v>
      </c>
      <c r="J110" t="s">
        <v>7</v>
      </c>
      <c r="K110" t="s">
        <v>228</v>
      </c>
      <c r="L110" t="s">
        <v>229</v>
      </c>
      <c r="M110" t="s">
        <v>50</v>
      </c>
      <c r="N110" t="s">
        <v>0</v>
      </c>
      <c r="O110" t="str">
        <f t="shared" si="1"/>
        <v>FIMATEC</v>
      </c>
      <c r="P110" s="8">
        <v>45203</v>
      </c>
      <c r="Q110" t="s">
        <v>230</v>
      </c>
      <c r="R110" s="8">
        <v>45208</v>
      </c>
      <c r="S110" t="s">
        <v>231</v>
      </c>
      <c r="T110" t="s">
        <v>81</v>
      </c>
      <c r="U110" s="11">
        <v>0.12</v>
      </c>
      <c r="V110" t="s">
        <v>189</v>
      </c>
      <c r="W110" t="s">
        <v>189</v>
      </c>
      <c r="X110" t="s">
        <v>15</v>
      </c>
    </row>
    <row r="111" spans="1:24" x14ac:dyDescent="0.25">
      <c r="A111" t="s">
        <v>39</v>
      </c>
      <c r="B111" s="8">
        <v>45208</v>
      </c>
      <c r="C111" t="s">
        <v>223</v>
      </c>
      <c r="D111" t="s">
        <v>1</v>
      </c>
      <c r="E111" t="s">
        <v>2</v>
      </c>
      <c r="F111" t="s">
        <v>11</v>
      </c>
      <c r="G111" t="s">
        <v>12</v>
      </c>
      <c r="H111" s="9">
        <v>1780.38</v>
      </c>
      <c r="I111" t="s">
        <v>81</v>
      </c>
      <c r="J111" t="s">
        <v>7</v>
      </c>
      <c r="K111" t="s">
        <v>228</v>
      </c>
      <c r="L111" t="s">
        <v>229</v>
      </c>
      <c r="M111" t="s">
        <v>50</v>
      </c>
      <c r="N111" t="s">
        <v>5</v>
      </c>
      <c r="O111" t="str">
        <f t="shared" si="1"/>
        <v>FIMATEC</v>
      </c>
      <c r="P111" s="8">
        <v>45203</v>
      </c>
      <c r="Q111" t="s">
        <v>230</v>
      </c>
      <c r="R111" s="8">
        <v>45208</v>
      </c>
      <c r="S111" t="s">
        <v>231</v>
      </c>
      <c r="T111" t="s">
        <v>81</v>
      </c>
      <c r="U111" s="11">
        <v>0.12</v>
      </c>
      <c r="V111" t="s">
        <v>189</v>
      </c>
      <c r="W111" t="s">
        <v>189</v>
      </c>
      <c r="X111" t="s">
        <v>11</v>
      </c>
    </row>
    <row r="112" spans="1:24" x14ac:dyDescent="0.25">
      <c r="A112" t="s">
        <v>39</v>
      </c>
      <c r="B112" s="8">
        <v>45208</v>
      </c>
      <c r="C112" t="s">
        <v>223</v>
      </c>
      <c r="D112" t="s">
        <v>1</v>
      </c>
      <c r="E112" t="s">
        <v>2</v>
      </c>
      <c r="F112" t="s">
        <v>13</v>
      </c>
      <c r="G112" t="s">
        <v>14</v>
      </c>
      <c r="H112" s="9">
        <v>1367.9</v>
      </c>
      <c r="I112" t="s">
        <v>76</v>
      </c>
      <c r="J112" t="s">
        <v>7</v>
      </c>
      <c r="K112" t="s">
        <v>232</v>
      </c>
      <c r="L112" t="s">
        <v>233</v>
      </c>
      <c r="M112" t="s">
        <v>50</v>
      </c>
      <c r="N112" t="s">
        <v>6</v>
      </c>
      <c r="O112" t="str">
        <f t="shared" si="1"/>
        <v>FIMATEC</v>
      </c>
      <c r="P112" s="8">
        <v>45203</v>
      </c>
      <c r="Q112" t="s">
        <v>234</v>
      </c>
      <c r="R112" s="8">
        <v>45208</v>
      </c>
      <c r="S112" t="s">
        <v>235</v>
      </c>
      <c r="T112" t="s">
        <v>76</v>
      </c>
      <c r="U112" s="11">
        <v>0.13</v>
      </c>
      <c r="V112" t="s">
        <v>189</v>
      </c>
      <c r="W112" t="s">
        <v>189</v>
      </c>
      <c r="X112" t="s">
        <v>13</v>
      </c>
    </row>
    <row r="113" spans="1:24" x14ac:dyDescent="0.25">
      <c r="A113" t="s">
        <v>39</v>
      </c>
      <c r="B113" s="8">
        <v>45208</v>
      </c>
      <c r="C113" t="s">
        <v>223</v>
      </c>
      <c r="D113" t="s">
        <v>1</v>
      </c>
      <c r="E113" t="s">
        <v>2</v>
      </c>
      <c r="F113" t="s">
        <v>15</v>
      </c>
      <c r="G113" t="s">
        <v>16</v>
      </c>
      <c r="H113" s="9">
        <v>1262.68</v>
      </c>
      <c r="I113" t="s">
        <v>76</v>
      </c>
      <c r="J113" t="s">
        <v>7</v>
      </c>
      <c r="K113" t="s">
        <v>232</v>
      </c>
      <c r="L113" t="s">
        <v>233</v>
      </c>
      <c r="M113" t="s">
        <v>50</v>
      </c>
      <c r="N113" t="s">
        <v>0</v>
      </c>
      <c r="O113" t="str">
        <f t="shared" si="1"/>
        <v>FIMATEC</v>
      </c>
      <c r="P113" s="8">
        <v>45203</v>
      </c>
      <c r="Q113" t="s">
        <v>234</v>
      </c>
      <c r="R113" s="8">
        <v>45208</v>
      </c>
      <c r="S113" t="s">
        <v>235</v>
      </c>
      <c r="T113" t="s">
        <v>76</v>
      </c>
      <c r="U113" s="11">
        <v>0.12</v>
      </c>
      <c r="V113" t="s">
        <v>189</v>
      </c>
      <c r="W113" t="s">
        <v>189</v>
      </c>
      <c r="X113" t="s">
        <v>15</v>
      </c>
    </row>
    <row r="114" spans="1:24" x14ac:dyDescent="0.25">
      <c r="A114" t="s">
        <v>39</v>
      </c>
      <c r="B114" s="8">
        <v>45208</v>
      </c>
      <c r="C114" t="s">
        <v>223</v>
      </c>
      <c r="D114" t="s">
        <v>1</v>
      </c>
      <c r="E114" t="s">
        <v>2</v>
      </c>
      <c r="F114" t="s">
        <v>11</v>
      </c>
      <c r="G114" t="s">
        <v>12</v>
      </c>
      <c r="H114" s="9">
        <v>1262.68</v>
      </c>
      <c r="I114" t="s">
        <v>76</v>
      </c>
      <c r="J114" t="s">
        <v>7</v>
      </c>
      <c r="K114" t="s">
        <v>232</v>
      </c>
      <c r="L114" t="s">
        <v>233</v>
      </c>
      <c r="M114" t="s">
        <v>50</v>
      </c>
      <c r="N114" t="s">
        <v>5</v>
      </c>
      <c r="O114" t="str">
        <f t="shared" si="1"/>
        <v>FIMATEC</v>
      </c>
      <c r="P114" s="8">
        <v>45203</v>
      </c>
      <c r="Q114" t="s">
        <v>234</v>
      </c>
      <c r="R114" s="8">
        <v>45208</v>
      </c>
      <c r="S114" t="s">
        <v>235</v>
      </c>
      <c r="T114" t="s">
        <v>76</v>
      </c>
      <c r="U114" s="11">
        <v>0.12</v>
      </c>
      <c r="V114" t="s">
        <v>189</v>
      </c>
      <c r="W114" t="s">
        <v>189</v>
      </c>
      <c r="X114" t="s">
        <v>11</v>
      </c>
    </row>
    <row r="115" spans="1:24" x14ac:dyDescent="0.25">
      <c r="A115" t="s">
        <v>39</v>
      </c>
      <c r="B115" s="7">
        <v>45243</v>
      </c>
      <c r="C115" t="s">
        <v>240</v>
      </c>
      <c r="D115" t="s">
        <v>1</v>
      </c>
      <c r="E115" t="s">
        <v>2</v>
      </c>
      <c r="F115" t="s">
        <v>3</v>
      </c>
      <c r="G115" t="s">
        <v>4</v>
      </c>
      <c r="H115">
        <v>36828.26</v>
      </c>
      <c r="I115" t="s">
        <v>71</v>
      </c>
      <c r="J115" t="s">
        <v>7</v>
      </c>
      <c r="K115" t="s">
        <v>241</v>
      </c>
      <c r="L115" t="s">
        <v>242</v>
      </c>
      <c r="M115" t="s">
        <v>50</v>
      </c>
      <c r="N115" t="s">
        <v>8</v>
      </c>
      <c r="O115" t="str">
        <f t="shared" si="1"/>
        <v>FIMATEC</v>
      </c>
      <c r="P115">
        <v>45236</v>
      </c>
      <c r="Q115" t="s">
        <v>243</v>
      </c>
      <c r="R115" s="7">
        <v>45243</v>
      </c>
      <c r="S115" t="s">
        <v>244</v>
      </c>
      <c r="T115" t="s">
        <v>71</v>
      </c>
      <c r="U115">
        <v>0.63</v>
      </c>
      <c r="V115" t="s">
        <v>189</v>
      </c>
      <c r="W115" t="s">
        <v>189</v>
      </c>
      <c r="X115" t="s">
        <v>3</v>
      </c>
    </row>
    <row r="116" spans="1:24" x14ac:dyDescent="0.25">
      <c r="A116" t="s">
        <v>39</v>
      </c>
      <c r="B116" s="7">
        <v>45243</v>
      </c>
      <c r="C116" t="s">
        <v>240</v>
      </c>
      <c r="D116" t="s">
        <v>1</v>
      </c>
      <c r="E116" t="s">
        <v>2</v>
      </c>
      <c r="F116" t="s">
        <v>3</v>
      </c>
      <c r="G116" t="s">
        <v>4</v>
      </c>
      <c r="H116">
        <v>9346.99</v>
      </c>
      <c r="I116" t="s">
        <v>81</v>
      </c>
      <c r="J116" t="s">
        <v>7</v>
      </c>
      <c r="K116" t="s">
        <v>245</v>
      </c>
      <c r="L116" t="s">
        <v>246</v>
      </c>
      <c r="M116" t="s">
        <v>50</v>
      </c>
      <c r="N116" t="s">
        <v>8</v>
      </c>
      <c r="O116" t="str">
        <f t="shared" si="1"/>
        <v>FIMATEC</v>
      </c>
      <c r="P116">
        <v>45236</v>
      </c>
      <c r="Q116" t="s">
        <v>247</v>
      </c>
      <c r="R116" s="7">
        <v>45243</v>
      </c>
      <c r="S116" t="s">
        <v>248</v>
      </c>
      <c r="T116" t="s">
        <v>81</v>
      </c>
      <c r="U116">
        <v>0.63</v>
      </c>
      <c r="V116" t="s">
        <v>189</v>
      </c>
      <c r="W116" t="s">
        <v>189</v>
      </c>
      <c r="X116" t="s">
        <v>3</v>
      </c>
    </row>
    <row r="117" spans="1:24" x14ac:dyDescent="0.25">
      <c r="A117" t="s">
        <v>39</v>
      </c>
      <c r="B117" s="7">
        <v>45243</v>
      </c>
      <c r="C117" t="s">
        <v>240</v>
      </c>
      <c r="D117" t="s">
        <v>1</v>
      </c>
      <c r="E117" t="s">
        <v>2</v>
      </c>
      <c r="F117" t="s">
        <v>13</v>
      </c>
      <c r="G117" t="s">
        <v>14</v>
      </c>
      <c r="H117">
        <v>7599.48</v>
      </c>
      <c r="I117" t="s">
        <v>71</v>
      </c>
      <c r="J117" t="s">
        <v>7</v>
      </c>
      <c r="K117" t="s">
        <v>241</v>
      </c>
      <c r="L117" t="s">
        <v>242</v>
      </c>
      <c r="M117" t="s">
        <v>50</v>
      </c>
      <c r="N117" t="s">
        <v>6</v>
      </c>
      <c r="O117" t="str">
        <f t="shared" si="1"/>
        <v>FIMATEC</v>
      </c>
      <c r="P117">
        <v>45236</v>
      </c>
      <c r="Q117" t="s">
        <v>243</v>
      </c>
      <c r="R117" s="7">
        <v>45243</v>
      </c>
      <c r="S117" t="s">
        <v>244</v>
      </c>
      <c r="T117" t="s">
        <v>71</v>
      </c>
      <c r="U117">
        <v>0.13</v>
      </c>
      <c r="V117" t="s">
        <v>189</v>
      </c>
      <c r="W117" t="s">
        <v>189</v>
      </c>
      <c r="X117" t="s">
        <v>13</v>
      </c>
    </row>
    <row r="118" spans="1:24" x14ac:dyDescent="0.25">
      <c r="A118" t="s">
        <v>39</v>
      </c>
      <c r="B118" s="7">
        <v>45243</v>
      </c>
      <c r="C118" t="s">
        <v>240</v>
      </c>
      <c r="D118" t="s">
        <v>1</v>
      </c>
      <c r="E118" t="s">
        <v>2</v>
      </c>
      <c r="F118" t="s">
        <v>15</v>
      </c>
      <c r="G118" t="s">
        <v>16</v>
      </c>
      <c r="H118">
        <v>7014.9</v>
      </c>
      <c r="I118" t="s">
        <v>71</v>
      </c>
      <c r="J118" t="s">
        <v>7</v>
      </c>
      <c r="K118" t="s">
        <v>241</v>
      </c>
      <c r="L118" t="s">
        <v>242</v>
      </c>
      <c r="M118" t="s">
        <v>50</v>
      </c>
      <c r="N118" t="s">
        <v>0</v>
      </c>
      <c r="O118" t="str">
        <f t="shared" si="1"/>
        <v>FIMATEC</v>
      </c>
      <c r="P118">
        <v>45236</v>
      </c>
      <c r="Q118" t="s">
        <v>243</v>
      </c>
      <c r="R118" s="7">
        <v>45243</v>
      </c>
      <c r="S118" t="s">
        <v>244</v>
      </c>
      <c r="T118" t="s">
        <v>71</v>
      </c>
      <c r="U118">
        <v>0.12</v>
      </c>
      <c r="V118" t="s">
        <v>189</v>
      </c>
      <c r="W118" t="s">
        <v>189</v>
      </c>
      <c r="X118" t="s">
        <v>15</v>
      </c>
    </row>
    <row r="119" spans="1:24" x14ac:dyDescent="0.25">
      <c r="A119" t="s">
        <v>39</v>
      </c>
      <c r="B119" s="7">
        <v>45243</v>
      </c>
      <c r="C119" t="s">
        <v>240</v>
      </c>
      <c r="D119" t="s">
        <v>1</v>
      </c>
      <c r="E119" t="s">
        <v>2</v>
      </c>
      <c r="F119" t="s">
        <v>11</v>
      </c>
      <c r="G119" t="s">
        <v>12</v>
      </c>
      <c r="H119">
        <v>7014.9</v>
      </c>
      <c r="I119" t="s">
        <v>71</v>
      </c>
      <c r="J119" t="s">
        <v>7</v>
      </c>
      <c r="K119" t="s">
        <v>241</v>
      </c>
      <c r="L119" t="s">
        <v>242</v>
      </c>
      <c r="M119" t="s">
        <v>50</v>
      </c>
      <c r="N119" t="s">
        <v>5</v>
      </c>
      <c r="O119" t="str">
        <f t="shared" si="1"/>
        <v>FIMATEC</v>
      </c>
      <c r="P119">
        <v>45236</v>
      </c>
      <c r="Q119" t="s">
        <v>243</v>
      </c>
      <c r="R119" s="7">
        <v>45243</v>
      </c>
      <c r="S119" t="s">
        <v>244</v>
      </c>
      <c r="T119" t="s">
        <v>71</v>
      </c>
      <c r="U119">
        <v>0.12</v>
      </c>
      <c r="V119" t="s">
        <v>189</v>
      </c>
      <c r="W119" t="s">
        <v>189</v>
      </c>
      <c r="X119" t="s">
        <v>11</v>
      </c>
    </row>
    <row r="120" spans="1:24" x14ac:dyDescent="0.25">
      <c r="A120" t="s">
        <v>39</v>
      </c>
      <c r="B120" s="7">
        <v>45243</v>
      </c>
      <c r="C120" t="s">
        <v>240</v>
      </c>
      <c r="D120" t="s">
        <v>1</v>
      </c>
      <c r="E120" t="s">
        <v>2</v>
      </c>
      <c r="F120" t="s">
        <v>3</v>
      </c>
      <c r="G120" t="s">
        <v>4</v>
      </c>
      <c r="H120">
        <v>6629.08</v>
      </c>
      <c r="I120" t="s">
        <v>76</v>
      </c>
      <c r="J120" t="s">
        <v>7</v>
      </c>
      <c r="K120" t="s">
        <v>249</v>
      </c>
      <c r="L120" t="s">
        <v>250</v>
      </c>
      <c r="M120" t="s">
        <v>50</v>
      </c>
      <c r="N120" t="s">
        <v>8</v>
      </c>
      <c r="O120" t="str">
        <f t="shared" si="1"/>
        <v>FIMATEC</v>
      </c>
      <c r="P120">
        <v>45236</v>
      </c>
      <c r="Q120" t="s">
        <v>251</v>
      </c>
      <c r="R120" s="7">
        <v>45243</v>
      </c>
      <c r="S120" t="s">
        <v>252</v>
      </c>
      <c r="T120" t="s">
        <v>76</v>
      </c>
      <c r="U120">
        <v>0.63</v>
      </c>
      <c r="V120" t="s">
        <v>189</v>
      </c>
      <c r="W120" t="s">
        <v>189</v>
      </c>
      <c r="X120" t="s">
        <v>3</v>
      </c>
    </row>
    <row r="121" spans="1:24" x14ac:dyDescent="0.25">
      <c r="A121" t="s">
        <v>39</v>
      </c>
      <c r="B121" s="7">
        <v>45243</v>
      </c>
      <c r="C121" t="s">
        <v>240</v>
      </c>
      <c r="D121" t="s">
        <v>1</v>
      </c>
      <c r="E121" t="s">
        <v>2</v>
      </c>
      <c r="F121" t="s">
        <v>17</v>
      </c>
      <c r="G121" t="s">
        <v>18</v>
      </c>
      <c r="H121">
        <v>3297</v>
      </c>
      <c r="I121" t="s">
        <v>81</v>
      </c>
      <c r="J121" t="s">
        <v>7</v>
      </c>
      <c r="K121" t="s">
        <v>253</v>
      </c>
      <c r="L121" t="s">
        <v>254</v>
      </c>
      <c r="M121" t="s">
        <v>50</v>
      </c>
      <c r="N121" t="s">
        <v>8</v>
      </c>
      <c r="O121" t="str">
        <f t="shared" si="1"/>
        <v>FIMATEC</v>
      </c>
      <c r="P121">
        <v>45236</v>
      </c>
      <c r="Q121" t="s">
        <v>255</v>
      </c>
      <c r="R121" s="7">
        <v>45243</v>
      </c>
      <c r="S121" t="s">
        <v>256</v>
      </c>
      <c r="T121" t="s">
        <v>81</v>
      </c>
      <c r="U121">
        <v>1</v>
      </c>
      <c r="V121" t="s">
        <v>189</v>
      </c>
      <c r="W121" t="s">
        <v>189</v>
      </c>
      <c r="X121" t="s">
        <v>17</v>
      </c>
    </row>
    <row r="122" spans="1:24" x14ac:dyDescent="0.25">
      <c r="A122" t="s">
        <v>39</v>
      </c>
      <c r="B122" s="7">
        <v>45243</v>
      </c>
      <c r="C122" t="s">
        <v>240</v>
      </c>
      <c r="D122" t="s">
        <v>1</v>
      </c>
      <c r="E122" t="s">
        <v>2</v>
      </c>
      <c r="F122" t="s">
        <v>13</v>
      </c>
      <c r="G122" t="s">
        <v>14</v>
      </c>
      <c r="H122">
        <v>1928.75</v>
      </c>
      <c r="I122" t="s">
        <v>81</v>
      </c>
      <c r="J122" t="s">
        <v>7</v>
      </c>
      <c r="K122" t="s">
        <v>245</v>
      </c>
      <c r="L122" t="s">
        <v>246</v>
      </c>
      <c r="M122" t="s">
        <v>50</v>
      </c>
      <c r="N122" t="s">
        <v>6</v>
      </c>
      <c r="O122" t="str">
        <f t="shared" si="1"/>
        <v>FIMATEC</v>
      </c>
      <c r="P122">
        <v>45236</v>
      </c>
      <c r="Q122" t="s">
        <v>247</v>
      </c>
      <c r="R122" s="7">
        <v>45243</v>
      </c>
      <c r="S122" t="s">
        <v>248</v>
      </c>
      <c r="T122" t="s">
        <v>81</v>
      </c>
      <c r="U122">
        <v>0.13</v>
      </c>
      <c r="V122" t="s">
        <v>189</v>
      </c>
      <c r="W122" t="s">
        <v>189</v>
      </c>
      <c r="X122" t="s">
        <v>13</v>
      </c>
    </row>
    <row r="123" spans="1:24" x14ac:dyDescent="0.25">
      <c r="A123" t="s">
        <v>39</v>
      </c>
      <c r="B123" s="7">
        <v>45243</v>
      </c>
      <c r="C123" t="s">
        <v>240</v>
      </c>
      <c r="D123" t="s">
        <v>1</v>
      </c>
      <c r="E123" t="s">
        <v>2</v>
      </c>
      <c r="F123" t="s">
        <v>15</v>
      </c>
      <c r="G123" t="s">
        <v>16</v>
      </c>
      <c r="H123">
        <v>1780.38</v>
      </c>
      <c r="I123" t="s">
        <v>81</v>
      </c>
      <c r="J123" t="s">
        <v>7</v>
      </c>
      <c r="K123" t="s">
        <v>245</v>
      </c>
      <c r="L123" t="s">
        <v>246</v>
      </c>
      <c r="M123" t="s">
        <v>50</v>
      </c>
      <c r="N123" t="s">
        <v>0</v>
      </c>
      <c r="O123" t="str">
        <f t="shared" si="1"/>
        <v>FIMATEC</v>
      </c>
      <c r="P123">
        <v>45236</v>
      </c>
      <c r="Q123" t="s">
        <v>247</v>
      </c>
      <c r="R123" s="7">
        <v>45243</v>
      </c>
      <c r="S123" t="s">
        <v>248</v>
      </c>
      <c r="T123" t="s">
        <v>81</v>
      </c>
      <c r="U123">
        <v>0.12</v>
      </c>
      <c r="V123" t="s">
        <v>189</v>
      </c>
      <c r="W123" t="s">
        <v>189</v>
      </c>
      <c r="X123" t="s">
        <v>15</v>
      </c>
    </row>
    <row r="124" spans="1:24" x14ac:dyDescent="0.25">
      <c r="A124" t="s">
        <v>39</v>
      </c>
      <c r="B124" s="7">
        <v>45243</v>
      </c>
      <c r="C124" t="s">
        <v>240</v>
      </c>
      <c r="D124" t="s">
        <v>1</v>
      </c>
      <c r="E124" t="s">
        <v>2</v>
      </c>
      <c r="F124" t="s">
        <v>11</v>
      </c>
      <c r="G124" t="s">
        <v>12</v>
      </c>
      <c r="H124">
        <v>1780.38</v>
      </c>
      <c r="I124" t="s">
        <v>81</v>
      </c>
      <c r="J124" t="s">
        <v>7</v>
      </c>
      <c r="K124" t="s">
        <v>245</v>
      </c>
      <c r="L124" t="s">
        <v>246</v>
      </c>
      <c r="M124" t="s">
        <v>50</v>
      </c>
      <c r="N124" t="s">
        <v>5</v>
      </c>
      <c r="O124" t="str">
        <f t="shared" si="1"/>
        <v>FIMATEC</v>
      </c>
      <c r="P124">
        <v>45236</v>
      </c>
      <c r="Q124" t="s">
        <v>247</v>
      </c>
      <c r="R124" s="7">
        <v>45243</v>
      </c>
      <c r="S124" t="s">
        <v>248</v>
      </c>
      <c r="T124" t="s">
        <v>81</v>
      </c>
      <c r="U124">
        <v>0.12</v>
      </c>
      <c r="V124" t="s">
        <v>189</v>
      </c>
      <c r="W124" t="s">
        <v>189</v>
      </c>
      <c r="X124" t="s">
        <v>11</v>
      </c>
    </row>
    <row r="125" spans="1:24" x14ac:dyDescent="0.25">
      <c r="A125" t="s">
        <v>39</v>
      </c>
      <c r="B125" s="7">
        <v>45243</v>
      </c>
      <c r="C125" t="s">
        <v>240</v>
      </c>
      <c r="D125" t="s">
        <v>1</v>
      </c>
      <c r="E125" t="s">
        <v>2</v>
      </c>
      <c r="F125" t="s">
        <v>13</v>
      </c>
      <c r="G125" t="s">
        <v>14</v>
      </c>
      <c r="H125">
        <v>1367.9</v>
      </c>
      <c r="I125" t="s">
        <v>76</v>
      </c>
      <c r="J125" t="s">
        <v>7</v>
      </c>
      <c r="K125" t="s">
        <v>249</v>
      </c>
      <c r="L125" t="s">
        <v>250</v>
      </c>
      <c r="M125" t="s">
        <v>50</v>
      </c>
      <c r="N125" t="s">
        <v>6</v>
      </c>
      <c r="O125" t="str">
        <f t="shared" si="1"/>
        <v>FIMATEC</v>
      </c>
      <c r="P125">
        <v>45236</v>
      </c>
      <c r="Q125" t="s">
        <v>251</v>
      </c>
      <c r="R125" s="7">
        <v>45243</v>
      </c>
      <c r="S125" t="s">
        <v>252</v>
      </c>
      <c r="T125" t="s">
        <v>76</v>
      </c>
      <c r="U125">
        <v>0.13</v>
      </c>
      <c r="V125" t="s">
        <v>189</v>
      </c>
      <c r="W125" t="s">
        <v>189</v>
      </c>
      <c r="X125" t="s">
        <v>13</v>
      </c>
    </row>
    <row r="126" spans="1:24" x14ac:dyDescent="0.25">
      <c r="A126" t="s">
        <v>39</v>
      </c>
      <c r="B126" s="7">
        <v>45243</v>
      </c>
      <c r="C126" t="s">
        <v>240</v>
      </c>
      <c r="D126" t="s">
        <v>1</v>
      </c>
      <c r="E126" t="s">
        <v>2</v>
      </c>
      <c r="F126" t="s">
        <v>15</v>
      </c>
      <c r="G126" t="s">
        <v>16</v>
      </c>
      <c r="H126">
        <v>1262.68</v>
      </c>
      <c r="I126" t="s">
        <v>76</v>
      </c>
      <c r="J126" t="s">
        <v>7</v>
      </c>
      <c r="K126" t="s">
        <v>249</v>
      </c>
      <c r="L126" t="s">
        <v>250</v>
      </c>
      <c r="M126" t="s">
        <v>50</v>
      </c>
      <c r="N126" t="s">
        <v>0</v>
      </c>
      <c r="O126" t="str">
        <f t="shared" si="1"/>
        <v>FIMATEC</v>
      </c>
      <c r="P126">
        <v>45236</v>
      </c>
      <c r="Q126" t="s">
        <v>251</v>
      </c>
      <c r="R126" s="7">
        <v>45243</v>
      </c>
      <c r="S126" t="s">
        <v>252</v>
      </c>
      <c r="T126" t="s">
        <v>76</v>
      </c>
      <c r="U126">
        <v>0.12</v>
      </c>
      <c r="V126" t="s">
        <v>189</v>
      </c>
      <c r="W126" t="s">
        <v>189</v>
      </c>
      <c r="X126" t="s">
        <v>15</v>
      </c>
    </row>
    <row r="127" spans="1:24" x14ac:dyDescent="0.25">
      <c r="A127" t="s">
        <v>39</v>
      </c>
      <c r="B127" s="7">
        <v>45243</v>
      </c>
      <c r="C127" t="s">
        <v>240</v>
      </c>
      <c r="D127" t="s">
        <v>1</v>
      </c>
      <c r="E127" t="s">
        <v>2</v>
      </c>
      <c r="F127" t="s">
        <v>11</v>
      </c>
      <c r="G127" t="s">
        <v>12</v>
      </c>
      <c r="H127">
        <v>1262.68</v>
      </c>
      <c r="I127" t="s">
        <v>76</v>
      </c>
      <c r="J127" t="s">
        <v>7</v>
      </c>
      <c r="K127" t="s">
        <v>249</v>
      </c>
      <c r="L127" t="s">
        <v>250</v>
      </c>
      <c r="M127" t="s">
        <v>50</v>
      </c>
      <c r="N127" t="s">
        <v>5</v>
      </c>
      <c r="O127" t="str">
        <f t="shared" si="1"/>
        <v>FIMATEC</v>
      </c>
      <c r="P127">
        <v>45236</v>
      </c>
      <c r="Q127" t="s">
        <v>251</v>
      </c>
      <c r="R127" s="7">
        <v>45243</v>
      </c>
      <c r="S127" t="s">
        <v>252</v>
      </c>
      <c r="T127" t="s">
        <v>76</v>
      </c>
      <c r="U127">
        <v>0.12</v>
      </c>
      <c r="V127" t="s">
        <v>189</v>
      </c>
      <c r="W127" t="s">
        <v>189</v>
      </c>
      <c r="X127" t="s">
        <v>11</v>
      </c>
    </row>
    <row r="128" spans="1:24" x14ac:dyDescent="0.25">
      <c r="A128" t="s">
        <v>39</v>
      </c>
      <c r="B128" s="7">
        <v>45251</v>
      </c>
      <c r="C128" t="s">
        <v>240</v>
      </c>
      <c r="D128" t="s">
        <v>1</v>
      </c>
      <c r="E128" t="s">
        <v>2</v>
      </c>
      <c r="F128" t="s">
        <v>3</v>
      </c>
      <c r="G128" t="s">
        <v>4</v>
      </c>
      <c r="H128">
        <v>320</v>
      </c>
      <c r="I128" t="s">
        <v>257</v>
      </c>
      <c r="J128" t="s">
        <v>7</v>
      </c>
      <c r="K128" t="s">
        <v>258</v>
      </c>
      <c r="L128" t="s">
        <v>259</v>
      </c>
      <c r="M128" t="s">
        <v>260</v>
      </c>
      <c r="N128" t="s">
        <v>8</v>
      </c>
      <c r="O128" t="str">
        <f t="shared" si="1"/>
        <v>FIMATEC</v>
      </c>
      <c r="P128">
        <v>45238</v>
      </c>
      <c r="Q128" t="s">
        <v>261</v>
      </c>
      <c r="R128" s="7">
        <v>45251</v>
      </c>
      <c r="S128" t="s">
        <v>262</v>
      </c>
      <c r="T128" t="s">
        <v>115</v>
      </c>
      <c r="U128">
        <v>1</v>
      </c>
      <c r="V128" t="s">
        <v>189</v>
      </c>
      <c r="W128" t="s">
        <v>189</v>
      </c>
      <c r="X128" t="s">
        <v>3</v>
      </c>
    </row>
    <row r="129" spans="1:24" x14ac:dyDescent="0.25">
      <c r="A129" t="s">
        <v>39</v>
      </c>
      <c r="B129" s="7">
        <v>45251</v>
      </c>
      <c r="C129" t="s">
        <v>240</v>
      </c>
      <c r="D129" t="s">
        <v>1</v>
      </c>
      <c r="E129" t="s">
        <v>2</v>
      </c>
      <c r="F129" t="s">
        <v>3</v>
      </c>
      <c r="G129" t="s">
        <v>4</v>
      </c>
      <c r="H129">
        <v>320</v>
      </c>
      <c r="I129" t="s">
        <v>257</v>
      </c>
      <c r="J129" t="s">
        <v>7</v>
      </c>
      <c r="K129" t="s">
        <v>258</v>
      </c>
      <c r="L129" t="s">
        <v>263</v>
      </c>
      <c r="M129" t="s">
        <v>260</v>
      </c>
      <c r="N129" t="s">
        <v>8</v>
      </c>
      <c r="O129" t="str">
        <f t="shared" si="1"/>
        <v>FIMATEC</v>
      </c>
      <c r="P129">
        <v>45238</v>
      </c>
      <c r="Q129" t="s">
        <v>264</v>
      </c>
      <c r="R129" s="7">
        <v>45251</v>
      </c>
      <c r="S129" t="s">
        <v>265</v>
      </c>
      <c r="T129" t="s">
        <v>115</v>
      </c>
      <c r="U129">
        <v>1</v>
      </c>
      <c r="V129" t="s">
        <v>189</v>
      </c>
      <c r="W129" t="s">
        <v>189</v>
      </c>
      <c r="X129" t="s">
        <v>3</v>
      </c>
    </row>
    <row r="130" spans="1:24" x14ac:dyDescent="0.25">
      <c r="A130" t="s">
        <v>39</v>
      </c>
      <c r="B130" s="7">
        <v>45251</v>
      </c>
      <c r="C130" t="s">
        <v>240</v>
      </c>
      <c r="D130" t="s">
        <v>1</v>
      </c>
      <c r="E130" t="s">
        <v>2</v>
      </c>
      <c r="F130" t="s">
        <v>3</v>
      </c>
      <c r="G130" t="s">
        <v>4</v>
      </c>
      <c r="H130">
        <v>-320</v>
      </c>
      <c r="I130" t="s">
        <v>115</v>
      </c>
      <c r="J130" t="s">
        <v>7</v>
      </c>
      <c r="K130" t="s">
        <v>258</v>
      </c>
      <c r="L130" t="s">
        <v>266</v>
      </c>
      <c r="M130" t="s">
        <v>260</v>
      </c>
      <c r="N130" t="s">
        <v>8</v>
      </c>
      <c r="O130" t="str">
        <f t="shared" ref="O130:O193" si="2">LEFT(J130,7)</f>
        <v>FIMATEC</v>
      </c>
      <c r="P130">
        <v>45238</v>
      </c>
      <c r="Q130" t="s">
        <v>267</v>
      </c>
      <c r="R130" s="7">
        <v>45251</v>
      </c>
      <c r="S130" t="s">
        <v>262</v>
      </c>
      <c r="T130" t="s">
        <v>115</v>
      </c>
      <c r="U130">
        <v>-1</v>
      </c>
      <c r="V130" t="s">
        <v>189</v>
      </c>
      <c r="W130" t="s">
        <v>189</v>
      </c>
      <c r="X130" t="s">
        <v>3</v>
      </c>
    </row>
    <row r="131" spans="1:24" x14ac:dyDescent="0.25">
      <c r="A131" t="s">
        <v>39</v>
      </c>
      <c r="B131" s="7">
        <v>45252</v>
      </c>
      <c r="C131" t="s">
        <v>240</v>
      </c>
      <c r="D131" t="s">
        <v>1</v>
      </c>
      <c r="E131" t="s">
        <v>2</v>
      </c>
      <c r="F131" t="s">
        <v>3</v>
      </c>
      <c r="G131" t="s">
        <v>4</v>
      </c>
      <c r="H131">
        <v>320</v>
      </c>
      <c r="I131" t="s">
        <v>268</v>
      </c>
      <c r="J131" t="s">
        <v>7</v>
      </c>
      <c r="K131" t="s">
        <v>269</v>
      </c>
      <c r="L131" t="s">
        <v>270</v>
      </c>
      <c r="M131" t="s">
        <v>50</v>
      </c>
      <c r="N131" t="s">
        <v>8</v>
      </c>
      <c r="O131" t="str">
        <f t="shared" si="2"/>
        <v>FIMATEC</v>
      </c>
      <c r="P131">
        <v>45239</v>
      </c>
      <c r="Q131" t="s">
        <v>271</v>
      </c>
      <c r="R131" s="7">
        <v>45252</v>
      </c>
      <c r="S131" t="s">
        <v>272</v>
      </c>
      <c r="T131" t="s">
        <v>115</v>
      </c>
      <c r="U131">
        <v>1</v>
      </c>
      <c r="V131" t="s">
        <v>189</v>
      </c>
      <c r="W131" t="s">
        <v>189</v>
      </c>
      <c r="X131" t="s">
        <v>3</v>
      </c>
    </row>
    <row r="132" spans="1:24" x14ac:dyDescent="0.25">
      <c r="A132" t="s">
        <v>39</v>
      </c>
      <c r="B132" s="7">
        <v>45259</v>
      </c>
      <c r="C132" t="s">
        <v>240</v>
      </c>
      <c r="D132" t="s">
        <v>1</v>
      </c>
      <c r="E132" t="s">
        <v>2</v>
      </c>
      <c r="F132" t="s">
        <v>3</v>
      </c>
      <c r="G132" t="s">
        <v>4</v>
      </c>
      <c r="H132">
        <v>1500</v>
      </c>
      <c r="I132" t="s">
        <v>273</v>
      </c>
      <c r="J132" t="s">
        <v>7</v>
      </c>
      <c r="K132" t="s">
        <v>274</v>
      </c>
      <c r="L132" t="s">
        <v>275</v>
      </c>
      <c r="M132" t="s">
        <v>260</v>
      </c>
      <c r="N132" t="s">
        <v>8</v>
      </c>
      <c r="O132" t="str">
        <f t="shared" si="2"/>
        <v>FIMATEC</v>
      </c>
      <c r="P132">
        <v>45240</v>
      </c>
      <c r="Q132" t="s">
        <v>276</v>
      </c>
      <c r="R132" s="7">
        <v>45259</v>
      </c>
      <c r="S132" t="s">
        <v>277</v>
      </c>
      <c r="T132" t="s">
        <v>115</v>
      </c>
      <c r="U132">
        <v>1</v>
      </c>
      <c r="V132" t="s">
        <v>189</v>
      </c>
      <c r="W132" t="s">
        <v>189</v>
      </c>
      <c r="X132" t="s">
        <v>3</v>
      </c>
    </row>
    <row r="133" spans="1:24" x14ac:dyDescent="0.25">
      <c r="A133" t="s">
        <v>39</v>
      </c>
      <c r="B133" s="7">
        <v>45259</v>
      </c>
      <c r="C133" t="s">
        <v>240</v>
      </c>
      <c r="D133" t="s">
        <v>1</v>
      </c>
      <c r="E133" t="s">
        <v>2</v>
      </c>
      <c r="F133" t="s">
        <v>3</v>
      </c>
      <c r="G133" t="s">
        <v>4</v>
      </c>
      <c r="H133">
        <v>1489</v>
      </c>
      <c r="I133" t="s">
        <v>278</v>
      </c>
      <c r="J133" t="s">
        <v>7</v>
      </c>
      <c r="K133" t="s">
        <v>279</v>
      </c>
      <c r="L133" t="s">
        <v>280</v>
      </c>
      <c r="M133" t="s">
        <v>260</v>
      </c>
      <c r="N133" t="s">
        <v>8</v>
      </c>
      <c r="O133" t="str">
        <f t="shared" si="2"/>
        <v>FIMATEC</v>
      </c>
      <c r="P133">
        <v>45240</v>
      </c>
      <c r="Q133" t="s">
        <v>281</v>
      </c>
      <c r="R133" s="7">
        <v>45259</v>
      </c>
      <c r="S133" t="s">
        <v>282</v>
      </c>
      <c r="T133" t="s">
        <v>115</v>
      </c>
      <c r="U133">
        <v>1</v>
      </c>
      <c r="V133" t="s">
        <v>189</v>
      </c>
      <c r="W133" t="s">
        <v>189</v>
      </c>
      <c r="X133" t="s">
        <v>3</v>
      </c>
    </row>
    <row r="134" spans="1:24" x14ac:dyDescent="0.25">
      <c r="A134" t="s">
        <v>39</v>
      </c>
      <c r="B134" s="8">
        <v>45280</v>
      </c>
      <c r="C134" t="s">
        <v>283</v>
      </c>
      <c r="D134" t="s">
        <v>1</v>
      </c>
      <c r="E134" t="s">
        <v>2</v>
      </c>
      <c r="F134" t="s">
        <v>3</v>
      </c>
      <c r="G134" t="s">
        <v>4</v>
      </c>
      <c r="H134" s="9">
        <v>10299.73</v>
      </c>
      <c r="I134" t="s">
        <v>81</v>
      </c>
      <c r="J134" t="s">
        <v>7</v>
      </c>
      <c r="K134" t="s">
        <v>284</v>
      </c>
      <c r="L134" t="s">
        <v>285</v>
      </c>
      <c r="M134" t="s">
        <v>286</v>
      </c>
      <c r="N134" t="s">
        <v>8</v>
      </c>
      <c r="O134" t="str">
        <f t="shared" si="2"/>
        <v>FIMATEC</v>
      </c>
      <c r="P134" s="8">
        <v>45273</v>
      </c>
      <c r="Q134" t="s">
        <v>287</v>
      </c>
      <c r="R134" s="8">
        <v>45280</v>
      </c>
      <c r="S134" t="s">
        <v>288</v>
      </c>
      <c r="T134" t="s">
        <v>81</v>
      </c>
      <c r="U134" s="11">
        <v>0.63</v>
      </c>
      <c r="V134" t="s">
        <v>189</v>
      </c>
      <c r="W134" t="s">
        <v>189</v>
      </c>
      <c r="X134" t="s">
        <v>3</v>
      </c>
    </row>
    <row r="135" spans="1:24" x14ac:dyDescent="0.25">
      <c r="A135" t="s">
        <v>39</v>
      </c>
      <c r="B135" s="8">
        <v>45280</v>
      </c>
      <c r="C135" t="s">
        <v>283</v>
      </c>
      <c r="D135" t="s">
        <v>1</v>
      </c>
      <c r="E135" t="s">
        <v>2</v>
      </c>
      <c r="F135" t="s">
        <v>3</v>
      </c>
      <c r="G135" t="s">
        <v>4</v>
      </c>
      <c r="H135" s="9">
        <v>7304.77</v>
      </c>
      <c r="I135" t="s">
        <v>76</v>
      </c>
      <c r="J135" t="s">
        <v>7</v>
      </c>
      <c r="K135" t="s">
        <v>289</v>
      </c>
      <c r="L135" t="s">
        <v>290</v>
      </c>
      <c r="M135" t="s">
        <v>286</v>
      </c>
      <c r="N135" t="s">
        <v>8</v>
      </c>
      <c r="O135" t="str">
        <f t="shared" si="2"/>
        <v>FIMATEC</v>
      </c>
      <c r="P135" s="8">
        <v>45273</v>
      </c>
      <c r="Q135" t="s">
        <v>291</v>
      </c>
      <c r="R135" s="8">
        <v>45280</v>
      </c>
      <c r="S135" t="s">
        <v>292</v>
      </c>
      <c r="T135" t="s">
        <v>76</v>
      </c>
      <c r="U135" s="11">
        <v>0.63</v>
      </c>
      <c r="V135" t="s">
        <v>189</v>
      </c>
      <c r="W135" t="s">
        <v>189</v>
      </c>
      <c r="X135" t="s">
        <v>3</v>
      </c>
    </row>
    <row r="136" spans="1:24" x14ac:dyDescent="0.25">
      <c r="A136" t="s">
        <v>39</v>
      </c>
      <c r="B136" s="8">
        <v>45280</v>
      </c>
      <c r="C136" t="s">
        <v>283</v>
      </c>
      <c r="D136" t="s">
        <v>1</v>
      </c>
      <c r="E136" t="s">
        <v>2</v>
      </c>
      <c r="F136" t="s">
        <v>17</v>
      </c>
      <c r="G136" t="s">
        <v>18</v>
      </c>
      <c r="H136" s="9">
        <v>3633.06</v>
      </c>
      <c r="I136" t="s">
        <v>81</v>
      </c>
      <c r="J136" t="s">
        <v>7</v>
      </c>
      <c r="K136" t="s">
        <v>293</v>
      </c>
      <c r="L136" t="s">
        <v>294</v>
      </c>
      <c r="M136" t="s">
        <v>286</v>
      </c>
      <c r="N136" t="s">
        <v>8</v>
      </c>
      <c r="O136" t="str">
        <f t="shared" si="2"/>
        <v>FIMATEC</v>
      </c>
      <c r="P136" s="8">
        <v>45273</v>
      </c>
      <c r="Q136" t="s">
        <v>295</v>
      </c>
      <c r="R136" s="8">
        <v>45280</v>
      </c>
      <c r="S136" t="s">
        <v>296</v>
      </c>
      <c r="T136" t="s">
        <v>81</v>
      </c>
      <c r="U136" s="12">
        <v>1</v>
      </c>
      <c r="V136" t="s">
        <v>189</v>
      </c>
      <c r="W136" t="s">
        <v>189</v>
      </c>
      <c r="X136" t="s">
        <v>17</v>
      </c>
    </row>
    <row r="137" spans="1:24" x14ac:dyDescent="0.25">
      <c r="A137" t="s">
        <v>39</v>
      </c>
      <c r="B137" s="8">
        <v>45280</v>
      </c>
      <c r="C137" t="s">
        <v>283</v>
      </c>
      <c r="D137" t="s">
        <v>1</v>
      </c>
      <c r="E137" t="s">
        <v>2</v>
      </c>
      <c r="F137" t="s">
        <v>13</v>
      </c>
      <c r="G137" t="s">
        <v>14</v>
      </c>
      <c r="H137" s="9">
        <v>2125.34</v>
      </c>
      <c r="I137" t="s">
        <v>81</v>
      </c>
      <c r="J137" t="s">
        <v>7</v>
      </c>
      <c r="K137" t="s">
        <v>284</v>
      </c>
      <c r="L137" t="s">
        <v>285</v>
      </c>
      <c r="M137" t="s">
        <v>286</v>
      </c>
      <c r="N137" t="s">
        <v>6</v>
      </c>
      <c r="O137" t="str">
        <f t="shared" si="2"/>
        <v>FIMATEC</v>
      </c>
      <c r="P137" s="8">
        <v>45273</v>
      </c>
      <c r="Q137" t="s">
        <v>287</v>
      </c>
      <c r="R137" s="8">
        <v>45280</v>
      </c>
      <c r="S137" t="s">
        <v>288</v>
      </c>
      <c r="T137" t="s">
        <v>81</v>
      </c>
      <c r="U137" s="11">
        <v>0.13</v>
      </c>
      <c r="V137" t="s">
        <v>189</v>
      </c>
      <c r="W137" t="s">
        <v>189</v>
      </c>
      <c r="X137" t="s">
        <v>13</v>
      </c>
    </row>
    <row r="138" spans="1:24" x14ac:dyDescent="0.25">
      <c r="A138" t="s">
        <v>39</v>
      </c>
      <c r="B138" s="8">
        <v>45280</v>
      </c>
      <c r="C138" t="s">
        <v>283</v>
      </c>
      <c r="D138" t="s">
        <v>1</v>
      </c>
      <c r="E138" t="s">
        <v>2</v>
      </c>
      <c r="F138" t="s">
        <v>15</v>
      </c>
      <c r="G138" t="s">
        <v>16</v>
      </c>
      <c r="H138" s="9">
        <v>1961.85</v>
      </c>
      <c r="I138" t="s">
        <v>81</v>
      </c>
      <c r="J138" t="s">
        <v>7</v>
      </c>
      <c r="K138" t="s">
        <v>284</v>
      </c>
      <c r="L138" t="s">
        <v>285</v>
      </c>
      <c r="M138" t="s">
        <v>286</v>
      </c>
      <c r="N138" t="s">
        <v>0</v>
      </c>
      <c r="O138" t="str">
        <f t="shared" si="2"/>
        <v>FIMATEC</v>
      </c>
      <c r="P138" s="8">
        <v>45273</v>
      </c>
      <c r="Q138" t="s">
        <v>287</v>
      </c>
      <c r="R138" s="8">
        <v>45280</v>
      </c>
      <c r="S138" t="s">
        <v>288</v>
      </c>
      <c r="T138" t="s">
        <v>81</v>
      </c>
      <c r="U138" s="11">
        <v>0.12</v>
      </c>
      <c r="V138" t="s">
        <v>189</v>
      </c>
      <c r="W138" t="s">
        <v>189</v>
      </c>
      <c r="X138" t="s">
        <v>15</v>
      </c>
    </row>
    <row r="139" spans="1:24" x14ac:dyDescent="0.25">
      <c r="A139" t="s">
        <v>39</v>
      </c>
      <c r="B139" s="8">
        <v>45280</v>
      </c>
      <c r="C139" t="s">
        <v>283</v>
      </c>
      <c r="D139" t="s">
        <v>1</v>
      </c>
      <c r="E139" t="s">
        <v>2</v>
      </c>
      <c r="F139" t="s">
        <v>11</v>
      </c>
      <c r="G139" t="s">
        <v>12</v>
      </c>
      <c r="H139" s="9">
        <v>1961.85</v>
      </c>
      <c r="I139" t="s">
        <v>81</v>
      </c>
      <c r="J139" t="s">
        <v>7</v>
      </c>
      <c r="K139" t="s">
        <v>284</v>
      </c>
      <c r="L139" t="s">
        <v>285</v>
      </c>
      <c r="M139" t="s">
        <v>286</v>
      </c>
      <c r="N139" t="s">
        <v>5</v>
      </c>
      <c r="O139" t="str">
        <f t="shared" si="2"/>
        <v>FIMATEC</v>
      </c>
      <c r="P139" s="8">
        <v>45273</v>
      </c>
      <c r="Q139" t="s">
        <v>287</v>
      </c>
      <c r="R139" s="8">
        <v>45280</v>
      </c>
      <c r="S139" t="s">
        <v>288</v>
      </c>
      <c r="T139" t="s">
        <v>81</v>
      </c>
      <c r="U139" s="11">
        <v>0.12</v>
      </c>
      <c r="V139" t="s">
        <v>189</v>
      </c>
      <c r="W139" t="s">
        <v>189</v>
      </c>
      <c r="X139" t="s">
        <v>11</v>
      </c>
    </row>
    <row r="140" spans="1:24" x14ac:dyDescent="0.25">
      <c r="A140" t="s">
        <v>39</v>
      </c>
      <c r="B140" s="8">
        <v>45280</v>
      </c>
      <c r="C140" t="s">
        <v>283</v>
      </c>
      <c r="D140" t="s">
        <v>1</v>
      </c>
      <c r="E140" t="s">
        <v>2</v>
      </c>
      <c r="F140" t="s">
        <v>13</v>
      </c>
      <c r="G140" t="s">
        <v>14</v>
      </c>
      <c r="H140" s="9">
        <v>1507.33</v>
      </c>
      <c r="I140" t="s">
        <v>76</v>
      </c>
      <c r="J140" t="s">
        <v>7</v>
      </c>
      <c r="K140" t="s">
        <v>289</v>
      </c>
      <c r="L140" t="s">
        <v>290</v>
      </c>
      <c r="M140" t="s">
        <v>286</v>
      </c>
      <c r="N140" t="s">
        <v>6</v>
      </c>
      <c r="O140" t="str">
        <f t="shared" si="2"/>
        <v>FIMATEC</v>
      </c>
      <c r="P140" s="8">
        <v>45273</v>
      </c>
      <c r="Q140" t="s">
        <v>291</v>
      </c>
      <c r="R140" s="8">
        <v>45280</v>
      </c>
      <c r="S140" t="s">
        <v>292</v>
      </c>
      <c r="T140" t="s">
        <v>76</v>
      </c>
      <c r="U140" s="11">
        <v>0.13</v>
      </c>
      <c r="V140" t="s">
        <v>189</v>
      </c>
      <c r="W140" t="s">
        <v>189</v>
      </c>
      <c r="X140" t="s">
        <v>13</v>
      </c>
    </row>
    <row r="141" spans="1:24" x14ac:dyDescent="0.25">
      <c r="A141" t="s">
        <v>39</v>
      </c>
      <c r="B141" s="8">
        <v>45280</v>
      </c>
      <c r="C141" t="s">
        <v>283</v>
      </c>
      <c r="D141" t="s">
        <v>1</v>
      </c>
      <c r="E141" t="s">
        <v>2</v>
      </c>
      <c r="F141" t="s">
        <v>15</v>
      </c>
      <c r="G141" t="s">
        <v>16</v>
      </c>
      <c r="H141" s="9">
        <v>1391.39</v>
      </c>
      <c r="I141" t="s">
        <v>76</v>
      </c>
      <c r="J141" t="s">
        <v>7</v>
      </c>
      <c r="K141" t="s">
        <v>289</v>
      </c>
      <c r="L141" t="s">
        <v>290</v>
      </c>
      <c r="M141" t="s">
        <v>286</v>
      </c>
      <c r="N141" t="s">
        <v>0</v>
      </c>
      <c r="O141" t="str">
        <f t="shared" si="2"/>
        <v>FIMATEC</v>
      </c>
      <c r="P141" s="8">
        <v>45273</v>
      </c>
      <c r="Q141" t="s">
        <v>291</v>
      </c>
      <c r="R141" s="8">
        <v>45280</v>
      </c>
      <c r="S141" t="s">
        <v>292</v>
      </c>
      <c r="T141" t="s">
        <v>76</v>
      </c>
      <c r="U141" s="11">
        <v>0.12</v>
      </c>
      <c r="V141" t="s">
        <v>189</v>
      </c>
      <c r="W141" t="s">
        <v>189</v>
      </c>
      <c r="X141" t="s">
        <v>15</v>
      </c>
    </row>
    <row r="142" spans="1:24" x14ac:dyDescent="0.25">
      <c r="A142" t="s">
        <v>39</v>
      </c>
      <c r="B142" s="8">
        <v>45280</v>
      </c>
      <c r="C142" t="s">
        <v>283</v>
      </c>
      <c r="D142" t="s">
        <v>1</v>
      </c>
      <c r="E142" t="s">
        <v>2</v>
      </c>
      <c r="F142" t="s">
        <v>11</v>
      </c>
      <c r="G142" t="s">
        <v>12</v>
      </c>
      <c r="H142" s="9">
        <v>1391.39</v>
      </c>
      <c r="I142" t="s">
        <v>76</v>
      </c>
      <c r="J142" t="s">
        <v>7</v>
      </c>
      <c r="K142" t="s">
        <v>289</v>
      </c>
      <c r="L142" t="s">
        <v>290</v>
      </c>
      <c r="M142" t="s">
        <v>286</v>
      </c>
      <c r="N142" t="s">
        <v>5</v>
      </c>
      <c r="O142" t="str">
        <f t="shared" si="2"/>
        <v>FIMATEC</v>
      </c>
      <c r="P142" s="8">
        <v>45273</v>
      </c>
      <c r="Q142" t="s">
        <v>291</v>
      </c>
      <c r="R142" s="8">
        <v>45280</v>
      </c>
      <c r="S142" t="s">
        <v>292</v>
      </c>
      <c r="T142" t="s">
        <v>76</v>
      </c>
      <c r="U142" s="11">
        <v>0.12</v>
      </c>
      <c r="V142" t="s">
        <v>189</v>
      </c>
      <c r="W142" t="s">
        <v>189</v>
      </c>
      <c r="X142" t="s">
        <v>11</v>
      </c>
    </row>
    <row r="143" spans="1:24" x14ac:dyDescent="0.25">
      <c r="A143" t="s">
        <v>297</v>
      </c>
      <c r="B143" s="7">
        <v>45343</v>
      </c>
      <c r="C143" t="s">
        <v>6</v>
      </c>
      <c r="D143" t="s">
        <v>1</v>
      </c>
      <c r="E143" t="s">
        <v>2</v>
      </c>
      <c r="F143" t="s">
        <v>3</v>
      </c>
      <c r="G143" t="s">
        <v>4</v>
      </c>
      <c r="H143">
        <v>40582.080000000002</v>
      </c>
      <c r="I143" t="s">
        <v>71</v>
      </c>
      <c r="J143" t="s">
        <v>7</v>
      </c>
      <c r="K143" t="s">
        <v>298</v>
      </c>
      <c r="L143" t="s">
        <v>299</v>
      </c>
      <c r="M143" t="s">
        <v>260</v>
      </c>
      <c r="N143" t="s">
        <v>8</v>
      </c>
      <c r="O143" t="str">
        <f t="shared" si="2"/>
        <v>FIMATEC</v>
      </c>
      <c r="P143" s="7">
        <v>45331</v>
      </c>
      <c r="Q143" t="s">
        <v>300</v>
      </c>
      <c r="R143" s="7">
        <v>45343</v>
      </c>
      <c r="S143" t="s">
        <v>301</v>
      </c>
      <c r="T143" t="s">
        <v>71</v>
      </c>
      <c r="U143">
        <v>0.63</v>
      </c>
      <c r="V143" t="s">
        <v>189</v>
      </c>
      <c r="W143" t="s">
        <v>189</v>
      </c>
      <c r="X143" t="s">
        <v>3</v>
      </c>
    </row>
    <row r="144" spans="1:24" x14ac:dyDescent="0.25">
      <c r="A144" t="s">
        <v>297</v>
      </c>
      <c r="B144" s="7">
        <v>45343</v>
      </c>
      <c r="C144" t="s">
        <v>6</v>
      </c>
      <c r="D144" t="s">
        <v>1</v>
      </c>
      <c r="E144" t="s">
        <v>2</v>
      </c>
      <c r="F144" t="s">
        <v>3</v>
      </c>
      <c r="G144" t="s">
        <v>4</v>
      </c>
      <c r="H144">
        <v>10299.73</v>
      </c>
      <c r="I144" t="s">
        <v>81</v>
      </c>
      <c r="J144" t="s">
        <v>7</v>
      </c>
      <c r="K144" t="s">
        <v>302</v>
      </c>
      <c r="L144" t="s">
        <v>303</v>
      </c>
      <c r="M144" t="s">
        <v>260</v>
      </c>
      <c r="N144" t="s">
        <v>8</v>
      </c>
      <c r="O144" t="str">
        <f t="shared" si="2"/>
        <v>FIMATEC</v>
      </c>
      <c r="P144" s="7">
        <v>45331</v>
      </c>
      <c r="Q144" t="s">
        <v>304</v>
      </c>
      <c r="R144" s="7">
        <v>45343</v>
      </c>
      <c r="S144" t="s">
        <v>305</v>
      </c>
      <c r="T144" t="s">
        <v>81</v>
      </c>
      <c r="U144">
        <v>0.63</v>
      </c>
      <c r="V144" t="s">
        <v>189</v>
      </c>
      <c r="W144" t="s">
        <v>189</v>
      </c>
      <c r="X144" t="s">
        <v>3</v>
      </c>
    </row>
    <row r="145" spans="1:24" x14ac:dyDescent="0.25">
      <c r="A145" t="s">
        <v>297</v>
      </c>
      <c r="B145" s="7">
        <v>45343</v>
      </c>
      <c r="C145" t="s">
        <v>6</v>
      </c>
      <c r="D145" t="s">
        <v>1</v>
      </c>
      <c r="E145" t="s">
        <v>2</v>
      </c>
      <c r="F145" t="s">
        <v>13</v>
      </c>
      <c r="G145" t="s">
        <v>14</v>
      </c>
      <c r="H145">
        <v>8374.08</v>
      </c>
      <c r="I145" t="s">
        <v>71</v>
      </c>
      <c r="J145" t="s">
        <v>7</v>
      </c>
      <c r="K145" t="s">
        <v>298</v>
      </c>
      <c r="L145" t="s">
        <v>299</v>
      </c>
      <c r="M145" t="s">
        <v>260</v>
      </c>
      <c r="N145" t="s">
        <v>6</v>
      </c>
      <c r="O145" t="str">
        <f t="shared" si="2"/>
        <v>FIMATEC</v>
      </c>
      <c r="P145" s="7">
        <v>45331</v>
      </c>
      <c r="Q145" t="s">
        <v>300</v>
      </c>
      <c r="R145" s="7">
        <v>45343</v>
      </c>
      <c r="S145" t="s">
        <v>301</v>
      </c>
      <c r="T145" t="s">
        <v>71</v>
      </c>
      <c r="U145">
        <v>0.13</v>
      </c>
      <c r="V145" t="s">
        <v>189</v>
      </c>
      <c r="W145" t="s">
        <v>189</v>
      </c>
      <c r="X145" t="s">
        <v>13</v>
      </c>
    </row>
    <row r="146" spans="1:24" x14ac:dyDescent="0.25">
      <c r="A146" t="s">
        <v>297</v>
      </c>
      <c r="B146" s="7">
        <v>45343</v>
      </c>
      <c r="C146" t="s">
        <v>6</v>
      </c>
      <c r="D146" t="s">
        <v>1</v>
      </c>
      <c r="E146" t="s">
        <v>2</v>
      </c>
      <c r="F146" t="s">
        <v>15</v>
      </c>
      <c r="G146" t="s">
        <v>16</v>
      </c>
      <c r="H146">
        <v>7729.92</v>
      </c>
      <c r="I146" t="s">
        <v>71</v>
      </c>
      <c r="J146" t="s">
        <v>7</v>
      </c>
      <c r="K146" t="s">
        <v>298</v>
      </c>
      <c r="L146" t="s">
        <v>299</v>
      </c>
      <c r="M146" t="s">
        <v>260</v>
      </c>
      <c r="N146" t="s">
        <v>0</v>
      </c>
      <c r="O146" t="str">
        <f t="shared" si="2"/>
        <v>FIMATEC</v>
      </c>
      <c r="P146" s="7">
        <v>45331</v>
      </c>
      <c r="Q146" t="s">
        <v>300</v>
      </c>
      <c r="R146" s="7">
        <v>45343</v>
      </c>
      <c r="S146" t="s">
        <v>301</v>
      </c>
      <c r="T146" t="s">
        <v>71</v>
      </c>
      <c r="U146">
        <v>0.12</v>
      </c>
      <c r="V146" t="s">
        <v>189</v>
      </c>
      <c r="W146" t="s">
        <v>189</v>
      </c>
      <c r="X146" t="s">
        <v>15</v>
      </c>
    </row>
    <row r="147" spans="1:24" x14ac:dyDescent="0.25">
      <c r="A147" t="s">
        <v>297</v>
      </c>
      <c r="B147" s="7">
        <v>45343</v>
      </c>
      <c r="C147" t="s">
        <v>6</v>
      </c>
      <c r="D147" t="s">
        <v>1</v>
      </c>
      <c r="E147" t="s">
        <v>2</v>
      </c>
      <c r="F147" t="s">
        <v>11</v>
      </c>
      <c r="G147" t="s">
        <v>12</v>
      </c>
      <c r="H147">
        <v>7729.92</v>
      </c>
      <c r="I147" t="s">
        <v>71</v>
      </c>
      <c r="J147" t="s">
        <v>7</v>
      </c>
      <c r="K147" t="s">
        <v>298</v>
      </c>
      <c r="L147" t="s">
        <v>299</v>
      </c>
      <c r="M147" t="s">
        <v>260</v>
      </c>
      <c r="N147" t="s">
        <v>5</v>
      </c>
      <c r="O147" t="str">
        <f t="shared" si="2"/>
        <v>FIMATEC</v>
      </c>
      <c r="P147" s="7">
        <v>45331</v>
      </c>
      <c r="Q147" t="s">
        <v>300</v>
      </c>
      <c r="R147" s="7">
        <v>45343</v>
      </c>
      <c r="S147" t="s">
        <v>301</v>
      </c>
      <c r="T147" t="s">
        <v>71</v>
      </c>
      <c r="U147">
        <v>0.12</v>
      </c>
      <c r="V147" t="s">
        <v>189</v>
      </c>
      <c r="W147" t="s">
        <v>189</v>
      </c>
      <c r="X147" t="s">
        <v>11</v>
      </c>
    </row>
    <row r="148" spans="1:24" x14ac:dyDescent="0.25">
      <c r="A148" t="s">
        <v>297</v>
      </c>
      <c r="B148" s="7">
        <v>45343</v>
      </c>
      <c r="C148" t="s">
        <v>6</v>
      </c>
      <c r="D148" t="s">
        <v>1</v>
      </c>
      <c r="E148" t="s">
        <v>2</v>
      </c>
      <c r="F148" t="s">
        <v>3</v>
      </c>
      <c r="G148" t="s">
        <v>4</v>
      </c>
      <c r="H148">
        <v>7304.77</v>
      </c>
      <c r="I148" t="s">
        <v>76</v>
      </c>
      <c r="J148" t="s">
        <v>7</v>
      </c>
      <c r="K148" t="s">
        <v>306</v>
      </c>
      <c r="L148" t="s">
        <v>307</v>
      </c>
      <c r="M148" t="s">
        <v>260</v>
      </c>
      <c r="N148" t="s">
        <v>8</v>
      </c>
      <c r="O148" t="str">
        <f t="shared" si="2"/>
        <v>FIMATEC</v>
      </c>
      <c r="P148" s="7">
        <v>45331</v>
      </c>
      <c r="Q148" t="s">
        <v>308</v>
      </c>
      <c r="R148" s="7">
        <v>45343</v>
      </c>
      <c r="S148" t="s">
        <v>309</v>
      </c>
      <c r="T148" t="s">
        <v>76</v>
      </c>
      <c r="U148">
        <v>0.63</v>
      </c>
      <c r="V148" t="s">
        <v>189</v>
      </c>
      <c r="W148" t="s">
        <v>189</v>
      </c>
      <c r="X148" t="s">
        <v>3</v>
      </c>
    </row>
    <row r="149" spans="1:24" x14ac:dyDescent="0.25">
      <c r="A149" t="s">
        <v>297</v>
      </c>
      <c r="B149" s="7">
        <v>45343</v>
      </c>
      <c r="C149" t="s">
        <v>6</v>
      </c>
      <c r="D149" t="s">
        <v>1</v>
      </c>
      <c r="E149" t="s">
        <v>2</v>
      </c>
      <c r="F149" t="s">
        <v>17</v>
      </c>
      <c r="G149" t="s">
        <v>18</v>
      </c>
      <c r="H149">
        <v>3633.06</v>
      </c>
      <c r="I149" t="s">
        <v>81</v>
      </c>
      <c r="J149" t="s">
        <v>7</v>
      </c>
      <c r="K149" t="s">
        <v>310</v>
      </c>
      <c r="L149" t="s">
        <v>311</v>
      </c>
      <c r="M149" t="s">
        <v>260</v>
      </c>
      <c r="N149" t="s">
        <v>8</v>
      </c>
      <c r="O149" t="str">
        <f t="shared" si="2"/>
        <v>FIMATEC</v>
      </c>
      <c r="P149" s="7">
        <v>45331</v>
      </c>
      <c r="Q149" t="s">
        <v>312</v>
      </c>
      <c r="R149" s="7">
        <v>45343</v>
      </c>
      <c r="S149" t="s">
        <v>313</v>
      </c>
      <c r="T149" t="s">
        <v>81</v>
      </c>
      <c r="U149">
        <v>1</v>
      </c>
      <c r="V149" t="s">
        <v>189</v>
      </c>
      <c r="W149" t="s">
        <v>189</v>
      </c>
      <c r="X149" t="s">
        <v>17</v>
      </c>
    </row>
    <row r="150" spans="1:24" x14ac:dyDescent="0.25">
      <c r="A150" t="s">
        <v>297</v>
      </c>
      <c r="B150" s="7">
        <v>45343</v>
      </c>
      <c r="C150" t="s">
        <v>6</v>
      </c>
      <c r="D150" t="s">
        <v>1</v>
      </c>
      <c r="E150" t="s">
        <v>2</v>
      </c>
      <c r="F150" t="s">
        <v>13</v>
      </c>
      <c r="G150" t="s">
        <v>14</v>
      </c>
      <c r="H150">
        <v>2125.34</v>
      </c>
      <c r="I150" t="s">
        <v>81</v>
      </c>
      <c r="J150" t="s">
        <v>7</v>
      </c>
      <c r="K150" t="s">
        <v>302</v>
      </c>
      <c r="L150" t="s">
        <v>303</v>
      </c>
      <c r="M150" t="s">
        <v>260</v>
      </c>
      <c r="N150" t="s">
        <v>6</v>
      </c>
      <c r="O150" t="str">
        <f t="shared" si="2"/>
        <v>FIMATEC</v>
      </c>
      <c r="P150" s="7">
        <v>45331</v>
      </c>
      <c r="Q150" t="s">
        <v>304</v>
      </c>
      <c r="R150" s="7">
        <v>45343</v>
      </c>
      <c r="S150" t="s">
        <v>305</v>
      </c>
      <c r="T150" t="s">
        <v>81</v>
      </c>
      <c r="U150">
        <v>0.13</v>
      </c>
      <c r="V150" t="s">
        <v>189</v>
      </c>
      <c r="W150" t="s">
        <v>189</v>
      </c>
      <c r="X150" t="s">
        <v>13</v>
      </c>
    </row>
    <row r="151" spans="1:24" x14ac:dyDescent="0.25">
      <c r="A151" t="s">
        <v>297</v>
      </c>
      <c r="B151" s="7">
        <v>45343</v>
      </c>
      <c r="C151" t="s">
        <v>6</v>
      </c>
      <c r="D151" t="s">
        <v>1</v>
      </c>
      <c r="E151" t="s">
        <v>2</v>
      </c>
      <c r="F151" t="s">
        <v>15</v>
      </c>
      <c r="G151" t="s">
        <v>16</v>
      </c>
      <c r="H151">
        <v>1961.85</v>
      </c>
      <c r="I151" t="s">
        <v>81</v>
      </c>
      <c r="J151" t="s">
        <v>7</v>
      </c>
      <c r="K151" t="s">
        <v>302</v>
      </c>
      <c r="L151" t="s">
        <v>303</v>
      </c>
      <c r="M151" t="s">
        <v>260</v>
      </c>
      <c r="N151" t="s">
        <v>0</v>
      </c>
      <c r="O151" t="str">
        <f t="shared" si="2"/>
        <v>FIMATEC</v>
      </c>
      <c r="P151" s="7">
        <v>45331</v>
      </c>
      <c r="Q151" t="s">
        <v>304</v>
      </c>
      <c r="R151" s="7">
        <v>45343</v>
      </c>
      <c r="S151" t="s">
        <v>305</v>
      </c>
      <c r="T151" t="s">
        <v>81</v>
      </c>
      <c r="U151">
        <v>0.12</v>
      </c>
      <c r="V151" t="s">
        <v>189</v>
      </c>
      <c r="W151" t="s">
        <v>189</v>
      </c>
      <c r="X151" t="s">
        <v>15</v>
      </c>
    </row>
    <row r="152" spans="1:24" x14ac:dyDescent="0.25">
      <c r="A152" t="s">
        <v>297</v>
      </c>
      <c r="B152" s="7">
        <v>45343</v>
      </c>
      <c r="C152" t="s">
        <v>6</v>
      </c>
      <c r="D152" t="s">
        <v>1</v>
      </c>
      <c r="E152" t="s">
        <v>2</v>
      </c>
      <c r="F152" t="s">
        <v>11</v>
      </c>
      <c r="G152" t="s">
        <v>12</v>
      </c>
      <c r="H152">
        <v>1961.85</v>
      </c>
      <c r="I152" t="s">
        <v>81</v>
      </c>
      <c r="J152" t="s">
        <v>7</v>
      </c>
      <c r="K152" t="s">
        <v>302</v>
      </c>
      <c r="L152" t="s">
        <v>303</v>
      </c>
      <c r="M152" t="s">
        <v>260</v>
      </c>
      <c r="N152" t="s">
        <v>5</v>
      </c>
      <c r="O152" t="str">
        <f t="shared" si="2"/>
        <v>FIMATEC</v>
      </c>
      <c r="P152" s="7">
        <v>45331</v>
      </c>
      <c r="Q152" t="s">
        <v>304</v>
      </c>
      <c r="R152" s="7">
        <v>45343</v>
      </c>
      <c r="S152" t="s">
        <v>305</v>
      </c>
      <c r="T152" t="s">
        <v>81</v>
      </c>
      <c r="U152">
        <v>0.12</v>
      </c>
      <c r="V152" t="s">
        <v>189</v>
      </c>
      <c r="W152" t="s">
        <v>189</v>
      </c>
      <c r="X152" t="s">
        <v>11</v>
      </c>
    </row>
    <row r="153" spans="1:24" x14ac:dyDescent="0.25">
      <c r="A153" t="s">
        <v>297</v>
      </c>
      <c r="B153" s="7">
        <v>45343</v>
      </c>
      <c r="C153" t="s">
        <v>6</v>
      </c>
      <c r="D153" t="s">
        <v>1</v>
      </c>
      <c r="E153" t="s">
        <v>2</v>
      </c>
      <c r="F153" t="s">
        <v>13</v>
      </c>
      <c r="G153" t="s">
        <v>14</v>
      </c>
      <c r="H153">
        <v>1507.33</v>
      </c>
      <c r="I153" t="s">
        <v>76</v>
      </c>
      <c r="J153" t="s">
        <v>7</v>
      </c>
      <c r="K153" t="s">
        <v>306</v>
      </c>
      <c r="L153" t="s">
        <v>307</v>
      </c>
      <c r="M153" t="s">
        <v>260</v>
      </c>
      <c r="N153" t="s">
        <v>6</v>
      </c>
      <c r="O153" t="str">
        <f t="shared" si="2"/>
        <v>FIMATEC</v>
      </c>
      <c r="P153" s="7">
        <v>45331</v>
      </c>
      <c r="Q153" t="s">
        <v>308</v>
      </c>
      <c r="R153" s="7">
        <v>45343</v>
      </c>
      <c r="S153" t="s">
        <v>309</v>
      </c>
      <c r="T153" t="s">
        <v>76</v>
      </c>
      <c r="U153">
        <v>0.13</v>
      </c>
      <c r="V153" t="s">
        <v>189</v>
      </c>
      <c r="W153" t="s">
        <v>189</v>
      </c>
      <c r="X153" t="s">
        <v>13</v>
      </c>
    </row>
    <row r="154" spans="1:24" x14ac:dyDescent="0.25">
      <c r="A154" t="s">
        <v>297</v>
      </c>
      <c r="B154" s="7">
        <v>45343</v>
      </c>
      <c r="C154" t="s">
        <v>6</v>
      </c>
      <c r="D154" t="s">
        <v>1</v>
      </c>
      <c r="E154" t="s">
        <v>2</v>
      </c>
      <c r="F154" t="s">
        <v>15</v>
      </c>
      <c r="G154" t="s">
        <v>16</v>
      </c>
      <c r="H154">
        <v>1391.39</v>
      </c>
      <c r="I154" t="s">
        <v>76</v>
      </c>
      <c r="J154" t="s">
        <v>7</v>
      </c>
      <c r="K154" t="s">
        <v>306</v>
      </c>
      <c r="L154" t="s">
        <v>307</v>
      </c>
      <c r="M154" t="s">
        <v>260</v>
      </c>
      <c r="N154" t="s">
        <v>0</v>
      </c>
      <c r="O154" t="str">
        <f t="shared" si="2"/>
        <v>FIMATEC</v>
      </c>
      <c r="P154" s="7">
        <v>45331</v>
      </c>
      <c r="Q154" t="s">
        <v>308</v>
      </c>
      <c r="R154" s="7">
        <v>45343</v>
      </c>
      <c r="S154" t="s">
        <v>309</v>
      </c>
      <c r="T154" t="s">
        <v>76</v>
      </c>
      <c r="U154">
        <v>0.12</v>
      </c>
      <c r="V154" t="s">
        <v>189</v>
      </c>
      <c r="W154" t="s">
        <v>189</v>
      </c>
      <c r="X154" t="s">
        <v>15</v>
      </c>
    </row>
    <row r="155" spans="1:24" x14ac:dyDescent="0.25">
      <c r="A155" t="s">
        <v>297</v>
      </c>
      <c r="B155" s="7">
        <v>45343</v>
      </c>
      <c r="C155" t="s">
        <v>6</v>
      </c>
      <c r="D155" t="s">
        <v>1</v>
      </c>
      <c r="E155" t="s">
        <v>2</v>
      </c>
      <c r="F155" t="s">
        <v>11</v>
      </c>
      <c r="G155" t="s">
        <v>12</v>
      </c>
      <c r="H155">
        <v>1391.39</v>
      </c>
      <c r="I155" t="s">
        <v>76</v>
      </c>
      <c r="J155" t="s">
        <v>7</v>
      </c>
      <c r="K155" t="s">
        <v>306</v>
      </c>
      <c r="L155" t="s">
        <v>307</v>
      </c>
      <c r="M155" t="s">
        <v>260</v>
      </c>
      <c r="N155" t="s">
        <v>5</v>
      </c>
      <c r="O155" t="str">
        <f t="shared" si="2"/>
        <v>FIMATEC</v>
      </c>
      <c r="P155" s="7">
        <v>45331</v>
      </c>
      <c r="Q155" t="s">
        <v>308</v>
      </c>
      <c r="R155" s="7">
        <v>45343</v>
      </c>
      <c r="S155" t="s">
        <v>309</v>
      </c>
      <c r="T155" t="s">
        <v>76</v>
      </c>
      <c r="U155">
        <v>0.12</v>
      </c>
      <c r="V155" t="s">
        <v>189</v>
      </c>
      <c r="W155" t="s">
        <v>189</v>
      </c>
      <c r="X155" t="s">
        <v>11</v>
      </c>
    </row>
    <row r="156" spans="1:24" x14ac:dyDescent="0.25">
      <c r="A156" t="s">
        <v>297</v>
      </c>
      <c r="B156" s="8">
        <v>45303</v>
      </c>
      <c r="C156" t="s">
        <v>8</v>
      </c>
      <c r="D156" t="s">
        <v>1</v>
      </c>
      <c r="E156" t="s">
        <v>2</v>
      </c>
      <c r="F156" t="s">
        <v>3</v>
      </c>
      <c r="G156" t="s">
        <v>4</v>
      </c>
      <c r="H156" s="9">
        <v>36828.26</v>
      </c>
      <c r="I156" t="s">
        <v>71</v>
      </c>
      <c r="J156" t="s">
        <v>7</v>
      </c>
      <c r="K156" t="s">
        <v>314</v>
      </c>
      <c r="L156" t="s">
        <v>315</v>
      </c>
      <c r="M156" t="s">
        <v>50</v>
      </c>
      <c r="N156" t="s">
        <v>8</v>
      </c>
      <c r="O156" t="str">
        <f t="shared" si="2"/>
        <v>FIMATEC</v>
      </c>
      <c r="P156" s="8">
        <v>45301</v>
      </c>
      <c r="Q156" t="s">
        <v>316</v>
      </c>
      <c r="R156" s="8">
        <v>45303</v>
      </c>
      <c r="S156" t="s">
        <v>317</v>
      </c>
      <c r="T156" t="s">
        <v>71</v>
      </c>
      <c r="U156" s="11">
        <v>0.63</v>
      </c>
      <c r="V156" t="s">
        <v>189</v>
      </c>
      <c r="W156" t="s">
        <v>189</v>
      </c>
      <c r="X156" t="s">
        <v>3</v>
      </c>
    </row>
    <row r="157" spans="1:24" x14ac:dyDescent="0.25">
      <c r="A157" t="s">
        <v>297</v>
      </c>
      <c r="B157" s="8">
        <v>45303</v>
      </c>
      <c r="C157" t="s">
        <v>8</v>
      </c>
      <c r="D157" t="s">
        <v>1</v>
      </c>
      <c r="E157" t="s">
        <v>2</v>
      </c>
      <c r="F157" t="s">
        <v>3</v>
      </c>
      <c r="G157" t="s">
        <v>4</v>
      </c>
      <c r="H157" s="9">
        <v>9346.99</v>
      </c>
      <c r="I157" t="s">
        <v>81</v>
      </c>
      <c r="J157" t="s">
        <v>7</v>
      </c>
      <c r="K157" t="s">
        <v>318</v>
      </c>
      <c r="L157" t="s">
        <v>319</v>
      </c>
      <c r="M157" t="s">
        <v>50</v>
      </c>
      <c r="N157" t="s">
        <v>8</v>
      </c>
      <c r="O157" t="str">
        <f t="shared" si="2"/>
        <v>FIMATEC</v>
      </c>
      <c r="P157" s="8">
        <v>45301</v>
      </c>
      <c r="Q157" t="s">
        <v>320</v>
      </c>
      <c r="R157" s="8">
        <v>45303</v>
      </c>
      <c r="S157" t="s">
        <v>321</v>
      </c>
      <c r="T157" t="s">
        <v>81</v>
      </c>
      <c r="U157" s="11">
        <v>0.63</v>
      </c>
      <c r="V157" t="s">
        <v>189</v>
      </c>
      <c r="W157" t="s">
        <v>189</v>
      </c>
      <c r="X157" t="s">
        <v>3</v>
      </c>
    </row>
    <row r="158" spans="1:24" x14ac:dyDescent="0.25">
      <c r="A158" t="s">
        <v>297</v>
      </c>
      <c r="B158" s="8">
        <v>45303</v>
      </c>
      <c r="C158" t="s">
        <v>8</v>
      </c>
      <c r="D158" t="s">
        <v>1</v>
      </c>
      <c r="E158" t="s">
        <v>2</v>
      </c>
      <c r="F158" t="s">
        <v>13</v>
      </c>
      <c r="G158" t="s">
        <v>14</v>
      </c>
      <c r="H158" s="9">
        <v>7599.48</v>
      </c>
      <c r="I158" t="s">
        <v>71</v>
      </c>
      <c r="J158" t="s">
        <v>7</v>
      </c>
      <c r="K158" t="s">
        <v>314</v>
      </c>
      <c r="L158" t="s">
        <v>315</v>
      </c>
      <c r="M158" t="s">
        <v>50</v>
      </c>
      <c r="N158" t="s">
        <v>6</v>
      </c>
      <c r="O158" t="str">
        <f t="shared" si="2"/>
        <v>FIMATEC</v>
      </c>
      <c r="P158" s="8">
        <v>45301</v>
      </c>
      <c r="Q158" t="s">
        <v>316</v>
      </c>
      <c r="R158" s="8">
        <v>45303</v>
      </c>
      <c r="S158" t="s">
        <v>317</v>
      </c>
      <c r="T158" t="s">
        <v>71</v>
      </c>
      <c r="U158" s="11">
        <v>0.13</v>
      </c>
      <c r="V158" t="s">
        <v>189</v>
      </c>
      <c r="W158" t="s">
        <v>189</v>
      </c>
      <c r="X158" t="s">
        <v>13</v>
      </c>
    </row>
    <row r="159" spans="1:24" x14ac:dyDescent="0.25">
      <c r="A159" t="s">
        <v>297</v>
      </c>
      <c r="B159" s="8">
        <v>45303</v>
      </c>
      <c r="C159" t="s">
        <v>8</v>
      </c>
      <c r="D159" t="s">
        <v>1</v>
      </c>
      <c r="E159" t="s">
        <v>2</v>
      </c>
      <c r="F159" t="s">
        <v>15</v>
      </c>
      <c r="G159" t="s">
        <v>16</v>
      </c>
      <c r="H159" s="9">
        <v>7014.9</v>
      </c>
      <c r="I159" t="s">
        <v>71</v>
      </c>
      <c r="J159" t="s">
        <v>7</v>
      </c>
      <c r="K159" t="s">
        <v>314</v>
      </c>
      <c r="L159" t="s">
        <v>315</v>
      </c>
      <c r="M159" t="s">
        <v>50</v>
      </c>
      <c r="N159" t="s">
        <v>0</v>
      </c>
      <c r="O159" t="str">
        <f t="shared" si="2"/>
        <v>FIMATEC</v>
      </c>
      <c r="P159" s="8">
        <v>45301</v>
      </c>
      <c r="Q159" t="s">
        <v>316</v>
      </c>
      <c r="R159" s="8">
        <v>45303</v>
      </c>
      <c r="S159" t="s">
        <v>317</v>
      </c>
      <c r="T159" t="s">
        <v>71</v>
      </c>
      <c r="U159" s="11">
        <v>0.12</v>
      </c>
      <c r="V159" t="s">
        <v>189</v>
      </c>
      <c r="W159" t="s">
        <v>189</v>
      </c>
      <c r="X159" t="s">
        <v>15</v>
      </c>
    </row>
    <row r="160" spans="1:24" x14ac:dyDescent="0.25">
      <c r="A160" t="s">
        <v>297</v>
      </c>
      <c r="B160" s="8">
        <v>45303</v>
      </c>
      <c r="C160" t="s">
        <v>8</v>
      </c>
      <c r="D160" t="s">
        <v>1</v>
      </c>
      <c r="E160" t="s">
        <v>2</v>
      </c>
      <c r="F160" t="s">
        <v>11</v>
      </c>
      <c r="G160" t="s">
        <v>12</v>
      </c>
      <c r="H160" s="9">
        <v>7014.9</v>
      </c>
      <c r="I160" t="s">
        <v>71</v>
      </c>
      <c r="J160" t="s">
        <v>7</v>
      </c>
      <c r="K160" t="s">
        <v>314</v>
      </c>
      <c r="L160" t="s">
        <v>315</v>
      </c>
      <c r="M160" t="s">
        <v>50</v>
      </c>
      <c r="N160" t="s">
        <v>5</v>
      </c>
      <c r="O160" t="str">
        <f t="shared" si="2"/>
        <v>FIMATEC</v>
      </c>
      <c r="P160" s="8">
        <v>45301</v>
      </c>
      <c r="Q160" t="s">
        <v>316</v>
      </c>
      <c r="R160" s="8">
        <v>45303</v>
      </c>
      <c r="S160" t="s">
        <v>317</v>
      </c>
      <c r="T160" t="s">
        <v>71</v>
      </c>
      <c r="U160" s="11">
        <v>0.12</v>
      </c>
      <c r="V160" t="s">
        <v>189</v>
      </c>
      <c r="W160" t="s">
        <v>189</v>
      </c>
      <c r="X160" t="s">
        <v>11</v>
      </c>
    </row>
    <row r="161" spans="1:24" x14ac:dyDescent="0.25">
      <c r="A161" t="s">
        <v>297</v>
      </c>
      <c r="B161" s="8">
        <v>45303</v>
      </c>
      <c r="C161" t="s">
        <v>8</v>
      </c>
      <c r="D161" t="s">
        <v>1</v>
      </c>
      <c r="E161" t="s">
        <v>2</v>
      </c>
      <c r="F161" t="s">
        <v>3</v>
      </c>
      <c r="G161" t="s">
        <v>4</v>
      </c>
      <c r="H161" s="9">
        <v>6629.08</v>
      </c>
      <c r="I161" t="s">
        <v>76</v>
      </c>
      <c r="J161" t="s">
        <v>7</v>
      </c>
      <c r="K161" t="s">
        <v>322</v>
      </c>
      <c r="L161" t="s">
        <v>323</v>
      </c>
      <c r="M161" t="s">
        <v>50</v>
      </c>
      <c r="N161" t="s">
        <v>8</v>
      </c>
      <c r="O161" t="str">
        <f t="shared" si="2"/>
        <v>FIMATEC</v>
      </c>
      <c r="P161" s="8">
        <v>45301</v>
      </c>
      <c r="Q161" t="s">
        <v>324</v>
      </c>
      <c r="R161" s="8">
        <v>45303</v>
      </c>
      <c r="S161" t="s">
        <v>325</v>
      </c>
      <c r="T161" t="s">
        <v>76</v>
      </c>
      <c r="U161" s="11">
        <v>0.63</v>
      </c>
      <c r="V161" t="s">
        <v>189</v>
      </c>
      <c r="W161" t="s">
        <v>189</v>
      </c>
      <c r="X161" t="s">
        <v>3</v>
      </c>
    </row>
    <row r="162" spans="1:24" x14ac:dyDescent="0.25">
      <c r="A162" t="s">
        <v>297</v>
      </c>
      <c r="B162" s="8">
        <v>45303</v>
      </c>
      <c r="C162" t="s">
        <v>8</v>
      </c>
      <c r="D162" t="s">
        <v>1</v>
      </c>
      <c r="E162" t="s">
        <v>2</v>
      </c>
      <c r="F162" t="s">
        <v>17</v>
      </c>
      <c r="G162" t="s">
        <v>18</v>
      </c>
      <c r="H162" s="9">
        <v>3297</v>
      </c>
      <c r="I162" t="s">
        <v>81</v>
      </c>
      <c r="J162" t="s">
        <v>7</v>
      </c>
      <c r="K162" t="s">
        <v>326</v>
      </c>
      <c r="L162" t="s">
        <v>327</v>
      </c>
      <c r="M162" t="s">
        <v>50</v>
      </c>
      <c r="N162" t="s">
        <v>8</v>
      </c>
      <c r="O162" t="str">
        <f t="shared" si="2"/>
        <v>FIMATEC</v>
      </c>
      <c r="P162" s="8">
        <v>45301</v>
      </c>
      <c r="Q162" t="s">
        <v>328</v>
      </c>
      <c r="R162" s="8">
        <v>45303</v>
      </c>
      <c r="S162" t="s">
        <v>329</v>
      </c>
      <c r="T162" t="s">
        <v>81</v>
      </c>
      <c r="U162" s="12">
        <v>1</v>
      </c>
      <c r="V162" t="s">
        <v>189</v>
      </c>
      <c r="W162" t="s">
        <v>189</v>
      </c>
      <c r="X162" t="s">
        <v>17</v>
      </c>
    </row>
    <row r="163" spans="1:24" x14ac:dyDescent="0.25">
      <c r="A163" t="s">
        <v>297</v>
      </c>
      <c r="B163" s="8">
        <v>45302</v>
      </c>
      <c r="C163" t="s">
        <v>8</v>
      </c>
      <c r="D163" t="s">
        <v>1</v>
      </c>
      <c r="E163" t="s">
        <v>2</v>
      </c>
      <c r="F163" t="s">
        <v>3</v>
      </c>
      <c r="G163" t="s">
        <v>4</v>
      </c>
      <c r="H163" s="9">
        <v>2800</v>
      </c>
      <c r="I163" t="s">
        <v>330</v>
      </c>
      <c r="J163" t="s">
        <v>7</v>
      </c>
      <c r="K163" t="s">
        <v>331</v>
      </c>
      <c r="L163" t="s">
        <v>332</v>
      </c>
      <c r="M163" t="s">
        <v>286</v>
      </c>
      <c r="N163" t="s">
        <v>8</v>
      </c>
      <c r="O163" t="str">
        <f t="shared" si="2"/>
        <v>FIMATEC</v>
      </c>
      <c r="P163" s="8">
        <v>45299</v>
      </c>
      <c r="Q163" t="s">
        <v>333</v>
      </c>
      <c r="R163" s="8">
        <v>45302</v>
      </c>
      <c r="S163" t="s">
        <v>334</v>
      </c>
      <c r="T163" t="s">
        <v>115</v>
      </c>
      <c r="U163" s="12">
        <v>1</v>
      </c>
      <c r="V163" t="s">
        <v>189</v>
      </c>
      <c r="W163" t="s">
        <v>189</v>
      </c>
      <c r="X163" t="s">
        <v>3</v>
      </c>
    </row>
    <row r="164" spans="1:24" x14ac:dyDescent="0.25">
      <c r="A164" t="s">
        <v>297</v>
      </c>
      <c r="B164" s="8">
        <v>45303</v>
      </c>
      <c r="C164" t="s">
        <v>8</v>
      </c>
      <c r="D164" t="s">
        <v>1</v>
      </c>
      <c r="E164" t="s">
        <v>2</v>
      </c>
      <c r="F164" t="s">
        <v>13</v>
      </c>
      <c r="G164" t="s">
        <v>14</v>
      </c>
      <c r="H164" s="9">
        <v>1928.75</v>
      </c>
      <c r="I164" t="s">
        <v>81</v>
      </c>
      <c r="J164" t="s">
        <v>7</v>
      </c>
      <c r="K164" t="s">
        <v>318</v>
      </c>
      <c r="L164" t="s">
        <v>319</v>
      </c>
      <c r="M164" t="s">
        <v>50</v>
      </c>
      <c r="N164" t="s">
        <v>6</v>
      </c>
      <c r="O164" t="str">
        <f t="shared" si="2"/>
        <v>FIMATEC</v>
      </c>
      <c r="P164" s="8">
        <v>45301</v>
      </c>
      <c r="Q164" t="s">
        <v>320</v>
      </c>
      <c r="R164" s="8">
        <v>45303</v>
      </c>
      <c r="S164" t="s">
        <v>321</v>
      </c>
      <c r="T164" t="s">
        <v>81</v>
      </c>
      <c r="U164" s="11">
        <v>0.13</v>
      </c>
      <c r="V164" t="s">
        <v>189</v>
      </c>
      <c r="W164" t="s">
        <v>189</v>
      </c>
      <c r="X164" t="s">
        <v>13</v>
      </c>
    </row>
    <row r="165" spans="1:24" x14ac:dyDescent="0.25">
      <c r="A165" t="s">
        <v>297</v>
      </c>
      <c r="B165" s="8">
        <v>45303</v>
      </c>
      <c r="C165" t="s">
        <v>8</v>
      </c>
      <c r="D165" t="s">
        <v>1</v>
      </c>
      <c r="E165" t="s">
        <v>2</v>
      </c>
      <c r="F165" t="s">
        <v>15</v>
      </c>
      <c r="G165" t="s">
        <v>16</v>
      </c>
      <c r="H165" s="9">
        <v>1780.38</v>
      </c>
      <c r="I165" t="s">
        <v>81</v>
      </c>
      <c r="J165" t="s">
        <v>7</v>
      </c>
      <c r="K165" t="s">
        <v>318</v>
      </c>
      <c r="L165" t="s">
        <v>319</v>
      </c>
      <c r="M165" t="s">
        <v>50</v>
      </c>
      <c r="N165" t="s">
        <v>0</v>
      </c>
      <c r="O165" t="str">
        <f t="shared" si="2"/>
        <v>FIMATEC</v>
      </c>
      <c r="P165" s="8">
        <v>45301</v>
      </c>
      <c r="Q165" t="s">
        <v>320</v>
      </c>
      <c r="R165" s="8">
        <v>45303</v>
      </c>
      <c r="S165" t="s">
        <v>321</v>
      </c>
      <c r="T165" t="s">
        <v>81</v>
      </c>
      <c r="U165" s="11">
        <v>0.12</v>
      </c>
      <c r="V165" t="s">
        <v>189</v>
      </c>
      <c r="W165" t="s">
        <v>189</v>
      </c>
      <c r="X165" t="s">
        <v>15</v>
      </c>
    </row>
    <row r="166" spans="1:24" x14ac:dyDescent="0.25">
      <c r="A166" t="s">
        <v>297</v>
      </c>
      <c r="B166" s="8">
        <v>45303</v>
      </c>
      <c r="C166" t="s">
        <v>8</v>
      </c>
      <c r="D166" t="s">
        <v>1</v>
      </c>
      <c r="E166" t="s">
        <v>2</v>
      </c>
      <c r="F166" t="s">
        <v>11</v>
      </c>
      <c r="G166" t="s">
        <v>12</v>
      </c>
      <c r="H166" s="9">
        <v>1780.38</v>
      </c>
      <c r="I166" t="s">
        <v>81</v>
      </c>
      <c r="J166" t="s">
        <v>7</v>
      </c>
      <c r="K166" t="s">
        <v>318</v>
      </c>
      <c r="L166" t="s">
        <v>319</v>
      </c>
      <c r="M166" t="s">
        <v>50</v>
      </c>
      <c r="N166" t="s">
        <v>5</v>
      </c>
      <c r="O166" t="str">
        <f t="shared" si="2"/>
        <v>FIMATEC</v>
      </c>
      <c r="P166" s="8">
        <v>45301</v>
      </c>
      <c r="Q166" t="s">
        <v>320</v>
      </c>
      <c r="R166" s="8">
        <v>45303</v>
      </c>
      <c r="S166" t="s">
        <v>321</v>
      </c>
      <c r="T166" t="s">
        <v>81</v>
      </c>
      <c r="U166" s="11">
        <v>0.12</v>
      </c>
      <c r="V166" t="s">
        <v>189</v>
      </c>
      <c r="W166" t="s">
        <v>189</v>
      </c>
      <c r="X166" t="s">
        <v>11</v>
      </c>
    </row>
    <row r="167" spans="1:24" x14ac:dyDescent="0.25">
      <c r="A167" t="s">
        <v>297</v>
      </c>
      <c r="B167" s="8">
        <v>45303</v>
      </c>
      <c r="C167" t="s">
        <v>8</v>
      </c>
      <c r="D167" t="s">
        <v>1</v>
      </c>
      <c r="E167" t="s">
        <v>2</v>
      </c>
      <c r="F167" t="s">
        <v>13</v>
      </c>
      <c r="G167" t="s">
        <v>14</v>
      </c>
      <c r="H167" s="9">
        <v>1367.9</v>
      </c>
      <c r="I167" t="s">
        <v>76</v>
      </c>
      <c r="J167" t="s">
        <v>7</v>
      </c>
      <c r="K167" t="s">
        <v>322</v>
      </c>
      <c r="L167" t="s">
        <v>323</v>
      </c>
      <c r="M167" t="s">
        <v>50</v>
      </c>
      <c r="N167" t="s">
        <v>6</v>
      </c>
      <c r="O167" t="str">
        <f t="shared" si="2"/>
        <v>FIMATEC</v>
      </c>
      <c r="P167" s="8">
        <v>45301</v>
      </c>
      <c r="Q167" t="s">
        <v>324</v>
      </c>
      <c r="R167" s="8">
        <v>45303</v>
      </c>
      <c r="S167" t="s">
        <v>325</v>
      </c>
      <c r="T167" t="s">
        <v>76</v>
      </c>
      <c r="U167" s="11">
        <v>0.13</v>
      </c>
      <c r="V167" t="s">
        <v>189</v>
      </c>
      <c r="W167" t="s">
        <v>189</v>
      </c>
      <c r="X167" t="s">
        <v>13</v>
      </c>
    </row>
    <row r="168" spans="1:24" x14ac:dyDescent="0.25">
      <c r="A168" t="s">
        <v>297</v>
      </c>
      <c r="B168" s="8">
        <v>45303</v>
      </c>
      <c r="C168" t="s">
        <v>8</v>
      </c>
      <c r="D168" t="s">
        <v>1</v>
      </c>
      <c r="E168" t="s">
        <v>2</v>
      </c>
      <c r="F168" t="s">
        <v>15</v>
      </c>
      <c r="G168" t="s">
        <v>16</v>
      </c>
      <c r="H168" s="9">
        <v>1262.68</v>
      </c>
      <c r="I168" t="s">
        <v>76</v>
      </c>
      <c r="J168" t="s">
        <v>7</v>
      </c>
      <c r="K168" t="s">
        <v>322</v>
      </c>
      <c r="L168" t="s">
        <v>323</v>
      </c>
      <c r="M168" t="s">
        <v>50</v>
      </c>
      <c r="N168" t="s">
        <v>0</v>
      </c>
      <c r="O168" t="str">
        <f t="shared" si="2"/>
        <v>FIMATEC</v>
      </c>
      <c r="P168" s="8">
        <v>45301</v>
      </c>
      <c r="Q168" t="s">
        <v>324</v>
      </c>
      <c r="R168" s="8">
        <v>45303</v>
      </c>
      <c r="S168" t="s">
        <v>325</v>
      </c>
      <c r="T168" t="s">
        <v>76</v>
      </c>
      <c r="U168" s="11">
        <v>0.12</v>
      </c>
      <c r="V168" t="s">
        <v>189</v>
      </c>
      <c r="W168" t="s">
        <v>189</v>
      </c>
      <c r="X168" t="s">
        <v>15</v>
      </c>
    </row>
    <row r="169" spans="1:24" x14ac:dyDescent="0.25">
      <c r="A169" t="s">
        <v>297</v>
      </c>
      <c r="B169" s="8">
        <v>45303</v>
      </c>
      <c r="C169" t="s">
        <v>8</v>
      </c>
      <c r="D169" t="s">
        <v>1</v>
      </c>
      <c r="E169" t="s">
        <v>2</v>
      </c>
      <c r="F169" t="s">
        <v>11</v>
      </c>
      <c r="G169" t="s">
        <v>12</v>
      </c>
      <c r="H169" s="9">
        <v>1262.68</v>
      </c>
      <c r="I169" t="s">
        <v>76</v>
      </c>
      <c r="J169" t="s">
        <v>7</v>
      </c>
      <c r="K169" t="s">
        <v>322</v>
      </c>
      <c r="L169" t="s">
        <v>323</v>
      </c>
      <c r="M169" t="s">
        <v>50</v>
      </c>
      <c r="N169" t="s">
        <v>5</v>
      </c>
      <c r="O169" t="str">
        <f t="shared" si="2"/>
        <v>FIMATEC</v>
      </c>
      <c r="P169" s="8">
        <v>45301</v>
      </c>
      <c r="Q169" t="s">
        <v>324</v>
      </c>
      <c r="R169" s="8">
        <v>45303</v>
      </c>
      <c r="S169" t="s">
        <v>325</v>
      </c>
      <c r="T169" t="s">
        <v>76</v>
      </c>
      <c r="U169" s="11">
        <v>0.12</v>
      </c>
      <c r="V169" t="s">
        <v>189</v>
      </c>
      <c r="W169" t="s">
        <v>189</v>
      </c>
      <c r="X169" t="s">
        <v>11</v>
      </c>
    </row>
    <row r="170" spans="1:24" x14ac:dyDescent="0.25">
      <c r="A170" t="s">
        <v>297</v>
      </c>
      <c r="B170" s="8">
        <v>45295</v>
      </c>
      <c r="C170" t="s">
        <v>8</v>
      </c>
      <c r="D170" t="s">
        <v>1</v>
      </c>
      <c r="E170" t="s">
        <v>2</v>
      </c>
      <c r="F170" t="s">
        <v>3</v>
      </c>
      <c r="G170" t="s">
        <v>4</v>
      </c>
      <c r="H170" s="9">
        <v>771</v>
      </c>
      <c r="I170" t="s">
        <v>335</v>
      </c>
      <c r="J170" t="s">
        <v>7</v>
      </c>
      <c r="K170" t="s">
        <v>336</v>
      </c>
      <c r="L170" t="s">
        <v>337</v>
      </c>
      <c r="M170" t="s">
        <v>50</v>
      </c>
      <c r="N170" t="s">
        <v>8</v>
      </c>
      <c r="O170" t="str">
        <f t="shared" si="2"/>
        <v>FIMATEC</v>
      </c>
      <c r="P170" s="8">
        <v>45261</v>
      </c>
      <c r="Q170" t="s">
        <v>338</v>
      </c>
      <c r="R170" s="8">
        <v>45295</v>
      </c>
      <c r="S170" t="s">
        <v>339</v>
      </c>
      <c r="T170" t="s">
        <v>115</v>
      </c>
      <c r="U170" s="12">
        <v>1</v>
      </c>
      <c r="V170" t="s">
        <v>189</v>
      </c>
      <c r="W170" t="s">
        <v>189</v>
      </c>
      <c r="X170" t="s">
        <v>3</v>
      </c>
    </row>
    <row r="171" spans="1:24" x14ac:dyDescent="0.25">
      <c r="A171" t="s">
        <v>297</v>
      </c>
      <c r="B171" s="8">
        <v>45302</v>
      </c>
      <c r="C171" t="s">
        <v>8</v>
      </c>
      <c r="D171" t="s">
        <v>1</v>
      </c>
      <c r="E171" t="s">
        <v>2</v>
      </c>
      <c r="F171" t="s">
        <v>3</v>
      </c>
      <c r="G171" t="s">
        <v>4</v>
      </c>
      <c r="H171" s="9">
        <v>520</v>
      </c>
      <c r="I171" t="s">
        <v>340</v>
      </c>
      <c r="J171" t="s">
        <v>7</v>
      </c>
      <c r="K171" t="s">
        <v>341</v>
      </c>
      <c r="L171" t="s">
        <v>342</v>
      </c>
      <c r="M171" t="s">
        <v>286</v>
      </c>
      <c r="N171" t="s">
        <v>8</v>
      </c>
      <c r="O171" t="str">
        <f t="shared" si="2"/>
        <v>FIMATEC</v>
      </c>
      <c r="P171" s="8">
        <v>45299</v>
      </c>
      <c r="Q171" t="s">
        <v>343</v>
      </c>
      <c r="R171" s="8">
        <v>45302</v>
      </c>
      <c r="S171" t="s">
        <v>344</v>
      </c>
      <c r="T171" t="s">
        <v>115</v>
      </c>
      <c r="U171" s="12">
        <v>1</v>
      </c>
      <c r="V171" t="s">
        <v>189</v>
      </c>
      <c r="W171" t="s">
        <v>189</v>
      </c>
      <c r="X171" t="s">
        <v>3</v>
      </c>
    </row>
    <row r="172" spans="1:24" x14ac:dyDescent="0.25">
      <c r="A172" t="s">
        <v>297</v>
      </c>
      <c r="B172" s="8">
        <v>45295</v>
      </c>
      <c r="C172" t="s">
        <v>8</v>
      </c>
      <c r="D172" t="s">
        <v>1</v>
      </c>
      <c r="E172" t="s">
        <v>2</v>
      </c>
      <c r="F172" t="s">
        <v>3</v>
      </c>
      <c r="G172" t="s">
        <v>4</v>
      </c>
      <c r="H172" s="9">
        <v>515</v>
      </c>
      <c r="I172" t="s">
        <v>345</v>
      </c>
      <c r="J172" t="s">
        <v>7</v>
      </c>
      <c r="K172" t="s">
        <v>346</v>
      </c>
      <c r="L172" t="s">
        <v>347</v>
      </c>
      <c r="M172" t="s">
        <v>50</v>
      </c>
      <c r="N172" t="s">
        <v>8</v>
      </c>
      <c r="O172" t="str">
        <f t="shared" si="2"/>
        <v>FIMATEC</v>
      </c>
      <c r="P172" s="8">
        <v>45261</v>
      </c>
      <c r="Q172" t="s">
        <v>348</v>
      </c>
      <c r="R172" s="8">
        <v>45295</v>
      </c>
      <c r="S172" t="s">
        <v>349</v>
      </c>
      <c r="T172" t="s">
        <v>115</v>
      </c>
      <c r="U172" s="12">
        <v>1</v>
      </c>
      <c r="V172" t="s">
        <v>189</v>
      </c>
      <c r="W172" t="s">
        <v>189</v>
      </c>
      <c r="X172" t="s">
        <v>3</v>
      </c>
    </row>
    <row r="173" spans="1:24" x14ac:dyDescent="0.25">
      <c r="A173" t="s">
        <v>297</v>
      </c>
      <c r="B173" s="8">
        <v>45369</v>
      </c>
      <c r="C173" t="s">
        <v>0</v>
      </c>
      <c r="D173" t="s">
        <v>1</v>
      </c>
      <c r="E173" t="s">
        <v>2</v>
      </c>
      <c r="F173" t="s">
        <v>3</v>
      </c>
      <c r="G173" t="s">
        <v>4</v>
      </c>
      <c r="H173" s="9">
        <v>40582.080000000002</v>
      </c>
      <c r="I173" t="s">
        <v>350</v>
      </c>
      <c r="J173" t="s">
        <v>7</v>
      </c>
      <c r="K173" t="s">
        <v>351</v>
      </c>
      <c r="L173" t="s">
        <v>352</v>
      </c>
      <c r="M173" t="s">
        <v>95</v>
      </c>
      <c r="N173" t="s">
        <v>8</v>
      </c>
      <c r="O173" t="str">
        <f t="shared" si="2"/>
        <v>FIMATEC</v>
      </c>
      <c r="P173" s="8">
        <v>45364</v>
      </c>
      <c r="Q173" t="s">
        <v>353</v>
      </c>
      <c r="R173" s="8">
        <v>45369</v>
      </c>
      <c r="S173" t="s">
        <v>354</v>
      </c>
      <c r="T173" t="s">
        <v>71</v>
      </c>
      <c r="U173" s="11">
        <v>0.63</v>
      </c>
      <c r="V173" t="s">
        <v>189</v>
      </c>
      <c r="W173" t="s">
        <v>189</v>
      </c>
      <c r="X173" t="s">
        <v>3</v>
      </c>
    </row>
    <row r="174" spans="1:24" x14ac:dyDescent="0.25">
      <c r="A174" t="s">
        <v>297</v>
      </c>
      <c r="B174" s="8">
        <v>45369</v>
      </c>
      <c r="C174" t="s">
        <v>0</v>
      </c>
      <c r="D174" t="s">
        <v>1</v>
      </c>
      <c r="E174" t="s">
        <v>2</v>
      </c>
      <c r="F174" t="s">
        <v>3</v>
      </c>
      <c r="G174" t="s">
        <v>4</v>
      </c>
      <c r="H174" s="9">
        <v>10299.73</v>
      </c>
      <c r="I174" t="s">
        <v>81</v>
      </c>
      <c r="J174" t="s">
        <v>7</v>
      </c>
      <c r="K174" t="s">
        <v>355</v>
      </c>
      <c r="L174" t="s">
        <v>356</v>
      </c>
      <c r="M174" t="s">
        <v>95</v>
      </c>
      <c r="N174" t="s">
        <v>8</v>
      </c>
      <c r="O174" t="str">
        <f t="shared" si="2"/>
        <v>FIMATEC</v>
      </c>
      <c r="P174" s="8">
        <v>45364</v>
      </c>
      <c r="Q174" t="s">
        <v>357</v>
      </c>
      <c r="R174" s="8">
        <v>45369</v>
      </c>
      <c r="S174" t="s">
        <v>358</v>
      </c>
      <c r="T174" t="s">
        <v>81</v>
      </c>
      <c r="U174" s="11">
        <v>0.63</v>
      </c>
      <c r="V174" t="s">
        <v>189</v>
      </c>
      <c r="W174" t="s">
        <v>189</v>
      </c>
      <c r="X174" t="s">
        <v>3</v>
      </c>
    </row>
    <row r="175" spans="1:24" x14ac:dyDescent="0.25">
      <c r="A175" t="s">
        <v>297</v>
      </c>
      <c r="B175" s="8">
        <v>45369</v>
      </c>
      <c r="C175" t="s">
        <v>0</v>
      </c>
      <c r="D175" t="s">
        <v>1</v>
      </c>
      <c r="E175" t="s">
        <v>2</v>
      </c>
      <c r="F175" t="s">
        <v>13</v>
      </c>
      <c r="G175" t="s">
        <v>14</v>
      </c>
      <c r="H175" s="9">
        <v>8374.08</v>
      </c>
      <c r="I175" t="s">
        <v>350</v>
      </c>
      <c r="J175" t="s">
        <v>7</v>
      </c>
      <c r="K175" t="s">
        <v>351</v>
      </c>
      <c r="L175" t="s">
        <v>352</v>
      </c>
      <c r="M175" t="s">
        <v>95</v>
      </c>
      <c r="N175" t="s">
        <v>6</v>
      </c>
      <c r="O175" t="str">
        <f t="shared" si="2"/>
        <v>FIMATEC</v>
      </c>
      <c r="P175" s="8">
        <v>45364</v>
      </c>
      <c r="Q175" t="s">
        <v>353</v>
      </c>
      <c r="R175" s="8">
        <v>45369</v>
      </c>
      <c r="S175" t="s">
        <v>354</v>
      </c>
      <c r="T175" t="s">
        <v>71</v>
      </c>
      <c r="U175" s="11">
        <v>0.13</v>
      </c>
      <c r="V175" t="s">
        <v>189</v>
      </c>
      <c r="W175" t="s">
        <v>189</v>
      </c>
      <c r="X175" t="s">
        <v>13</v>
      </c>
    </row>
    <row r="176" spans="1:24" x14ac:dyDescent="0.25">
      <c r="A176" t="s">
        <v>297</v>
      </c>
      <c r="B176" s="8">
        <v>45369</v>
      </c>
      <c r="C176" t="s">
        <v>0</v>
      </c>
      <c r="D176" t="s">
        <v>1</v>
      </c>
      <c r="E176" t="s">
        <v>2</v>
      </c>
      <c r="F176" t="s">
        <v>15</v>
      </c>
      <c r="G176" t="s">
        <v>16</v>
      </c>
      <c r="H176" s="9">
        <v>7729.92</v>
      </c>
      <c r="I176" t="s">
        <v>350</v>
      </c>
      <c r="J176" t="s">
        <v>7</v>
      </c>
      <c r="K176" t="s">
        <v>351</v>
      </c>
      <c r="L176" t="s">
        <v>352</v>
      </c>
      <c r="M176" t="s">
        <v>95</v>
      </c>
      <c r="N176" t="s">
        <v>0</v>
      </c>
      <c r="O176" t="str">
        <f t="shared" si="2"/>
        <v>FIMATEC</v>
      </c>
      <c r="P176" s="8">
        <v>45364</v>
      </c>
      <c r="Q176" t="s">
        <v>353</v>
      </c>
      <c r="R176" s="8">
        <v>45369</v>
      </c>
      <c r="S176" t="s">
        <v>354</v>
      </c>
      <c r="T176" t="s">
        <v>71</v>
      </c>
      <c r="U176" s="11">
        <v>0.12</v>
      </c>
      <c r="V176" t="s">
        <v>189</v>
      </c>
      <c r="W176" t="s">
        <v>189</v>
      </c>
      <c r="X176" t="s">
        <v>15</v>
      </c>
    </row>
    <row r="177" spans="1:24" x14ac:dyDescent="0.25">
      <c r="A177" t="s">
        <v>297</v>
      </c>
      <c r="B177" s="8">
        <v>45369</v>
      </c>
      <c r="C177" t="s">
        <v>0</v>
      </c>
      <c r="D177" t="s">
        <v>1</v>
      </c>
      <c r="E177" t="s">
        <v>2</v>
      </c>
      <c r="F177" t="s">
        <v>11</v>
      </c>
      <c r="G177" t="s">
        <v>12</v>
      </c>
      <c r="H177" s="9">
        <v>7729.92</v>
      </c>
      <c r="I177" t="s">
        <v>350</v>
      </c>
      <c r="J177" t="s">
        <v>7</v>
      </c>
      <c r="K177" t="s">
        <v>351</v>
      </c>
      <c r="L177" t="s">
        <v>352</v>
      </c>
      <c r="M177" t="s">
        <v>95</v>
      </c>
      <c r="N177" t="s">
        <v>5</v>
      </c>
      <c r="O177" t="str">
        <f t="shared" si="2"/>
        <v>FIMATEC</v>
      </c>
      <c r="P177" s="8">
        <v>45364</v>
      </c>
      <c r="Q177" t="s">
        <v>353</v>
      </c>
      <c r="R177" s="8">
        <v>45369</v>
      </c>
      <c r="S177" t="s">
        <v>354</v>
      </c>
      <c r="T177" t="s">
        <v>71</v>
      </c>
      <c r="U177" s="11">
        <v>0.12</v>
      </c>
      <c r="V177" t="s">
        <v>189</v>
      </c>
      <c r="W177" t="s">
        <v>189</v>
      </c>
      <c r="X177" t="s">
        <v>11</v>
      </c>
    </row>
    <row r="178" spans="1:24" x14ac:dyDescent="0.25">
      <c r="A178" t="s">
        <v>297</v>
      </c>
      <c r="B178" s="8">
        <v>45369</v>
      </c>
      <c r="C178" t="s">
        <v>0</v>
      </c>
      <c r="D178" t="s">
        <v>1</v>
      </c>
      <c r="E178" t="s">
        <v>2</v>
      </c>
      <c r="F178" t="s">
        <v>3</v>
      </c>
      <c r="G178" t="s">
        <v>4</v>
      </c>
      <c r="H178" s="9">
        <v>7304.77</v>
      </c>
      <c r="I178" t="s">
        <v>359</v>
      </c>
      <c r="J178" t="s">
        <v>7</v>
      </c>
      <c r="K178" t="s">
        <v>360</v>
      </c>
      <c r="L178" t="s">
        <v>361</v>
      </c>
      <c r="M178" t="s">
        <v>95</v>
      </c>
      <c r="N178" t="s">
        <v>8</v>
      </c>
      <c r="O178" t="str">
        <f t="shared" si="2"/>
        <v>FIMATEC</v>
      </c>
      <c r="P178" s="8">
        <v>45364</v>
      </c>
      <c r="Q178" t="s">
        <v>362</v>
      </c>
      <c r="R178" s="8">
        <v>45369</v>
      </c>
      <c r="S178" t="s">
        <v>363</v>
      </c>
      <c r="T178" t="s">
        <v>76</v>
      </c>
      <c r="U178" s="11">
        <v>0.63</v>
      </c>
      <c r="V178" t="s">
        <v>189</v>
      </c>
      <c r="W178" t="s">
        <v>189</v>
      </c>
      <c r="X178" t="s">
        <v>3</v>
      </c>
    </row>
    <row r="179" spans="1:24" x14ac:dyDescent="0.25">
      <c r="A179" t="s">
        <v>297</v>
      </c>
      <c r="B179" s="8">
        <v>45369</v>
      </c>
      <c r="C179" t="s">
        <v>0</v>
      </c>
      <c r="D179" t="s">
        <v>1</v>
      </c>
      <c r="E179" t="s">
        <v>2</v>
      </c>
      <c r="F179" t="s">
        <v>17</v>
      </c>
      <c r="G179" t="s">
        <v>18</v>
      </c>
      <c r="H179" s="9">
        <v>3633.06</v>
      </c>
      <c r="I179" t="s">
        <v>81</v>
      </c>
      <c r="J179" t="s">
        <v>7</v>
      </c>
      <c r="K179" t="s">
        <v>364</v>
      </c>
      <c r="L179" t="s">
        <v>365</v>
      </c>
      <c r="M179" t="s">
        <v>95</v>
      </c>
      <c r="N179" t="s">
        <v>8</v>
      </c>
      <c r="O179" t="str">
        <f t="shared" si="2"/>
        <v>FIMATEC</v>
      </c>
      <c r="P179" s="8">
        <v>45364</v>
      </c>
      <c r="Q179" t="s">
        <v>366</v>
      </c>
      <c r="R179" s="8">
        <v>45369</v>
      </c>
      <c r="S179" t="s">
        <v>367</v>
      </c>
      <c r="T179" t="s">
        <v>81</v>
      </c>
      <c r="U179" s="12">
        <v>1</v>
      </c>
      <c r="V179" t="s">
        <v>189</v>
      </c>
      <c r="W179" t="s">
        <v>189</v>
      </c>
      <c r="X179" t="s">
        <v>17</v>
      </c>
    </row>
    <row r="180" spans="1:24" x14ac:dyDescent="0.25">
      <c r="A180" t="s">
        <v>297</v>
      </c>
      <c r="B180" s="8">
        <v>45369</v>
      </c>
      <c r="C180" t="s">
        <v>0</v>
      </c>
      <c r="D180" t="s">
        <v>1</v>
      </c>
      <c r="E180" t="s">
        <v>2</v>
      </c>
      <c r="F180" t="s">
        <v>13</v>
      </c>
      <c r="G180" t="s">
        <v>14</v>
      </c>
      <c r="H180" s="9">
        <v>2125.34</v>
      </c>
      <c r="I180" t="s">
        <v>81</v>
      </c>
      <c r="J180" t="s">
        <v>7</v>
      </c>
      <c r="K180" t="s">
        <v>355</v>
      </c>
      <c r="L180" t="s">
        <v>356</v>
      </c>
      <c r="M180" t="s">
        <v>95</v>
      </c>
      <c r="N180" t="s">
        <v>6</v>
      </c>
      <c r="O180" t="str">
        <f t="shared" si="2"/>
        <v>FIMATEC</v>
      </c>
      <c r="P180" s="8">
        <v>45364</v>
      </c>
      <c r="Q180" t="s">
        <v>357</v>
      </c>
      <c r="R180" s="8">
        <v>45369</v>
      </c>
      <c r="S180" t="s">
        <v>358</v>
      </c>
      <c r="T180" t="s">
        <v>81</v>
      </c>
      <c r="U180" s="11">
        <v>0.13</v>
      </c>
      <c r="V180" t="s">
        <v>189</v>
      </c>
      <c r="W180" t="s">
        <v>189</v>
      </c>
      <c r="X180" t="s">
        <v>13</v>
      </c>
    </row>
    <row r="181" spans="1:24" x14ac:dyDescent="0.25">
      <c r="A181" t="s">
        <v>297</v>
      </c>
      <c r="B181" s="8">
        <v>45369</v>
      </c>
      <c r="C181" t="s">
        <v>0</v>
      </c>
      <c r="D181" t="s">
        <v>1</v>
      </c>
      <c r="E181" t="s">
        <v>2</v>
      </c>
      <c r="F181" t="s">
        <v>15</v>
      </c>
      <c r="G181" t="s">
        <v>16</v>
      </c>
      <c r="H181" s="9">
        <v>1961.85</v>
      </c>
      <c r="I181" t="s">
        <v>81</v>
      </c>
      <c r="J181" t="s">
        <v>7</v>
      </c>
      <c r="K181" t="s">
        <v>355</v>
      </c>
      <c r="L181" t="s">
        <v>356</v>
      </c>
      <c r="M181" t="s">
        <v>95</v>
      </c>
      <c r="N181" t="s">
        <v>0</v>
      </c>
      <c r="O181" t="str">
        <f t="shared" si="2"/>
        <v>FIMATEC</v>
      </c>
      <c r="P181" s="8">
        <v>45364</v>
      </c>
      <c r="Q181" t="s">
        <v>357</v>
      </c>
      <c r="R181" s="8">
        <v>45369</v>
      </c>
      <c r="S181" t="s">
        <v>358</v>
      </c>
      <c r="T181" t="s">
        <v>81</v>
      </c>
      <c r="U181" s="11">
        <v>0.12</v>
      </c>
      <c r="V181" t="s">
        <v>189</v>
      </c>
      <c r="W181" t="s">
        <v>189</v>
      </c>
      <c r="X181" t="s">
        <v>15</v>
      </c>
    </row>
    <row r="182" spans="1:24" x14ac:dyDescent="0.25">
      <c r="A182" t="s">
        <v>297</v>
      </c>
      <c r="B182" s="8">
        <v>45369</v>
      </c>
      <c r="C182" t="s">
        <v>0</v>
      </c>
      <c r="D182" t="s">
        <v>1</v>
      </c>
      <c r="E182" t="s">
        <v>2</v>
      </c>
      <c r="F182" t="s">
        <v>11</v>
      </c>
      <c r="G182" t="s">
        <v>12</v>
      </c>
      <c r="H182" s="9">
        <v>1961.85</v>
      </c>
      <c r="I182" t="s">
        <v>81</v>
      </c>
      <c r="J182" t="s">
        <v>7</v>
      </c>
      <c r="K182" t="s">
        <v>355</v>
      </c>
      <c r="L182" t="s">
        <v>356</v>
      </c>
      <c r="M182" t="s">
        <v>95</v>
      </c>
      <c r="N182" t="s">
        <v>5</v>
      </c>
      <c r="O182" t="str">
        <f t="shared" si="2"/>
        <v>FIMATEC</v>
      </c>
      <c r="P182" s="8">
        <v>45364</v>
      </c>
      <c r="Q182" t="s">
        <v>357</v>
      </c>
      <c r="R182" s="8">
        <v>45369</v>
      </c>
      <c r="S182" t="s">
        <v>358</v>
      </c>
      <c r="T182" t="s">
        <v>81</v>
      </c>
      <c r="U182" s="11">
        <v>0.12</v>
      </c>
      <c r="V182" t="s">
        <v>189</v>
      </c>
      <c r="W182" t="s">
        <v>189</v>
      </c>
      <c r="X182" t="s">
        <v>11</v>
      </c>
    </row>
    <row r="183" spans="1:24" x14ac:dyDescent="0.25">
      <c r="A183" t="s">
        <v>297</v>
      </c>
      <c r="B183" s="8">
        <v>45369</v>
      </c>
      <c r="C183" t="s">
        <v>0</v>
      </c>
      <c r="D183" t="s">
        <v>1</v>
      </c>
      <c r="E183" t="s">
        <v>2</v>
      </c>
      <c r="F183" t="s">
        <v>13</v>
      </c>
      <c r="G183" t="s">
        <v>14</v>
      </c>
      <c r="H183" s="9">
        <v>1507.33</v>
      </c>
      <c r="I183" t="s">
        <v>359</v>
      </c>
      <c r="J183" t="s">
        <v>7</v>
      </c>
      <c r="K183" t="s">
        <v>360</v>
      </c>
      <c r="L183" t="s">
        <v>361</v>
      </c>
      <c r="M183" t="s">
        <v>95</v>
      </c>
      <c r="N183" t="s">
        <v>6</v>
      </c>
      <c r="O183" t="str">
        <f t="shared" si="2"/>
        <v>FIMATEC</v>
      </c>
      <c r="P183" s="8">
        <v>45364</v>
      </c>
      <c r="Q183" t="s">
        <v>362</v>
      </c>
      <c r="R183" s="8">
        <v>45369</v>
      </c>
      <c r="S183" t="s">
        <v>363</v>
      </c>
      <c r="T183" t="s">
        <v>76</v>
      </c>
      <c r="U183" s="11">
        <v>0.13</v>
      </c>
      <c r="V183" t="s">
        <v>189</v>
      </c>
      <c r="W183" t="s">
        <v>189</v>
      </c>
      <c r="X183" t="s">
        <v>13</v>
      </c>
    </row>
    <row r="184" spans="1:24" x14ac:dyDescent="0.25">
      <c r="A184" t="s">
        <v>297</v>
      </c>
      <c r="B184" s="8">
        <v>45369</v>
      </c>
      <c r="C184" t="s">
        <v>0</v>
      </c>
      <c r="D184" t="s">
        <v>1</v>
      </c>
      <c r="E184" t="s">
        <v>2</v>
      </c>
      <c r="F184" t="s">
        <v>15</v>
      </c>
      <c r="G184" t="s">
        <v>16</v>
      </c>
      <c r="H184" s="9">
        <v>1391.39</v>
      </c>
      <c r="I184" t="s">
        <v>359</v>
      </c>
      <c r="J184" t="s">
        <v>7</v>
      </c>
      <c r="K184" t="s">
        <v>360</v>
      </c>
      <c r="L184" t="s">
        <v>361</v>
      </c>
      <c r="M184" t="s">
        <v>95</v>
      </c>
      <c r="N184" t="s">
        <v>0</v>
      </c>
      <c r="O184" t="str">
        <f t="shared" si="2"/>
        <v>FIMATEC</v>
      </c>
      <c r="P184" s="8">
        <v>45364</v>
      </c>
      <c r="Q184" t="s">
        <v>362</v>
      </c>
      <c r="R184" s="8">
        <v>45369</v>
      </c>
      <c r="S184" t="s">
        <v>363</v>
      </c>
      <c r="T184" t="s">
        <v>76</v>
      </c>
      <c r="U184" s="11">
        <v>0.12</v>
      </c>
      <c r="V184" t="s">
        <v>189</v>
      </c>
      <c r="W184" t="s">
        <v>189</v>
      </c>
      <c r="X184" t="s">
        <v>15</v>
      </c>
    </row>
    <row r="185" spans="1:24" x14ac:dyDescent="0.25">
      <c r="A185" t="s">
        <v>297</v>
      </c>
      <c r="B185" s="8">
        <v>45369</v>
      </c>
      <c r="C185" t="s">
        <v>0</v>
      </c>
      <c r="D185" t="s">
        <v>1</v>
      </c>
      <c r="E185" t="s">
        <v>2</v>
      </c>
      <c r="F185" t="s">
        <v>11</v>
      </c>
      <c r="G185" t="s">
        <v>12</v>
      </c>
      <c r="H185" s="9">
        <v>1391.39</v>
      </c>
      <c r="I185" t="s">
        <v>359</v>
      </c>
      <c r="J185" t="s">
        <v>7</v>
      </c>
      <c r="K185" t="s">
        <v>360</v>
      </c>
      <c r="L185" t="s">
        <v>361</v>
      </c>
      <c r="M185" t="s">
        <v>95</v>
      </c>
      <c r="N185" t="s">
        <v>5</v>
      </c>
      <c r="O185" t="str">
        <f t="shared" si="2"/>
        <v>FIMATEC</v>
      </c>
      <c r="P185" s="8">
        <v>45364</v>
      </c>
      <c r="Q185" t="s">
        <v>362</v>
      </c>
      <c r="R185" s="8">
        <v>45369</v>
      </c>
      <c r="S185" t="s">
        <v>363</v>
      </c>
      <c r="T185" t="s">
        <v>76</v>
      </c>
      <c r="U185" s="11">
        <v>0.12</v>
      </c>
      <c r="V185" t="s">
        <v>189</v>
      </c>
      <c r="W185" t="s">
        <v>189</v>
      </c>
      <c r="X185" t="s">
        <v>11</v>
      </c>
    </row>
    <row r="186" spans="1:24" x14ac:dyDescent="0.25">
      <c r="A186" t="s">
        <v>297</v>
      </c>
      <c r="B186" s="8">
        <v>45397</v>
      </c>
      <c r="C186" t="s">
        <v>5</v>
      </c>
      <c r="D186" t="s">
        <v>1</v>
      </c>
      <c r="E186" t="s">
        <v>2</v>
      </c>
      <c r="F186" t="s">
        <v>17</v>
      </c>
      <c r="G186" t="s">
        <v>18</v>
      </c>
      <c r="H186" s="9">
        <v>3633.06</v>
      </c>
      <c r="I186" t="s">
        <v>81</v>
      </c>
      <c r="J186" t="s">
        <v>7</v>
      </c>
      <c r="K186" t="s">
        <v>368</v>
      </c>
      <c r="L186" t="s">
        <v>369</v>
      </c>
      <c r="M186" t="s">
        <v>286</v>
      </c>
      <c r="N186" t="s">
        <v>8</v>
      </c>
      <c r="O186" t="str">
        <f t="shared" si="2"/>
        <v>FIMATEC</v>
      </c>
      <c r="P186" s="8">
        <v>45392</v>
      </c>
      <c r="Q186" t="s">
        <v>370</v>
      </c>
      <c r="R186" s="8">
        <v>45397</v>
      </c>
      <c r="S186" t="s">
        <v>371</v>
      </c>
      <c r="T186" t="s">
        <v>81</v>
      </c>
      <c r="U186" s="12">
        <v>1</v>
      </c>
      <c r="V186" t="s">
        <v>189</v>
      </c>
      <c r="W186" t="s">
        <v>189</v>
      </c>
      <c r="X186" t="s">
        <v>17</v>
      </c>
    </row>
    <row r="187" spans="1:24" x14ac:dyDescent="0.25">
      <c r="A187" t="s">
        <v>297</v>
      </c>
      <c r="B187" s="8">
        <v>45397</v>
      </c>
      <c r="C187" t="s">
        <v>5</v>
      </c>
      <c r="D187" t="s">
        <v>1</v>
      </c>
      <c r="E187" t="s">
        <v>2</v>
      </c>
      <c r="F187" t="s">
        <v>13</v>
      </c>
      <c r="G187" t="s">
        <v>14</v>
      </c>
      <c r="H187" s="9">
        <v>8374.08</v>
      </c>
      <c r="I187" t="s">
        <v>372</v>
      </c>
      <c r="J187" t="s">
        <v>7</v>
      </c>
      <c r="K187" t="s">
        <v>373</v>
      </c>
      <c r="L187" t="s">
        <v>374</v>
      </c>
      <c r="M187" t="s">
        <v>286</v>
      </c>
      <c r="N187" t="s">
        <v>6</v>
      </c>
      <c r="O187" t="str">
        <f t="shared" si="2"/>
        <v>FIMATEC</v>
      </c>
      <c r="P187" s="8">
        <v>45392</v>
      </c>
      <c r="Q187" t="s">
        <v>375</v>
      </c>
      <c r="R187" s="8">
        <v>45397</v>
      </c>
      <c r="S187" t="s">
        <v>376</v>
      </c>
      <c r="T187" t="s">
        <v>71</v>
      </c>
      <c r="U187" s="11">
        <v>0.13</v>
      </c>
      <c r="V187" t="s">
        <v>189</v>
      </c>
      <c r="W187" t="s">
        <v>189</v>
      </c>
      <c r="X187" t="s">
        <v>13</v>
      </c>
    </row>
    <row r="188" spans="1:24" x14ac:dyDescent="0.25">
      <c r="A188" t="s">
        <v>297</v>
      </c>
      <c r="B188" s="8">
        <v>45397</v>
      </c>
      <c r="C188" t="s">
        <v>5</v>
      </c>
      <c r="D188" t="s">
        <v>1</v>
      </c>
      <c r="E188" t="s">
        <v>2</v>
      </c>
      <c r="F188" t="s">
        <v>13</v>
      </c>
      <c r="G188" t="s">
        <v>14</v>
      </c>
      <c r="H188" s="9">
        <v>2125.34</v>
      </c>
      <c r="I188" t="s">
        <v>81</v>
      </c>
      <c r="J188" t="s">
        <v>7</v>
      </c>
      <c r="K188" t="s">
        <v>377</v>
      </c>
      <c r="L188" t="s">
        <v>378</v>
      </c>
      <c r="M188" t="s">
        <v>286</v>
      </c>
      <c r="N188" t="s">
        <v>6</v>
      </c>
      <c r="O188" t="str">
        <f t="shared" si="2"/>
        <v>FIMATEC</v>
      </c>
      <c r="P188" s="8">
        <v>45392</v>
      </c>
      <c r="Q188" t="s">
        <v>379</v>
      </c>
      <c r="R188" s="8">
        <v>45397</v>
      </c>
      <c r="S188" t="s">
        <v>380</v>
      </c>
      <c r="T188" t="s">
        <v>81</v>
      </c>
      <c r="U188" s="11">
        <v>0.13</v>
      </c>
      <c r="V188" t="s">
        <v>189</v>
      </c>
      <c r="W188" t="s">
        <v>189</v>
      </c>
      <c r="X188" t="s">
        <v>13</v>
      </c>
    </row>
    <row r="189" spans="1:24" x14ac:dyDescent="0.25">
      <c r="A189" t="s">
        <v>297</v>
      </c>
      <c r="B189" s="8">
        <v>45397</v>
      </c>
      <c r="C189" t="s">
        <v>5</v>
      </c>
      <c r="D189" t="s">
        <v>1</v>
      </c>
      <c r="E189" t="s">
        <v>2</v>
      </c>
      <c r="F189" t="s">
        <v>13</v>
      </c>
      <c r="G189" t="s">
        <v>14</v>
      </c>
      <c r="H189" s="9">
        <v>1507.33</v>
      </c>
      <c r="I189" t="s">
        <v>76</v>
      </c>
      <c r="J189" t="s">
        <v>7</v>
      </c>
      <c r="K189" t="s">
        <v>381</v>
      </c>
      <c r="L189" t="s">
        <v>382</v>
      </c>
      <c r="M189" t="s">
        <v>286</v>
      </c>
      <c r="N189" t="s">
        <v>6</v>
      </c>
      <c r="O189" t="str">
        <f t="shared" si="2"/>
        <v>FIMATEC</v>
      </c>
      <c r="P189" s="8">
        <v>45392</v>
      </c>
      <c r="Q189" t="s">
        <v>383</v>
      </c>
      <c r="R189" s="8">
        <v>45397</v>
      </c>
      <c r="S189" t="s">
        <v>384</v>
      </c>
      <c r="T189" t="s">
        <v>76</v>
      </c>
      <c r="U189" s="11">
        <v>0.13</v>
      </c>
      <c r="V189" t="s">
        <v>189</v>
      </c>
      <c r="W189" t="s">
        <v>189</v>
      </c>
      <c r="X189" t="s">
        <v>13</v>
      </c>
    </row>
    <row r="190" spans="1:24" x14ac:dyDescent="0.25">
      <c r="A190" t="s">
        <v>297</v>
      </c>
      <c r="B190" s="8">
        <v>45397</v>
      </c>
      <c r="C190" t="s">
        <v>5</v>
      </c>
      <c r="D190" t="s">
        <v>1</v>
      </c>
      <c r="E190" t="s">
        <v>2</v>
      </c>
      <c r="F190" t="s">
        <v>3</v>
      </c>
      <c r="G190" t="s">
        <v>4</v>
      </c>
      <c r="H190" s="9">
        <v>40582.080000000002</v>
      </c>
      <c r="I190" t="s">
        <v>372</v>
      </c>
      <c r="J190" t="s">
        <v>7</v>
      </c>
      <c r="K190" t="s">
        <v>373</v>
      </c>
      <c r="L190" t="s">
        <v>374</v>
      </c>
      <c r="M190" t="s">
        <v>286</v>
      </c>
      <c r="N190" t="s">
        <v>8</v>
      </c>
      <c r="O190" t="str">
        <f t="shared" si="2"/>
        <v>FIMATEC</v>
      </c>
      <c r="P190" s="8">
        <v>45392</v>
      </c>
      <c r="Q190" t="s">
        <v>375</v>
      </c>
      <c r="R190" s="8">
        <v>45397</v>
      </c>
      <c r="S190" t="s">
        <v>376</v>
      </c>
      <c r="T190" t="s">
        <v>71</v>
      </c>
      <c r="U190" s="11">
        <v>0.63</v>
      </c>
      <c r="V190" t="s">
        <v>189</v>
      </c>
      <c r="W190" t="s">
        <v>189</v>
      </c>
      <c r="X190" t="s">
        <v>3</v>
      </c>
    </row>
    <row r="191" spans="1:24" x14ac:dyDescent="0.25">
      <c r="A191" t="s">
        <v>297</v>
      </c>
      <c r="B191" s="8">
        <v>45397</v>
      </c>
      <c r="C191" t="s">
        <v>5</v>
      </c>
      <c r="D191" t="s">
        <v>1</v>
      </c>
      <c r="E191" t="s">
        <v>2</v>
      </c>
      <c r="F191" t="s">
        <v>3</v>
      </c>
      <c r="G191" t="s">
        <v>4</v>
      </c>
      <c r="H191" s="9">
        <v>10299.73</v>
      </c>
      <c r="I191" t="s">
        <v>81</v>
      </c>
      <c r="J191" t="s">
        <v>7</v>
      </c>
      <c r="K191" t="s">
        <v>377</v>
      </c>
      <c r="L191" t="s">
        <v>378</v>
      </c>
      <c r="M191" t="s">
        <v>286</v>
      </c>
      <c r="N191" t="s">
        <v>8</v>
      </c>
      <c r="O191" t="str">
        <f t="shared" si="2"/>
        <v>FIMATEC</v>
      </c>
      <c r="P191" s="8">
        <v>45392</v>
      </c>
      <c r="Q191" t="s">
        <v>379</v>
      </c>
      <c r="R191" s="8">
        <v>45397</v>
      </c>
      <c r="S191" t="s">
        <v>380</v>
      </c>
      <c r="T191" t="s">
        <v>81</v>
      </c>
      <c r="U191" s="11">
        <v>0.63</v>
      </c>
      <c r="V191" t="s">
        <v>189</v>
      </c>
      <c r="W191" t="s">
        <v>189</v>
      </c>
      <c r="X191" t="s">
        <v>3</v>
      </c>
    </row>
    <row r="192" spans="1:24" x14ac:dyDescent="0.25">
      <c r="A192" t="s">
        <v>297</v>
      </c>
      <c r="B192" s="8">
        <v>45397</v>
      </c>
      <c r="C192" t="s">
        <v>5</v>
      </c>
      <c r="D192" t="s">
        <v>1</v>
      </c>
      <c r="E192" t="s">
        <v>2</v>
      </c>
      <c r="F192" t="s">
        <v>3</v>
      </c>
      <c r="G192" t="s">
        <v>4</v>
      </c>
      <c r="H192" s="9">
        <v>7304.77</v>
      </c>
      <c r="I192" t="s">
        <v>76</v>
      </c>
      <c r="J192" t="s">
        <v>7</v>
      </c>
      <c r="K192" t="s">
        <v>381</v>
      </c>
      <c r="L192" t="s">
        <v>382</v>
      </c>
      <c r="M192" t="s">
        <v>286</v>
      </c>
      <c r="N192" t="s">
        <v>8</v>
      </c>
      <c r="O192" t="str">
        <f t="shared" si="2"/>
        <v>FIMATEC</v>
      </c>
      <c r="P192" s="8">
        <v>45392</v>
      </c>
      <c r="Q192" t="s">
        <v>383</v>
      </c>
      <c r="R192" s="8">
        <v>45397</v>
      </c>
      <c r="S192" t="s">
        <v>384</v>
      </c>
      <c r="T192" t="s">
        <v>76</v>
      </c>
      <c r="U192" s="11">
        <v>0.63</v>
      </c>
      <c r="V192" t="s">
        <v>189</v>
      </c>
      <c r="W192" t="s">
        <v>189</v>
      </c>
      <c r="X192" t="s">
        <v>3</v>
      </c>
    </row>
    <row r="193" spans="1:25" x14ac:dyDescent="0.25">
      <c r="A193" t="s">
        <v>297</v>
      </c>
      <c r="B193" s="8">
        <v>45397</v>
      </c>
      <c r="C193" t="s">
        <v>5</v>
      </c>
      <c r="D193" t="s">
        <v>1</v>
      </c>
      <c r="E193" t="s">
        <v>2</v>
      </c>
      <c r="F193" t="s">
        <v>15</v>
      </c>
      <c r="G193" t="s">
        <v>16</v>
      </c>
      <c r="H193" s="9">
        <v>7729.92</v>
      </c>
      <c r="I193" t="s">
        <v>372</v>
      </c>
      <c r="J193" t="s">
        <v>7</v>
      </c>
      <c r="K193" t="s">
        <v>373</v>
      </c>
      <c r="L193" t="s">
        <v>374</v>
      </c>
      <c r="M193" t="s">
        <v>286</v>
      </c>
      <c r="N193" t="s">
        <v>0</v>
      </c>
      <c r="O193" t="str">
        <f t="shared" si="2"/>
        <v>FIMATEC</v>
      </c>
      <c r="P193" s="8">
        <v>45392</v>
      </c>
      <c r="Q193" t="s">
        <v>375</v>
      </c>
      <c r="R193" s="8">
        <v>45397</v>
      </c>
      <c r="S193" t="s">
        <v>376</v>
      </c>
      <c r="T193" t="s">
        <v>71</v>
      </c>
      <c r="U193" s="11">
        <v>0.12</v>
      </c>
      <c r="V193" t="s">
        <v>189</v>
      </c>
      <c r="W193" t="s">
        <v>189</v>
      </c>
      <c r="X193" t="s">
        <v>15</v>
      </c>
    </row>
    <row r="194" spans="1:25" x14ac:dyDescent="0.25">
      <c r="A194" t="s">
        <v>297</v>
      </c>
      <c r="B194" s="8">
        <v>45397</v>
      </c>
      <c r="C194" t="s">
        <v>5</v>
      </c>
      <c r="D194" t="s">
        <v>1</v>
      </c>
      <c r="E194" t="s">
        <v>2</v>
      </c>
      <c r="F194" t="s">
        <v>15</v>
      </c>
      <c r="G194" t="s">
        <v>16</v>
      </c>
      <c r="H194" s="9">
        <v>1961.85</v>
      </c>
      <c r="I194" t="s">
        <v>81</v>
      </c>
      <c r="J194" t="s">
        <v>7</v>
      </c>
      <c r="K194" t="s">
        <v>377</v>
      </c>
      <c r="L194" t="s">
        <v>378</v>
      </c>
      <c r="M194" t="s">
        <v>286</v>
      </c>
      <c r="N194" t="s">
        <v>0</v>
      </c>
      <c r="O194" t="str">
        <f t="shared" ref="O194:O257" si="3">LEFT(J194,7)</f>
        <v>FIMATEC</v>
      </c>
      <c r="P194" s="8">
        <v>45392</v>
      </c>
      <c r="Q194" t="s">
        <v>379</v>
      </c>
      <c r="R194" s="8">
        <v>45397</v>
      </c>
      <c r="S194" t="s">
        <v>380</v>
      </c>
      <c r="T194" t="s">
        <v>81</v>
      </c>
      <c r="U194" s="11">
        <v>0.12</v>
      </c>
      <c r="V194" t="s">
        <v>189</v>
      </c>
      <c r="W194" t="s">
        <v>189</v>
      </c>
      <c r="X194" t="s">
        <v>15</v>
      </c>
    </row>
    <row r="195" spans="1:25" x14ac:dyDescent="0.25">
      <c r="A195" t="s">
        <v>297</v>
      </c>
      <c r="B195" s="8">
        <v>45397</v>
      </c>
      <c r="C195" t="s">
        <v>5</v>
      </c>
      <c r="D195" t="s">
        <v>1</v>
      </c>
      <c r="E195" t="s">
        <v>2</v>
      </c>
      <c r="F195" t="s">
        <v>15</v>
      </c>
      <c r="G195" t="s">
        <v>16</v>
      </c>
      <c r="H195" s="9">
        <v>1391.39</v>
      </c>
      <c r="I195" t="s">
        <v>76</v>
      </c>
      <c r="J195" t="s">
        <v>7</v>
      </c>
      <c r="K195" t="s">
        <v>381</v>
      </c>
      <c r="L195" t="s">
        <v>382</v>
      </c>
      <c r="M195" t="s">
        <v>286</v>
      </c>
      <c r="N195" t="s">
        <v>0</v>
      </c>
      <c r="O195" t="str">
        <f t="shared" si="3"/>
        <v>FIMATEC</v>
      </c>
      <c r="P195" s="8">
        <v>45392</v>
      </c>
      <c r="Q195" t="s">
        <v>383</v>
      </c>
      <c r="R195" s="8">
        <v>45397</v>
      </c>
      <c r="S195" t="s">
        <v>384</v>
      </c>
      <c r="T195" t="s">
        <v>76</v>
      </c>
      <c r="U195" s="11">
        <v>0.12</v>
      </c>
      <c r="V195" t="s">
        <v>189</v>
      </c>
      <c r="W195" t="s">
        <v>189</v>
      </c>
      <c r="X195" t="s">
        <v>15</v>
      </c>
    </row>
    <row r="196" spans="1:25" x14ac:dyDescent="0.25">
      <c r="A196" t="s">
        <v>297</v>
      </c>
      <c r="B196" s="8">
        <v>45397</v>
      </c>
      <c r="C196" t="s">
        <v>5</v>
      </c>
      <c r="D196" t="s">
        <v>1</v>
      </c>
      <c r="E196" t="s">
        <v>2</v>
      </c>
      <c r="F196" t="s">
        <v>11</v>
      </c>
      <c r="G196" t="s">
        <v>12</v>
      </c>
      <c r="H196" s="9">
        <v>7729.92</v>
      </c>
      <c r="I196" t="s">
        <v>372</v>
      </c>
      <c r="J196" t="s">
        <v>7</v>
      </c>
      <c r="K196" t="s">
        <v>373</v>
      </c>
      <c r="L196" t="s">
        <v>374</v>
      </c>
      <c r="M196" t="s">
        <v>286</v>
      </c>
      <c r="N196" t="s">
        <v>5</v>
      </c>
      <c r="O196" t="str">
        <f t="shared" si="3"/>
        <v>FIMATEC</v>
      </c>
      <c r="P196" s="8">
        <v>45392</v>
      </c>
      <c r="Q196" t="s">
        <v>375</v>
      </c>
      <c r="R196" s="8">
        <v>45397</v>
      </c>
      <c r="S196" t="s">
        <v>376</v>
      </c>
      <c r="T196" t="s">
        <v>71</v>
      </c>
      <c r="U196" s="11">
        <v>0.12</v>
      </c>
      <c r="V196" t="s">
        <v>189</v>
      </c>
      <c r="W196" t="s">
        <v>189</v>
      </c>
      <c r="X196" t="s">
        <v>11</v>
      </c>
    </row>
    <row r="197" spans="1:25" x14ac:dyDescent="0.25">
      <c r="A197" t="s">
        <v>297</v>
      </c>
      <c r="B197" s="8">
        <v>45397</v>
      </c>
      <c r="C197" t="s">
        <v>5</v>
      </c>
      <c r="D197" t="s">
        <v>1</v>
      </c>
      <c r="E197" t="s">
        <v>2</v>
      </c>
      <c r="F197" t="s">
        <v>11</v>
      </c>
      <c r="G197" t="s">
        <v>12</v>
      </c>
      <c r="H197" s="9">
        <v>1961.85</v>
      </c>
      <c r="I197" t="s">
        <v>81</v>
      </c>
      <c r="J197" t="s">
        <v>7</v>
      </c>
      <c r="K197" t="s">
        <v>377</v>
      </c>
      <c r="L197" t="s">
        <v>378</v>
      </c>
      <c r="M197" t="s">
        <v>286</v>
      </c>
      <c r="N197" t="s">
        <v>5</v>
      </c>
      <c r="O197" t="str">
        <f t="shared" si="3"/>
        <v>FIMATEC</v>
      </c>
      <c r="P197" s="8">
        <v>45392</v>
      </c>
      <c r="Q197" t="s">
        <v>379</v>
      </c>
      <c r="R197" s="8">
        <v>45397</v>
      </c>
      <c r="S197" t="s">
        <v>380</v>
      </c>
      <c r="T197" t="s">
        <v>81</v>
      </c>
      <c r="U197" s="11">
        <v>0.12</v>
      </c>
      <c r="V197" t="s">
        <v>189</v>
      </c>
      <c r="W197" t="s">
        <v>189</v>
      </c>
      <c r="X197" t="s">
        <v>11</v>
      </c>
    </row>
    <row r="198" spans="1:25" x14ac:dyDescent="0.25">
      <c r="A198" t="s">
        <v>297</v>
      </c>
      <c r="B198" s="8">
        <v>45397</v>
      </c>
      <c r="C198" t="s">
        <v>5</v>
      </c>
      <c r="D198" t="s">
        <v>1</v>
      </c>
      <c r="E198" t="s">
        <v>2</v>
      </c>
      <c r="F198" t="s">
        <v>11</v>
      </c>
      <c r="G198" t="s">
        <v>12</v>
      </c>
      <c r="H198" s="9">
        <v>1391.39</v>
      </c>
      <c r="I198" t="s">
        <v>76</v>
      </c>
      <c r="J198" t="s">
        <v>7</v>
      </c>
      <c r="K198" t="s">
        <v>381</v>
      </c>
      <c r="L198" t="s">
        <v>382</v>
      </c>
      <c r="M198" t="s">
        <v>286</v>
      </c>
      <c r="N198" t="s">
        <v>5</v>
      </c>
      <c r="O198" t="str">
        <f t="shared" si="3"/>
        <v>FIMATEC</v>
      </c>
      <c r="P198" s="8">
        <v>45392</v>
      </c>
      <c r="Q198" t="s">
        <v>383</v>
      </c>
      <c r="R198" s="8">
        <v>45397</v>
      </c>
      <c r="S198" t="s">
        <v>384</v>
      </c>
      <c r="T198" t="s">
        <v>76</v>
      </c>
      <c r="U198" s="11">
        <v>0.12</v>
      </c>
      <c r="V198" t="s">
        <v>189</v>
      </c>
      <c r="W198" t="s">
        <v>189</v>
      </c>
      <c r="X198" t="s">
        <v>11</v>
      </c>
    </row>
    <row r="199" spans="1:25" x14ac:dyDescent="0.25">
      <c r="A199" t="s">
        <v>297</v>
      </c>
      <c r="B199" s="8">
        <v>45398</v>
      </c>
      <c r="C199" t="s">
        <v>5</v>
      </c>
      <c r="D199" t="s">
        <v>385</v>
      </c>
      <c r="E199" t="s">
        <v>386</v>
      </c>
      <c r="F199" t="s">
        <v>387</v>
      </c>
      <c r="G199" t="s">
        <v>388</v>
      </c>
      <c r="H199" s="9">
        <v>700</v>
      </c>
      <c r="I199" t="s">
        <v>389</v>
      </c>
      <c r="J199" t="s">
        <v>7</v>
      </c>
      <c r="K199">
        <v>660805132</v>
      </c>
      <c r="L199" t="s">
        <v>390</v>
      </c>
      <c r="M199" t="s">
        <v>50</v>
      </c>
      <c r="N199" t="s">
        <v>8</v>
      </c>
      <c r="O199" t="str">
        <f t="shared" si="3"/>
        <v>FIMATEC</v>
      </c>
      <c r="P199" s="8">
        <v>45366</v>
      </c>
      <c r="Q199" t="s">
        <v>391</v>
      </c>
      <c r="R199" s="8">
        <v>45398</v>
      </c>
      <c r="S199" t="s">
        <v>392</v>
      </c>
      <c r="T199" t="s">
        <v>115</v>
      </c>
      <c r="U199" s="12">
        <v>1</v>
      </c>
      <c r="V199" t="s">
        <v>189</v>
      </c>
      <c r="W199" t="s">
        <v>189</v>
      </c>
      <c r="X199" t="s">
        <v>387</v>
      </c>
    </row>
    <row r="200" spans="1:25" x14ac:dyDescent="0.25">
      <c r="A200" t="s">
        <v>297</v>
      </c>
      <c r="B200" s="7">
        <v>45450</v>
      </c>
      <c r="C200" t="s">
        <v>116</v>
      </c>
      <c r="D200" t="s">
        <v>385</v>
      </c>
      <c r="E200" t="s">
        <v>386</v>
      </c>
      <c r="F200" t="s">
        <v>387</v>
      </c>
      <c r="G200" t="s">
        <v>388</v>
      </c>
      <c r="H200" s="14">
        <v>700</v>
      </c>
      <c r="I200" t="s">
        <v>393</v>
      </c>
      <c r="J200" t="s">
        <v>7</v>
      </c>
      <c r="K200" t="s">
        <v>394</v>
      </c>
      <c r="L200" t="s">
        <v>395</v>
      </c>
      <c r="M200" t="s">
        <v>286</v>
      </c>
      <c r="N200" t="s">
        <v>8</v>
      </c>
      <c r="O200" t="str">
        <f t="shared" si="3"/>
        <v>FIMATEC</v>
      </c>
      <c r="P200" s="7">
        <v>45366</v>
      </c>
      <c r="Q200" t="s">
        <v>396</v>
      </c>
      <c r="R200" s="7">
        <v>45450</v>
      </c>
      <c r="S200" t="s">
        <v>397</v>
      </c>
      <c r="T200" t="s">
        <v>115</v>
      </c>
      <c r="U200">
        <v>1</v>
      </c>
      <c r="V200" t="s">
        <v>189</v>
      </c>
      <c r="W200" t="s">
        <v>189</v>
      </c>
      <c r="X200" t="s">
        <v>387</v>
      </c>
      <c r="Y200" t="s">
        <v>398</v>
      </c>
    </row>
    <row r="201" spans="1:25" x14ac:dyDescent="0.25">
      <c r="A201" t="s">
        <v>297</v>
      </c>
      <c r="B201" s="7">
        <v>45450</v>
      </c>
      <c r="C201" t="s">
        <v>116</v>
      </c>
      <c r="D201" t="s">
        <v>385</v>
      </c>
      <c r="E201" t="s">
        <v>386</v>
      </c>
      <c r="F201" t="s">
        <v>387</v>
      </c>
      <c r="G201" t="s">
        <v>388</v>
      </c>
      <c r="H201" s="14">
        <v>-700</v>
      </c>
      <c r="I201" t="s">
        <v>115</v>
      </c>
      <c r="J201" t="s">
        <v>7</v>
      </c>
      <c r="K201" t="s">
        <v>394</v>
      </c>
      <c r="L201" t="s">
        <v>399</v>
      </c>
      <c r="M201" t="s">
        <v>286</v>
      </c>
      <c r="N201" t="s">
        <v>8</v>
      </c>
      <c r="O201" t="str">
        <f t="shared" si="3"/>
        <v>FIMATEC</v>
      </c>
      <c r="P201" s="7">
        <v>45366</v>
      </c>
      <c r="Q201" t="s">
        <v>400</v>
      </c>
      <c r="R201" s="7">
        <v>45450</v>
      </c>
      <c r="S201" t="s">
        <v>397</v>
      </c>
      <c r="T201" t="s">
        <v>115</v>
      </c>
      <c r="U201">
        <v>-1</v>
      </c>
      <c r="V201" t="s">
        <v>189</v>
      </c>
      <c r="W201" t="s">
        <v>189</v>
      </c>
      <c r="X201" t="s">
        <v>387</v>
      </c>
      <c r="Y201" t="s">
        <v>398</v>
      </c>
    </row>
    <row r="202" spans="1:25" x14ac:dyDescent="0.25">
      <c r="A202" t="s">
        <v>297</v>
      </c>
      <c r="B202" s="7">
        <v>45450</v>
      </c>
      <c r="C202" t="s">
        <v>116</v>
      </c>
      <c r="D202" t="s">
        <v>385</v>
      </c>
      <c r="E202" t="s">
        <v>386</v>
      </c>
      <c r="F202" t="s">
        <v>387</v>
      </c>
      <c r="G202" t="s">
        <v>388</v>
      </c>
      <c r="H202" s="14">
        <v>700</v>
      </c>
      <c r="I202" t="s">
        <v>393</v>
      </c>
      <c r="J202" t="s">
        <v>7</v>
      </c>
      <c r="K202" t="s">
        <v>394</v>
      </c>
      <c r="L202" t="s">
        <v>401</v>
      </c>
      <c r="M202" t="s">
        <v>286</v>
      </c>
      <c r="N202" t="s">
        <v>8</v>
      </c>
      <c r="O202" t="str">
        <f t="shared" si="3"/>
        <v>FIMATEC</v>
      </c>
      <c r="P202" s="7">
        <v>45366</v>
      </c>
      <c r="Q202" t="s">
        <v>402</v>
      </c>
      <c r="R202" s="7">
        <v>45450</v>
      </c>
      <c r="S202" t="s">
        <v>403</v>
      </c>
      <c r="T202" t="s">
        <v>115</v>
      </c>
      <c r="U202">
        <v>1</v>
      </c>
      <c r="V202" t="s">
        <v>189</v>
      </c>
      <c r="W202" t="s">
        <v>189</v>
      </c>
      <c r="X202" t="s">
        <v>387</v>
      </c>
      <c r="Y202" t="s">
        <v>398</v>
      </c>
    </row>
    <row r="203" spans="1:25" x14ac:dyDescent="0.25">
      <c r="A203" t="s">
        <v>297</v>
      </c>
      <c r="B203" s="8">
        <v>45489</v>
      </c>
      <c r="C203" t="s">
        <v>138</v>
      </c>
      <c r="D203" t="s">
        <v>385</v>
      </c>
      <c r="E203" t="s">
        <v>386</v>
      </c>
      <c r="F203" t="s">
        <v>387</v>
      </c>
      <c r="G203" t="s">
        <v>388</v>
      </c>
      <c r="H203" s="9">
        <v>320</v>
      </c>
      <c r="I203" t="s">
        <v>404</v>
      </c>
      <c r="J203" t="s">
        <v>7</v>
      </c>
      <c r="K203" t="s">
        <v>405</v>
      </c>
      <c r="L203" t="s">
        <v>406</v>
      </c>
      <c r="M203" t="s">
        <v>260</v>
      </c>
      <c r="N203" t="s">
        <v>8</v>
      </c>
      <c r="O203" t="str">
        <f t="shared" si="3"/>
        <v>FIMATEC</v>
      </c>
      <c r="P203" s="8">
        <v>45474</v>
      </c>
      <c r="Q203" t="s">
        <v>407</v>
      </c>
      <c r="R203" s="8">
        <v>45489</v>
      </c>
      <c r="S203" t="s">
        <v>408</v>
      </c>
      <c r="T203" t="s">
        <v>115</v>
      </c>
      <c r="U203" s="12">
        <v>1</v>
      </c>
      <c r="V203" t="s">
        <v>189</v>
      </c>
      <c r="W203" t="s">
        <v>189</v>
      </c>
      <c r="X203" t="s">
        <v>387</v>
      </c>
      <c r="Y203" t="s">
        <v>398</v>
      </c>
    </row>
    <row r="204" spans="1:25" x14ac:dyDescent="0.25">
      <c r="A204" t="s">
        <v>297</v>
      </c>
      <c r="B204" s="8">
        <v>45490</v>
      </c>
      <c r="C204" t="s">
        <v>138</v>
      </c>
      <c r="D204" t="s">
        <v>385</v>
      </c>
      <c r="E204" t="s">
        <v>386</v>
      </c>
      <c r="F204" t="s">
        <v>387</v>
      </c>
      <c r="G204" t="s">
        <v>388</v>
      </c>
      <c r="H204" s="9">
        <v>320</v>
      </c>
      <c r="I204" t="s">
        <v>409</v>
      </c>
      <c r="J204" t="s">
        <v>7</v>
      </c>
      <c r="K204" t="s">
        <v>410</v>
      </c>
      <c r="L204" t="s">
        <v>411</v>
      </c>
      <c r="M204" t="s">
        <v>286</v>
      </c>
      <c r="N204" t="s">
        <v>8</v>
      </c>
      <c r="O204" t="str">
        <f t="shared" si="3"/>
        <v>FIMATEC</v>
      </c>
      <c r="P204" s="8">
        <v>45475</v>
      </c>
      <c r="Q204" t="s">
        <v>412</v>
      </c>
      <c r="R204" s="8">
        <v>45490</v>
      </c>
      <c r="S204" t="s">
        <v>413</v>
      </c>
      <c r="T204" t="s">
        <v>115</v>
      </c>
      <c r="U204" s="12">
        <v>1</v>
      </c>
      <c r="V204" t="s">
        <v>189</v>
      </c>
      <c r="W204" t="s">
        <v>189</v>
      </c>
      <c r="X204" t="s">
        <v>387</v>
      </c>
      <c r="Y204" t="s">
        <v>398</v>
      </c>
    </row>
    <row r="205" spans="1:25" x14ac:dyDescent="0.25">
      <c r="A205" t="s">
        <v>297</v>
      </c>
      <c r="B205" s="8">
        <v>45490</v>
      </c>
      <c r="C205" t="s">
        <v>138</v>
      </c>
      <c r="D205" t="s">
        <v>385</v>
      </c>
      <c r="E205" t="s">
        <v>386</v>
      </c>
      <c r="F205" t="s">
        <v>387</v>
      </c>
      <c r="G205" t="s">
        <v>388</v>
      </c>
      <c r="H205" s="9">
        <v>320</v>
      </c>
      <c r="I205" t="s">
        <v>414</v>
      </c>
      <c r="J205" t="s">
        <v>7</v>
      </c>
      <c r="K205" t="s">
        <v>415</v>
      </c>
      <c r="L205" t="s">
        <v>416</v>
      </c>
      <c r="M205" t="s">
        <v>286</v>
      </c>
      <c r="N205" t="s">
        <v>8</v>
      </c>
      <c r="O205" t="str">
        <f t="shared" si="3"/>
        <v>FIMATEC</v>
      </c>
      <c r="P205" s="8">
        <v>45474</v>
      </c>
      <c r="Q205" t="s">
        <v>417</v>
      </c>
      <c r="R205" s="8">
        <v>45490</v>
      </c>
      <c r="S205" t="s">
        <v>418</v>
      </c>
      <c r="T205" t="s">
        <v>115</v>
      </c>
      <c r="U205" s="12">
        <v>1</v>
      </c>
      <c r="V205" t="s">
        <v>189</v>
      </c>
      <c r="W205" t="s">
        <v>189</v>
      </c>
      <c r="X205" t="s">
        <v>387</v>
      </c>
      <c r="Y205" t="s">
        <v>398</v>
      </c>
    </row>
    <row r="206" spans="1:25" x14ac:dyDescent="0.25">
      <c r="A206" t="s">
        <v>297</v>
      </c>
      <c r="B206" s="8">
        <v>45498</v>
      </c>
      <c r="C206" t="s">
        <v>138</v>
      </c>
      <c r="D206" t="s">
        <v>1</v>
      </c>
      <c r="E206" t="s">
        <v>2</v>
      </c>
      <c r="F206" t="s">
        <v>11</v>
      </c>
      <c r="G206" t="s">
        <v>12</v>
      </c>
      <c r="H206" s="9">
        <v>3297</v>
      </c>
      <c r="I206" t="s">
        <v>419</v>
      </c>
      <c r="J206" t="s">
        <v>7</v>
      </c>
      <c r="K206" t="s">
        <v>420</v>
      </c>
      <c r="L206" t="s">
        <v>421</v>
      </c>
      <c r="M206" t="s">
        <v>95</v>
      </c>
      <c r="N206" t="s">
        <v>8</v>
      </c>
      <c r="O206" t="str">
        <f t="shared" si="3"/>
        <v>FIMATEC</v>
      </c>
      <c r="P206" s="8">
        <v>45422</v>
      </c>
      <c r="Q206" t="s">
        <v>422</v>
      </c>
      <c r="R206" s="8">
        <v>45498</v>
      </c>
      <c r="S206" t="s">
        <v>423</v>
      </c>
      <c r="T206" t="s">
        <v>76</v>
      </c>
      <c r="U206" s="12">
        <v>1</v>
      </c>
      <c r="V206" t="s">
        <v>189</v>
      </c>
      <c r="W206" t="s">
        <v>189</v>
      </c>
      <c r="X206" t="s">
        <v>11</v>
      </c>
      <c r="Y206" t="s">
        <v>424</v>
      </c>
    </row>
    <row r="207" spans="1:25" x14ac:dyDescent="0.25">
      <c r="A207" t="s">
        <v>297</v>
      </c>
      <c r="B207" s="8">
        <v>45498</v>
      </c>
      <c r="C207" t="s">
        <v>138</v>
      </c>
      <c r="D207" t="s">
        <v>1</v>
      </c>
      <c r="E207" t="s">
        <v>2</v>
      </c>
      <c r="F207" t="s">
        <v>3</v>
      </c>
      <c r="G207" t="s">
        <v>4</v>
      </c>
      <c r="H207" s="9">
        <v>58457.52</v>
      </c>
      <c r="I207" t="s">
        <v>71</v>
      </c>
      <c r="J207" t="s">
        <v>7</v>
      </c>
      <c r="K207" t="s">
        <v>425</v>
      </c>
      <c r="L207" t="s">
        <v>426</v>
      </c>
      <c r="M207" t="s">
        <v>95</v>
      </c>
      <c r="N207" t="s">
        <v>8</v>
      </c>
      <c r="O207" t="str">
        <f t="shared" si="3"/>
        <v>FIMATEC</v>
      </c>
      <c r="P207" s="8">
        <v>45422</v>
      </c>
      <c r="Q207" t="s">
        <v>427</v>
      </c>
      <c r="R207" s="8">
        <v>45498</v>
      </c>
      <c r="S207" t="s">
        <v>428</v>
      </c>
      <c r="T207" t="s">
        <v>71</v>
      </c>
      <c r="U207" s="12">
        <v>1</v>
      </c>
      <c r="V207" t="s">
        <v>189</v>
      </c>
      <c r="W207" t="s">
        <v>189</v>
      </c>
      <c r="X207" t="s">
        <v>3</v>
      </c>
      <c r="Y207" t="s">
        <v>424</v>
      </c>
    </row>
    <row r="208" spans="1:25" x14ac:dyDescent="0.25">
      <c r="A208" t="s">
        <v>297</v>
      </c>
      <c r="B208" s="8">
        <v>45498</v>
      </c>
      <c r="C208" t="s">
        <v>138</v>
      </c>
      <c r="D208" t="s">
        <v>1</v>
      </c>
      <c r="E208" t="s">
        <v>2</v>
      </c>
      <c r="F208" t="s">
        <v>11</v>
      </c>
      <c r="G208" t="s">
        <v>12</v>
      </c>
      <c r="H208" s="9">
        <v>-3297</v>
      </c>
      <c r="I208" t="s">
        <v>76</v>
      </c>
      <c r="J208" t="s">
        <v>7</v>
      </c>
      <c r="K208" t="s">
        <v>420</v>
      </c>
      <c r="L208" t="s">
        <v>429</v>
      </c>
      <c r="M208" t="s">
        <v>95</v>
      </c>
      <c r="N208" t="s">
        <v>8</v>
      </c>
      <c r="O208" t="str">
        <f t="shared" si="3"/>
        <v>FIMATEC</v>
      </c>
      <c r="P208" s="8">
        <v>45422</v>
      </c>
      <c r="Q208" t="s">
        <v>430</v>
      </c>
      <c r="R208" s="8">
        <v>45498</v>
      </c>
      <c r="S208" t="s">
        <v>423</v>
      </c>
      <c r="T208" t="s">
        <v>76</v>
      </c>
      <c r="U208" s="12">
        <v>-1</v>
      </c>
      <c r="V208" t="s">
        <v>189</v>
      </c>
      <c r="W208" t="s">
        <v>189</v>
      </c>
      <c r="X208" t="s">
        <v>11</v>
      </c>
      <c r="Y208" t="s">
        <v>424</v>
      </c>
    </row>
    <row r="209" spans="1:25" x14ac:dyDescent="0.25">
      <c r="A209" t="s">
        <v>297</v>
      </c>
      <c r="B209" s="8">
        <v>45498</v>
      </c>
      <c r="C209" t="s">
        <v>138</v>
      </c>
      <c r="D209" t="s">
        <v>1</v>
      </c>
      <c r="E209" t="s">
        <v>2</v>
      </c>
      <c r="F209" t="s">
        <v>11</v>
      </c>
      <c r="G209" t="s">
        <v>12</v>
      </c>
      <c r="H209" s="9">
        <v>3297</v>
      </c>
      <c r="I209" t="s">
        <v>76</v>
      </c>
      <c r="J209" t="s">
        <v>7</v>
      </c>
      <c r="K209" t="s">
        <v>420</v>
      </c>
      <c r="L209" t="s">
        <v>431</v>
      </c>
      <c r="M209" t="s">
        <v>95</v>
      </c>
      <c r="N209" t="s">
        <v>8</v>
      </c>
      <c r="O209" t="str">
        <f t="shared" si="3"/>
        <v>FIMATEC</v>
      </c>
      <c r="P209" s="8">
        <v>45422</v>
      </c>
      <c r="Q209" t="s">
        <v>432</v>
      </c>
      <c r="R209" s="8">
        <v>45498</v>
      </c>
      <c r="S209" t="s">
        <v>423</v>
      </c>
      <c r="T209" t="s">
        <v>76</v>
      </c>
      <c r="U209" s="12">
        <v>1</v>
      </c>
      <c r="V209" t="s">
        <v>189</v>
      </c>
      <c r="W209" t="s">
        <v>189</v>
      </c>
      <c r="X209" t="s">
        <v>11</v>
      </c>
      <c r="Y209" t="s">
        <v>424</v>
      </c>
    </row>
    <row r="210" spans="1:25" x14ac:dyDescent="0.25">
      <c r="A210" t="s">
        <v>297</v>
      </c>
      <c r="B210" s="8">
        <v>45498</v>
      </c>
      <c r="C210" t="s">
        <v>138</v>
      </c>
      <c r="D210" t="s">
        <v>1</v>
      </c>
      <c r="E210" t="s">
        <v>2</v>
      </c>
      <c r="F210" t="s">
        <v>13</v>
      </c>
      <c r="G210" t="s">
        <v>14</v>
      </c>
      <c r="H210" s="9">
        <v>10522.35</v>
      </c>
      <c r="I210" t="s">
        <v>76</v>
      </c>
      <c r="J210" t="s">
        <v>7</v>
      </c>
      <c r="K210" t="s">
        <v>433</v>
      </c>
      <c r="L210" t="s">
        <v>434</v>
      </c>
      <c r="M210" t="s">
        <v>95</v>
      </c>
      <c r="N210" t="s">
        <v>8</v>
      </c>
      <c r="O210" t="str">
        <f t="shared" si="3"/>
        <v>FIMATEC</v>
      </c>
      <c r="P210" s="8">
        <v>45422</v>
      </c>
      <c r="Q210" t="s">
        <v>435</v>
      </c>
      <c r="R210" s="8">
        <v>45498</v>
      </c>
      <c r="S210" t="s">
        <v>436</v>
      </c>
      <c r="T210" t="s">
        <v>76</v>
      </c>
      <c r="U210" s="12">
        <v>1</v>
      </c>
      <c r="V210" t="s">
        <v>189</v>
      </c>
      <c r="W210" t="s">
        <v>189</v>
      </c>
      <c r="X210" t="s">
        <v>13</v>
      </c>
      <c r="Y210" t="s">
        <v>424</v>
      </c>
    </row>
    <row r="211" spans="1:25" x14ac:dyDescent="0.25">
      <c r="A211" t="s">
        <v>297</v>
      </c>
      <c r="B211" s="8">
        <v>45498</v>
      </c>
      <c r="C211" t="s">
        <v>138</v>
      </c>
      <c r="D211" t="s">
        <v>1</v>
      </c>
      <c r="E211" t="s">
        <v>2</v>
      </c>
      <c r="F211" t="s">
        <v>15</v>
      </c>
      <c r="G211" t="s">
        <v>16</v>
      </c>
      <c r="H211" s="9">
        <v>14836.51</v>
      </c>
      <c r="I211" t="s">
        <v>76</v>
      </c>
      <c r="J211" t="s">
        <v>7</v>
      </c>
      <c r="K211" t="s">
        <v>437</v>
      </c>
      <c r="L211" t="s">
        <v>438</v>
      </c>
      <c r="M211" t="s">
        <v>95</v>
      </c>
      <c r="N211" t="s">
        <v>8</v>
      </c>
      <c r="O211" t="str">
        <f t="shared" si="3"/>
        <v>FIMATEC</v>
      </c>
      <c r="P211" s="8">
        <v>45422</v>
      </c>
      <c r="Q211" t="s">
        <v>439</v>
      </c>
      <c r="R211" s="8">
        <v>45498</v>
      </c>
      <c r="S211" t="s">
        <v>440</v>
      </c>
      <c r="T211" t="s">
        <v>76</v>
      </c>
      <c r="U211" s="12">
        <v>1</v>
      </c>
      <c r="V211" t="s">
        <v>189</v>
      </c>
      <c r="W211" t="s">
        <v>189</v>
      </c>
      <c r="X211" t="s">
        <v>15</v>
      </c>
      <c r="Y211" t="s">
        <v>424</v>
      </c>
    </row>
    <row r="212" spans="1:25" x14ac:dyDescent="0.25">
      <c r="A212" t="s">
        <v>297</v>
      </c>
      <c r="B212" s="8">
        <v>45502</v>
      </c>
      <c r="C212" t="s">
        <v>138</v>
      </c>
      <c r="D212" t="s">
        <v>170</v>
      </c>
      <c r="E212" t="s">
        <v>171</v>
      </c>
      <c r="F212" t="s">
        <v>15</v>
      </c>
      <c r="G212" t="s">
        <v>16</v>
      </c>
      <c r="H212" s="9">
        <v>16348.77</v>
      </c>
      <c r="I212" t="s">
        <v>76</v>
      </c>
      <c r="J212" t="s">
        <v>7</v>
      </c>
      <c r="K212" t="s">
        <v>441</v>
      </c>
      <c r="L212" t="s">
        <v>442</v>
      </c>
      <c r="M212" t="s">
        <v>286</v>
      </c>
      <c r="N212" t="s">
        <v>8</v>
      </c>
      <c r="O212" t="str">
        <f t="shared" si="3"/>
        <v>FIMATEC</v>
      </c>
      <c r="P212" s="8">
        <v>45463</v>
      </c>
      <c r="Q212" t="s">
        <v>443</v>
      </c>
      <c r="R212" s="8">
        <v>45502</v>
      </c>
      <c r="S212" t="s">
        <v>444</v>
      </c>
      <c r="T212" t="s">
        <v>76</v>
      </c>
      <c r="U212" s="12">
        <v>1</v>
      </c>
      <c r="V212" t="s">
        <v>189</v>
      </c>
      <c r="W212" t="s">
        <v>189</v>
      </c>
      <c r="X212" t="s">
        <v>15</v>
      </c>
      <c r="Y212" t="s">
        <v>171</v>
      </c>
    </row>
    <row r="213" spans="1:25" x14ac:dyDescent="0.25">
      <c r="A213" t="s">
        <v>297</v>
      </c>
      <c r="B213" s="8">
        <v>45502</v>
      </c>
      <c r="C213" t="s">
        <v>138</v>
      </c>
      <c r="D213" t="s">
        <v>170</v>
      </c>
      <c r="E213" t="s">
        <v>171</v>
      </c>
      <c r="F213" t="s">
        <v>17</v>
      </c>
      <c r="G213" t="s">
        <v>18</v>
      </c>
      <c r="H213" s="9">
        <v>3633.06</v>
      </c>
      <c r="I213" t="s">
        <v>76</v>
      </c>
      <c r="J213" t="s">
        <v>7</v>
      </c>
      <c r="K213" t="s">
        <v>445</v>
      </c>
      <c r="L213" t="s">
        <v>446</v>
      </c>
      <c r="M213" t="s">
        <v>286</v>
      </c>
      <c r="N213" t="s">
        <v>8</v>
      </c>
      <c r="O213" t="str">
        <f t="shared" si="3"/>
        <v>FIMATEC</v>
      </c>
      <c r="P213" s="8">
        <v>45463</v>
      </c>
      <c r="Q213" t="s">
        <v>447</v>
      </c>
      <c r="R213" s="8">
        <v>45502</v>
      </c>
      <c r="S213" t="s">
        <v>448</v>
      </c>
      <c r="T213" t="s">
        <v>76</v>
      </c>
      <c r="U213" s="12">
        <v>1</v>
      </c>
      <c r="V213" t="s">
        <v>189</v>
      </c>
      <c r="W213" t="s">
        <v>189</v>
      </c>
      <c r="X213" t="s">
        <v>17</v>
      </c>
      <c r="Y213" t="s">
        <v>171</v>
      </c>
    </row>
    <row r="214" spans="1:25" x14ac:dyDescent="0.25">
      <c r="A214" t="s">
        <v>297</v>
      </c>
      <c r="B214" s="8">
        <v>45502</v>
      </c>
      <c r="C214" t="s">
        <v>138</v>
      </c>
      <c r="D214" t="s">
        <v>1</v>
      </c>
      <c r="E214" t="s">
        <v>2</v>
      </c>
      <c r="F214" t="s">
        <v>13</v>
      </c>
      <c r="G214" t="s">
        <v>14</v>
      </c>
      <c r="H214" s="9">
        <v>11594.88</v>
      </c>
      <c r="I214" t="s">
        <v>76</v>
      </c>
      <c r="J214" t="s">
        <v>7</v>
      </c>
      <c r="K214" t="s">
        <v>449</v>
      </c>
      <c r="L214" t="s">
        <v>450</v>
      </c>
      <c r="M214" t="s">
        <v>286</v>
      </c>
      <c r="N214" t="s">
        <v>8</v>
      </c>
      <c r="O214" t="str">
        <f t="shared" si="3"/>
        <v>FIMATEC</v>
      </c>
      <c r="P214" s="8">
        <v>45463</v>
      </c>
      <c r="Q214" t="s">
        <v>451</v>
      </c>
      <c r="R214" s="8">
        <v>45502</v>
      </c>
      <c r="S214" t="s">
        <v>452</v>
      </c>
      <c r="T214" t="s">
        <v>76</v>
      </c>
      <c r="U214" s="12">
        <v>1</v>
      </c>
      <c r="V214" t="s">
        <v>189</v>
      </c>
      <c r="W214" t="s">
        <v>189</v>
      </c>
      <c r="X214" t="s">
        <v>13</v>
      </c>
      <c r="Y214" t="s">
        <v>424</v>
      </c>
    </row>
    <row r="215" spans="1:25" x14ac:dyDescent="0.25">
      <c r="A215" t="s">
        <v>297</v>
      </c>
      <c r="B215" s="8">
        <v>45502</v>
      </c>
      <c r="C215" t="s">
        <v>138</v>
      </c>
      <c r="D215" t="s">
        <v>1</v>
      </c>
      <c r="E215" t="s">
        <v>2</v>
      </c>
      <c r="F215" t="s">
        <v>3</v>
      </c>
      <c r="G215" t="s">
        <v>4</v>
      </c>
      <c r="H215" s="9">
        <v>64416</v>
      </c>
      <c r="I215" t="s">
        <v>71</v>
      </c>
      <c r="J215" t="s">
        <v>7</v>
      </c>
      <c r="K215" t="s">
        <v>453</v>
      </c>
      <c r="L215" t="s">
        <v>454</v>
      </c>
      <c r="M215" t="s">
        <v>286</v>
      </c>
      <c r="N215" t="s">
        <v>8</v>
      </c>
      <c r="O215" t="str">
        <f t="shared" si="3"/>
        <v>FIMATEC</v>
      </c>
      <c r="P215" s="8">
        <v>45463</v>
      </c>
      <c r="Q215" t="s">
        <v>455</v>
      </c>
      <c r="R215" s="8">
        <v>45502</v>
      </c>
      <c r="S215" t="s">
        <v>456</v>
      </c>
      <c r="T215" t="s">
        <v>71</v>
      </c>
      <c r="U215" s="12">
        <v>1</v>
      </c>
      <c r="V215" t="s">
        <v>189</v>
      </c>
      <c r="W215" t="s">
        <v>189</v>
      </c>
      <c r="X215" t="s">
        <v>3</v>
      </c>
      <c r="Y215" t="s">
        <v>424</v>
      </c>
    </row>
    <row r="216" spans="1:25" x14ac:dyDescent="0.25">
      <c r="A216" t="s">
        <v>297</v>
      </c>
      <c r="B216" s="8">
        <v>45502</v>
      </c>
      <c r="C216" t="s">
        <v>138</v>
      </c>
      <c r="D216" t="s">
        <v>1</v>
      </c>
      <c r="E216" t="s">
        <v>2</v>
      </c>
      <c r="F216" t="s">
        <v>3</v>
      </c>
      <c r="G216" t="s">
        <v>4</v>
      </c>
      <c r="H216" s="9">
        <v>26369.99</v>
      </c>
      <c r="I216" t="s">
        <v>71</v>
      </c>
      <c r="J216" t="s">
        <v>7</v>
      </c>
      <c r="K216" t="s">
        <v>457</v>
      </c>
      <c r="L216" t="s">
        <v>458</v>
      </c>
      <c r="M216" t="s">
        <v>286</v>
      </c>
      <c r="N216" t="s">
        <v>8</v>
      </c>
      <c r="O216" t="str">
        <f t="shared" si="3"/>
        <v>FIMATEC</v>
      </c>
      <c r="P216" s="8">
        <v>45483</v>
      </c>
      <c r="Q216" t="s">
        <v>459</v>
      </c>
      <c r="R216" s="8">
        <v>45502</v>
      </c>
      <c r="S216" t="s">
        <v>460</v>
      </c>
      <c r="T216" t="s">
        <v>71</v>
      </c>
      <c r="U216" s="11">
        <v>0.41</v>
      </c>
      <c r="V216" t="s">
        <v>189</v>
      </c>
      <c r="W216" t="s">
        <v>189</v>
      </c>
      <c r="X216" t="s">
        <v>3</v>
      </c>
      <c r="Y216" t="s">
        <v>424</v>
      </c>
    </row>
    <row r="217" spans="1:25" x14ac:dyDescent="0.25">
      <c r="A217" t="s">
        <v>297</v>
      </c>
      <c r="B217" s="8">
        <v>45502</v>
      </c>
      <c r="C217" t="s">
        <v>138</v>
      </c>
      <c r="D217" t="s">
        <v>1</v>
      </c>
      <c r="E217" t="s">
        <v>2</v>
      </c>
      <c r="F217" t="s">
        <v>13</v>
      </c>
      <c r="G217" t="s">
        <v>14</v>
      </c>
      <c r="H217" s="9">
        <v>5466.95</v>
      </c>
      <c r="I217" t="s">
        <v>71</v>
      </c>
      <c r="J217" t="s">
        <v>7</v>
      </c>
      <c r="K217" t="s">
        <v>457</v>
      </c>
      <c r="L217" t="s">
        <v>458</v>
      </c>
      <c r="M217" t="s">
        <v>286</v>
      </c>
      <c r="N217" t="s">
        <v>6</v>
      </c>
      <c r="O217" t="str">
        <f t="shared" si="3"/>
        <v>FIMATEC</v>
      </c>
      <c r="P217" s="8">
        <v>45483</v>
      </c>
      <c r="Q217" t="s">
        <v>459</v>
      </c>
      <c r="R217" s="8">
        <v>45502</v>
      </c>
      <c r="S217" t="s">
        <v>460</v>
      </c>
      <c r="T217" t="s">
        <v>71</v>
      </c>
      <c r="U217" s="11">
        <v>8.5000000000000006E-2</v>
      </c>
      <c r="V217" t="s">
        <v>189</v>
      </c>
      <c r="W217" t="s">
        <v>189</v>
      </c>
      <c r="X217" t="s">
        <v>13</v>
      </c>
      <c r="Y217" t="s">
        <v>424</v>
      </c>
    </row>
    <row r="218" spans="1:25" x14ac:dyDescent="0.25">
      <c r="A218" t="s">
        <v>297</v>
      </c>
      <c r="B218" s="8">
        <v>45502</v>
      </c>
      <c r="C218" t="s">
        <v>138</v>
      </c>
      <c r="D218" t="s">
        <v>1</v>
      </c>
      <c r="E218" t="s">
        <v>2</v>
      </c>
      <c r="F218" t="s">
        <v>15</v>
      </c>
      <c r="G218" t="s">
        <v>16</v>
      </c>
      <c r="H218" s="9">
        <v>5016.7299999999996</v>
      </c>
      <c r="I218" t="s">
        <v>71</v>
      </c>
      <c r="J218" t="s">
        <v>7</v>
      </c>
      <c r="K218" t="s">
        <v>457</v>
      </c>
      <c r="L218" t="s">
        <v>458</v>
      </c>
      <c r="M218" t="s">
        <v>286</v>
      </c>
      <c r="N218" t="s">
        <v>0</v>
      </c>
      <c r="O218" t="str">
        <f t="shared" si="3"/>
        <v>FIMATEC</v>
      </c>
      <c r="P218" s="8">
        <v>45483</v>
      </c>
      <c r="Q218" t="s">
        <v>459</v>
      </c>
      <c r="R218" s="8">
        <v>45502</v>
      </c>
      <c r="S218" t="s">
        <v>460</v>
      </c>
      <c r="T218" t="s">
        <v>71</v>
      </c>
      <c r="U218" s="11">
        <v>7.8E-2</v>
      </c>
      <c r="V218" t="s">
        <v>189</v>
      </c>
      <c r="W218" t="s">
        <v>189</v>
      </c>
      <c r="X218" t="s">
        <v>15</v>
      </c>
      <c r="Y218" t="s">
        <v>424</v>
      </c>
    </row>
    <row r="219" spans="1:25" x14ac:dyDescent="0.25">
      <c r="A219" t="s">
        <v>297</v>
      </c>
      <c r="B219" s="8">
        <v>45502</v>
      </c>
      <c r="C219" t="s">
        <v>138</v>
      </c>
      <c r="D219" t="s">
        <v>1</v>
      </c>
      <c r="E219" t="s">
        <v>2</v>
      </c>
      <c r="F219" t="s">
        <v>11</v>
      </c>
      <c r="G219" t="s">
        <v>12</v>
      </c>
      <c r="H219" s="9">
        <v>5016.7299999999996</v>
      </c>
      <c r="I219" t="s">
        <v>71</v>
      </c>
      <c r="J219" t="s">
        <v>7</v>
      </c>
      <c r="K219" t="s">
        <v>457</v>
      </c>
      <c r="L219" t="s">
        <v>458</v>
      </c>
      <c r="M219" t="s">
        <v>286</v>
      </c>
      <c r="N219" t="s">
        <v>5</v>
      </c>
      <c r="O219" t="str">
        <f t="shared" si="3"/>
        <v>FIMATEC</v>
      </c>
      <c r="P219" s="8">
        <v>45483</v>
      </c>
      <c r="Q219" t="s">
        <v>459</v>
      </c>
      <c r="R219" s="8">
        <v>45502</v>
      </c>
      <c r="S219" t="s">
        <v>460</v>
      </c>
      <c r="T219" t="s">
        <v>71</v>
      </c>
      <c r="U219" s="11">
        <v>7.8E-2</v>
      </c>
      <c r="V219" t="s">
        <v>189</v>
      </c>
      <c r="W219" t="s">
        <v>189</v>
      </c>
      <c r="X219" t="s">
        <v>11</v>
      </c>
      <c r="Y219" t="s">
        <v>424</v>
      </c>
    </row>
    <row r="220" spans="1:25" x14ac:dyDescent="0.25">
      <c r="A220" t="s">
        <v>297</v>
      </c>
      <c r="B220" s="8">
        <v>45503</v>
      </c>
      <c r="C220" t="s">
        <v>138</v>
      </c>
      <c r="D220" t="s">
        <v>1</v>
      </c>
      <c r="E220" t="s">
        <v>2</v>
      </c>
      <c r="F220" t="s">
        <v>3</v>
      </c>
      <c r="G220" t="s">
        <v>4</v>
      </c>
      <c r="H220" s="9">
        <v>7304.77</v>
      </c>
      <c r="I220" t="s">
        <v>76</v>
      </c>
      <c r="J220" t="s">
        <v>7</v>
      </c>
      <c r="K220" t="s">
        <v>461</v>
      </c>
      <c r="L220" t="s">
        <v>462</v>
      </c>
      <c r="M220" t="s">
        <v>286</v>
      </c>
      <c r="N220" t="s">
        <v>8</v>
      </c>
      <c r="O220" t="str">
        <f t="shared" si="3"/>
        <v>FIMATEC</v>
      </c>
      <c r="P220" s="8">
        <v>45483</v>
      </c>
      <c r="Q220" t="s">
        <v>463</v>
      </c>
      <c r="R220" s="8">
        <v>45503</v>
      </c>
      <c r="S220" t="s">
        <v>464</v>
      </c>
      <c r="T220" t="s">
        <v>76</v>
      </c>
      <c r="U220" s="11">
        <v>0.63</v>
      </c>
      <c r="V220" t="s">
        <v>189</v>
      </c>
      <c r="W220" t="s">
        <v>189</v>
      </c>
      <c r="X220" t="s">
        <v>3</v>
      </c>
      <c r="Y220" t="s">
        <v>424</v>
      </c>
    </row>
    <row r="221" spans="1:25" x14ac:dyDescent="0.25">
      <c r="A221" t="s">
        <v>297</v>
      </c>
      <c r="B221" s="8">
        <v>45503</v>
      </c>
      <c r="C221" t="s">
        <v>138</v>
      </c>
      <c r="D221" t="s">
        <v>1</v>
      </c>
      <c r="E221" t="s">
        <v>2</v>
      </c>
      <c r="F221" t="s">
        <v>13</v>
      </c>
      <c r="G221" t="s">
        <v>14</v>
      </c>
      <c r="H221" s="9">
        <v>1507.33</v>
      </c>
      <c r="I221" t="s">
        <v>76</v>
      </c>
      <c r="J221" t="s">
        <v>7</v>
      </c>
      <c r="K221" t="s">
        <v>461</v>
      </c>
      <c r="L221" t="s">
        <v>462</v>
      </c>
      <c r="M221" t="s">
        <v>286</v>
      </c>
      <c r="N221" t="s">
        <v>6</v>
      </c>
      <c r="O221" t="str">
        <f t="shared" si="3"/>
        <v>FIMATEC</v>
      </c>
      <c r="P221" s="8">
        <v>45483</v>
      </c>
      <c r="Q221" t="s">
        <v>463</v>
      </c>
      <c r="R221" s="8">
        <v>45503</v>
      </c>
      <c r="S221" t="s">
        <v>464</v>
      </c>
      <c r="T221" t="s">
        <v>76</v>
      </c>
      <c r="U221" s="11">
        <v>0.13</v>
      </c>
      <c r="V221" t="s">
        <v>189</v>
      </c>
      <c r="W221" t="s">
        <v>189</v>
      </c>
      <c r="X221" t="s">
        <v>13</v>
      </c>
      <c r="Y221" t="s">
        <v>424</v>
      </c>
    </row>
    <row r="222" spans="1:25" x14ac:dyDescent="0.25">
      <c r="A222" t="s">
        <v>297</v>
      </c>
      <c r="B222" s="8">
        <v>45503</v>
      </c>
      <c r="C222" t="s">
        <v>138</v>
      </c>
      <c r="D222" t="s">
        <v>1</v>
      </c>
      <c r="E222" t="s">
        <v>2</v>
      </c>
      <c r="F222" t="s">
        <v>15</v>
      </c>
      <c r="G222" t="s">
        <v>16</v>
      </c>
      <c r="H222" s="9">
        <v>1391.39</v>
      </c>
      <c r="I222" t="s">
        <v>76</v>
      </c>
      <c r="J222" t="s">
        <v>7</v>
      </c>
      <c r="K222" t="s">
        <v>461</v>
      </c>
      <c r="L222" t="s">
        <v>462</v>
      </c>
      <c r="M222" t="s">
        <v>286</v>
      </c>
      <c r="N222" t="s">
        <v>0</v>
      </c>
      <c r="O222" t="str">
        <f t="shared" si="3"/>
        <v>FIMATEC</v>
      </c>
      <c r="P222" s="8">
        <v>45483</v>
      </c>
      <c r="Q222" t="s">
        <v>463</v>
      </c>
      <c r="R222" s="8">
        <v>45503</v>
      </c>
      <c r="S222" t="s">
        <v>464</v>
      </c>
      <c r="T222" t="s">
        <v>76</v>
      </c>
      <c r="U222" s="11">
        <v>0.12</v>
      </c>
      <c r="V222" t="s">
        <v>189</v>
      </c>
      <c r="W222" t="s">
        <v>189</v>
      </c>
      <c r="X222" t="s">
        <v>15</v>
      </c>
      <c r="Y222" t="s">
        <v>424</v>
      </c>
    </row>
    <row r="223" spans="1:25" x14ac:dyDescent="0.25">
      <c r="A223" t="s">
        <v>297</v>
      </c>
      <c r="B223" s="8">
        <v>45503</v>
      </c>
      <c r="C223" t="s">
        <v>138</v>
      </c>
      <c r="D223" t="s">
        <v>1</v>
      </c>
      <c r="E223" t="s">
        <v>2</v>
      </c>
      <c r="F223" t="s">
        <v>11</v>
      </c>
      <c r="G223" t="s">
        <v>12</v>
      </c>
      <c r="H223" s="9">
        <v>1391.39</v>
      </c>
      <c r="I223" t="s">
        <v>76</v>
      </c>
      <c r="J223" t="s">
        <v>7</v>
      </c>
      <c r="K223" t="s">
        <v>461</v>
      </c>
      <c r="L223" t="s">
        <v>462</v>
      </c>
      <c r="M223" t="s">
        <v>286</v>
      </c>
      <c r="N223" t="s">
        <v>5</v>
      </c>
      <c r="O223" t="str">
        <f t="shared" si="3"/>
        <v>FIMATEC</v>
      </c>
      <c r="P223" s="8">
        <v>45483</v>
      </c>
      <c r="Q223" t="s">
        <v>463</v>
      </c>
      <c r="R223" s="8">
        <v>45503</v>
      </c>
      <c r="S223" t="s">
        <v>464</v>
      </c>
      <c r="T223" t="s">
        <v>76</v>
      </c>
      <c r="U223" s="11">
        <v>0.12</v>
      </c>
      <c r="V223" t="s">
        <v>189</v>
      </c>
      <c r="W223" t="s">
        <v>189</v>
      </c>
      <c r="X223" t="s">
        <v>11</v>
      </c>
      <c r="Y223" t="s">
        <v>424</v>
      </c>
    </row>
    <row r="224" spans="1:25" x14ac:dyDescent="0.25">
      <c r="A224" t="s">
        <v>297</v>
      </c>
      <c r="B224" s="8">
        <v>45503</v>
      </c>
      <c r="C224" t="s">
        <v>138</v>
      </c>
      <c r="D224" t="s">
        <v>1</v>
      </c>
      <c r="E224" t="s">
        <v>2</v>
      </c>
      <c r="F224" t="s">
        <v>17</v>
      </c>
      <c r="G224" t="s">
        <v>18</v>
      </c>
      <c r="H224" s="9">
        <v>3633.06</v>
      </c>
      <c r="I224" t="s">
        <v>81</v>
      </c>
      <c r="J224" t="s">
        <v>7</v>
      </c>
      <c r="K224" t="s">
        <v>465</v>
      </c>
      <c r="L224" t="s">
        <v>466</v>
      </c>
      <c r="M224" t="s">
        <v>286</v>
      </c>
      <c r="N224" t="s">
        <v>8</v>
      </c>
      <c r="O224" t="str">
        <f t="shared" si="3"/>
        <v>FIMATEC</v>
      </c>
      <c r="P224" s="8">
        <v>45483</v>
      </c>
      <c r="Q224" t="s">
        <v>467</v>
      </c>
      <c r="R224" s="8">
        <v>45503</v>
      </c>
      <c r="S224" t="s">
        <v>468</v>
      </c>
      <c r="T224" t="s">
        <v>81</v>
      </c>
      <c r="U224" s="12">
        <v>1</v>
      </c>
      <c r="V224" t="s">
        <v>189</v>
      </c>
      <c r="W224" t="s">
        <v>189</v>
      </c>
      <c r="X224" t="s">
        <v>17</v>
      </c>
      <c r="Y224" t="s">
        <v>424</v>
      </c>
    </row>
    <row r="225" spans="1:25" x14ac:dyDescent="0.25">
      <c r="A225" t="s">
        <v>297</v>
      </c>
      <c r="B225" s="8">
        <v>45503</v>
      </c>
      <c r="C225" t="s">
        <v>138</v>
      </c>
      <c r="D225" t="s">
        <v>1</v>
      </c>
      <c r="E225" t="s">
        <v>2</v>
      </c>
      <c r="F225" t="s">
        <v>3</v>
      </c>
      <c r="G225" t="s">
        <v>4</v>
      </c>
      <c r="H225" s="9">
        <v>10299.73</v>
      </c>
      <c r="I225" t="s">
        <v>81</v>
      </c>
      <c r="J225" t="s">
        <v>7</v>
      </c>
      <c r="K225" t="s">
        <v>469</v>
      </c>
      <c r="L225" t="s">
        <v>470</v>
      </c>
      <c r="M225" t="s">
        <v>286</v>
      </c>
      <c r="N225" t="s">
        <v>8</v>
      </c>
      <c r="O225" t="str">
        <f t="shared" si="3"/>
        <v>FIMATEC</v>
      </c>
      <c r="P225" s="8">
        <v>45483</v>
      </c>
      <c r="Q225" t="s">
        <v>471</v>
      </c>
      <c r="R225" s="8">
        <v>45503</v>
      </c>
      <c r="S225" t="s">
        <v>472</v>
      </c>
      <c r="T225" t="s">
        <v>81</v>
      </c>
      <c r="U225" s="11">
        <v>0.63</v>
      </c>
      <c r="V225" t="s">
        <v>189</v>
      </c>
      <c r="W225" t="s">
        <v>189</v>
      </c>
      <c r="X225" t="s">
        <v>3</v>
      </c>
      <c r="Y225" t="s">
        <v>424</v>
      </c>
    </row>
    <row r="226" spans="1:25" x14ac:dyDescent="0.25">
      <c r="A226" t="s">
        <v>297</v>
      </c>
      <c r="B226" s="8">
        <v>45503</v>
      </c>
      <c r="C226" t="s">
        <v>138</v>
      </c>
      <c r="D226" t="s">
        <v>1</v>
      </c>
      <c r="E226" t="s">
        <v>2</v>
      </c>
      <c r="F226" t="s">
        <v>13</v>
      </c>
      <c r="G226" t="s">
        <v>14</v>
      </c>
      <c r="H226" s="9">
        <v>2125.34</v>
      </c>
      <c r="I226" t="s">
        <v>81</v>
      </c>
      <c r="J226" t="s">
        <v>7</v>
      </c>
      <c r="K226" t="s">
        <v>469</v>
      </c>
      <c r="L226" t="s">
        <v>470</v>
      </c>
      <c r="M226" t="s">
        <v>286</v>
      </c>
      <c r="N226" t="s">
        <v>6</v>
      </c>
      <c r="O226" t="str">
        <f t="shared" si="3"/>
        <v>FIMATEC</v>
      </c>
      <c r="P226" s="8">
        <v>45483</v>
      </c>
      <c r="Q226" t="s">
        <v>471</v>
      </c>
      <c r="R226" s="8">
        <v>45503</v>
      </c>
      <c r="S226" t="s">
        <v>472</v>
      </c>
      <c r="T226" t="s">
        <v>81</v>
      </c>
      <c r="U226" s="11">
        <v>0.13</v>
      </c>
      <c r="V226" t="s">
        <v>189</v>
      </c>
      <c r="W226" t="s">
        <v>189</v>
      </c>
      <c r="X226" t="s">
        <v>13</v>
      </c>
      <c r="Y226" t="s">
        <v>424</v>
      </c>
    </row>
    <row r="227" spans="1:25" x14ac:dyDescent="0.25">
      <c r="A227" t="s">
        <v>297</v>
      </c>
      <c r="B227" s="8">
        <v>45503</v>
      </c>
      <c r="C227" t="s">
        <v>138</v>
      </c>
      <c r="D227" t="s">
        <v>1</v>
      </c>
      <c r="E227" t="s">
        <v>2</v>
      </c>
      <c r="F227" t="s">
        <v>15</v>
      </c>
      <c r="G227" t="s">
        <v>16</v>
      </c>
      <c r="H227" s="9">
        <v>1961.85</v>
      </c>
      <c r="I227" t="s">
        <v>81</v>
      </c>
      <c r="J227" t="s">
        <v>7</v>
      </c>
      <c r="K227" t="s">
        <v>469</v>
      </c>
      <c r="L227" t="s">
        <v>470</v>
      </c>
      <c r="M227" t="s">
        <v>286</v>
      </c>
      <c r="N227" t="s">
        <v>0</v>
      </c>
      <c r="O227" t="str">
        <f t="shared" si="3"/>
        <v>FIMATEC</v>
      </c>
      <c r="P227" s="8">
        <v>45483</v>
      </c>
      <c r="Q227" t="s">
        <v>471</v>
      </c>
      <c r="R227" s="8">
        <v>45503</v>
      </c>
      <c r="S227" t="s">
        <v>472</v>
      </c>
      <c r="T227" t="s">
        <v>81</v>
      </c>
      <c r="U227" s="11">
        <v>0.12</v>
      </c>
      <c r="V227" t="s">
        <v>189</v>
      </c>
      <c r="W227" t="s">
        <v>189</v>
      </c>
      <c r="X227" t="s">
        <v>15</v>
      </c>
      <c r="Y227" t="s">
        <v>424</v>
      </c>
    </row>
    <row r="228" spans="1:25" x14ac:dyDescent="0.25">
      <c r="A228" t="s">
        <v>297</v>
      </c>
      <c r="B228" s="8">
        <v>45503</v>
      </c>
      <c r="C228" t="s">
        <v>138</v>
      </c>
      <c r="D228" t="s">
        <v>1</v>
      </c>
      <c r="E228" t="s">
        <v>2</v>
      </c>
      <c r="F228" t="s">
        <v>11</v>
      </c>
      <c r="G228" t="s">
        <v>12</v>
      </c>
      <c r="H228" s="9">
        <v>1961.85</v>
      </c>
      <c r="I228" t="s">
        <v>81</v>
      </c>
      <c r="J228" t="s">
        <v>7</v>
      </c>
      <c r="K228" t="s">
        <v>469</v>
      </c>
      <c r="L228" t="s">
        <v>470</v>
      </c>
      <c r="M228" t="s">
        <v>286</v>
      </c>
      <c r="N228" t="s">
        <v>5</v>
      </c>
      <c r="O228" t="str">
        <f t="shared" si="3"/>
        <v>FIMATEC</v>
      </c>
      <c r="P228" s="8">
        <v>45483</v>
      </c>
      <c r="Q228" t="s">
        <v>471</v>
      </c>
      <c r="R228" s="8">
        <v>45503</v>
      </c>
      <c r="S228" t="s">
        <v>472</v>
      </c>
      <c r="T228" t="s">
        <v>81</v>
      </c>
      <c r="U228" s="11">
        <v>0.12</v>
      </c>
      <c r="V228" t="s">
        <v>189</v>
      </c>
      <c r="W228" t="s">
        <v>189</v>
      </c>
      <c r="X228" t="s">
        <v>11</v>
      </c>
      <c r="Y228" t="s">
        <v>424</v>
      </c>
    </row>
    <row r="229" spans="1:25" x14ac:dyDescent="0.25">
      <c r="A229" t="s">
        <v>297</v>
      </c>
      <c r="B229" s="7">
        <v>45523</v>
      </c>
      <c r="C229" t="s">
        <v>184</v>
      </c>
      <c r="D229" t="s">
        <v>385</v>
      </c>
      <c r="E229" t="s">
        <v>386</v>
      </c>
      <c r="F229" t="s">
        <v>387</v>
      </c>
      <c r="G229" t="s">
        <v>388</v>
      </c>
      <c r="H229" s="14">
        <v>1700</v>
      </c>
      <c r="I229" t="s">
        <v>473</v>
      </c>
      <c r="J229" t="s">
        <v>7</v>
      </c>
      <c r="K229" t="s">
        <v>474</v>
      </c>
      <c r="L229" t="s">
        <v>475</v>
      </c>
      <c r="M229" t="s">
        <v>286</v>
      </c>
      <c r="N229" t="s">
        <v>8</v>
      </c>
      <c r="O229" t="str">
        <f t="shared" si="3"/>
        <v>FIMATEC</v>
      </c>
      <c r="P229" s="7">
        <v>45488</v>
      </c>
      <c r="Q229" t="s">
        <v>476</v>
      </c>
      <c r="R229" s="7">
        <v>45523</v>
      </c>
      <c r="S229" t="s">
        <v>477</v>
      </c>
      <c r="T229" t="s">
        <v>115</v>
      </c>
      <c r="U229">
        <v>1</v>
      </c>
      <c r="V229" t="s">
        <v>189</v>
      </c>
      <c r="W229" t="s">
        <v>189</v>
      </c>
      <c r="X229" t="s">
        <v>387</v>
      </c>
      <c r="Y229" t="s">
        <v>398</v>
      </c>
    </row>
    <row r="230" spans="1:25" x14ac:dyDescent="0.25">
      <c r="A230" t="s">
        <v>297</v>
      </c>
      <c r="B230" s="7">
        <v>45530</v>
      </c>
      <c r="C230" t="s">
        <v>184</v>
      </c>
      <c r="D230" t="s">
        <v>170</v>
      </c>
      <c r="E230" t="s">
        <v>171</v>
      </c>
      <c r="F230" t="s">
        <v>387</v>
      </c>
      <c r="G230" t="s">
        <v>388</v>
      </c>
      <c r="H230" s="14">
        <v>95</v>
      </c>
      <c r="I230" t="s">
        <v>478</v>
      </c>
      <c r="J230" t="s">
        <v>7</v>
      </c>
      <c r="K230" t="s">
        <v>479</v>
      </c>
      <c r="L230" t="s">
        <v>480</v>
      </c>
      <c r="M230" t="s">
        <v>286</v>
      </c>
      <c r="N230" t="s">
        <v>8</v>
      </c>
      <c r="O230" t="str">
        <f t="shared" si="3"/>
        <v>FIMATEC</v>
      </c>
      <c r="P230" s="7">
        <v>45421</v>
      </c>
      <c r="Q230" t="s">
        <v>481</v>
      </c>
      <c r="R230" s="7">
        <v>45530</v>
      </c>
      <c r="S230" t="s">
        <v>482</v>
      </c>
      <c r="T230" t="s">
        <v>115</v>
      </c>
      <c r="U230">
        <v>1</v>
      </c>
      <c r="V230" t="s">
        <v>189</v>
      </c>
      <c r="W230" t="s">
        <v>189</v>
      </c>
      <c r="X230" t="s">
        <v>387</v>
      </c>
      <c r="Y230" t="s">
        <v>171</v>
      </c>
    </row>
    <row r="231" spans="1:25" x14ac:dyDescent="0.25">
      <c r="A231" t="s">
        <v>297</v>
      </c>
      <c r="B231" s="7">
        <v>45539</v>
      </c>
      <c r="C231" t="s">
        <v>206</v>
      </c>
      <c r="D231" t="s">
        <v>1</v>
      </c>
      <c r="E231" t="s">
        <v>2</v>
      </c>
      <c r="F231" t="s">
        <v>3</v>
      </c>
      <c r="G231" t="s">
        <v>4</v>
      </c>
      <c r="H231" s="15">
        <v>-7304.77</v>
      </c>
      <c r="I231" t="s">
        <v>76</v>
      </c>
      <c r="J231" t="s">
        <v>7</v>
      </c>
      <c r="K231" t="s">
        <v>461</v>
      </c>
      <c r="L231" t="s">
        <v>483</v>
      </c>
      <c r="M231" t="s">
        <v>286</v>
      </c>
      <c r="N231" t="s">
        <v>8</v>
      </c>
      <c r="O231" t="str">
        <f t="shared" si="3"/>
        <v>FIMATEC</v>
      </c>
      <c r="P231" s="7">
        <v>45483</v>
      </c>
      <c r="Q231" t="s">
        <v>484</v>
      </c>
      <c r="R231" s="7">
        <v>45539</v>
      </c>
      <c r="S231" t="s">
        <v>464</v>
      </c>
      <c r="T231" t="s">
        <v>76</v>
      </c>
      <c r="U231">
        <v>-0.63</v>
      </c>
      <c r="V231" t="s">
        <v>189</v>
      </c>
      <c r="W231" t="s">
        <v>189</v>
      </c>
      <c r="X231" t="s">
        <v>3</v>
      </c>
      <c r="Y231" t="s">
        <v>424</v>
      </c>
    </row>
    <row r="232" spans="1:25" x14ac:dyDescent="0.25">
      <c r="A232" t="s">
        <v>297</v>
      </c>
      <c r="B232" s="7">
        <v>45539</v>
      </c>
      <c r="C232" t="s">
        <v>206</v>
      </c>
      <c r="D232" t="s">
        <v>1</v>
      </c>
      <c r="E232" t="s">
        <v>2</v>
      </c>
      <c r="F232" t="s">
        <v>13</v>
      </c>
      <c r="G232" t="s">
        <v>14</v>
      </c>
      <c r="H232" s="15">
        <v>-1507.33</v>
      </c>
      <c r="I232" t="s">
        <v>76</v>
      </c>
      <c r="J232" t="s">
        <v>7</v>
      </c>
      <c r="K232" t="s">
        <v>461</v>
      </c>
      <c r="L232" t="s">
        <v>483</v>
      </c>
      <c r="M232" t="s">
        <v>286</v>
      </c>
      <c r="N232" t="s">
        <v>6</v>
      </c>
      <c r="O232" t="str">
        <f t="shared" si="3"/>
        <v>FIMATEC</v>
      </c>
      <c r="P232" s="7">
        <v>45483</v>
      </c>
      <c r="Q232" t="s">
        <v>484</v>
      </c>
      <c r="R232" s="7">
        <v>45539</v>
      </c>
      <c r="S232" t="s">
        <v>464</v>
      </c>
      <c r="T232" t="s">
        <v>76</v>
      </c>
      <c r="U232">
        <v>-0.13</v>
      </c>
      <c r="V232" t="s">
        <v>189</v>
      </c>
      <c r="W232" t="s">
        <v>189</v>
      </c>
      <c r="X232" t="s">
        <v>13</v>
      </c>
      <c r="Y232" t="s">
        <v>424</v>
      </c>
    </row>
    <row r="233" spans="1:25" x14ac:dyDescent="0.25">
      <c r="A233" t="s">
        <v>297</v>
      </c>
      <c r="B233" s="7">
        <v>45539</v>
      </c>
      <c r="C233" t="s">
        <v>206</v>
      </c>
      <c r="D233" t="s">
        <v>1</v>
      </c>
      <c r="E233" t="s">
        <v>2</v>
      </c>
      <c r="F233" t="s">
        <v>15</v>
      </c>
      <c r="G233" t="s">
        <v>16</v>
      </c>
      <c r="H233" s="15">
        <v>-1391.39</v>
      </c>
      <c r="I233" t="s">
        <v>76</v>
      </c>
      <c r="J233" t="s">
        <v>7</v>
      </c>
      <c r="K233" t="s">
        <v>461</v>
      </c>
      <c r="L233" t="s">
        <v>483</v>
      </c>
      <c r="M233" t="s">
        <v>286</v>
      </c>
      <c r="N233" t="s">
        <v>0</v>
      </c>
      <c r="O233" t="str">
        <f t="shared" si="3"/>
        <v>FIMATEC</v>
      </c>
      <c r="P233" s="7">
        <v>45483</v>
      </c>
      <c r="Q233" t="s">
        <v>484</v>
      </c>
      <c r="R233" s="7">
        <v>45539</v>
      </c>
      <c r="S233" t="s">
        <v>464</v>
      </c>
      <c r="T233" t="s">
        <v>76</v>
      </c>
      <c r="U233">
        <v>-0.12</v>
      </c>
      <c r="V233" t="s">
        <v>189</v>
      </c>
      <c r="W233" t="s">
        <v>189</v>
      </c>
      <c r="X233" t="s">
        <v>15</v>
      </c>
      <c r="Y233" t="s">
        <v>424</v>
      </c>
    </row>
    <row r="234" spans="1:25" x14ac:dyDescent="0.25">
      <c r="A234" t="s">
        <v>297</v>
      </c>
      <c r="B234" s="7">
        <v>45539</v>
      </c>
      <c r="C234" t="s">
        <v>206</v>
      </c>
      <c r="D234" t="s">
        <v>1</v>
      </c>
      <c r="E234" t="s">
        <v>2</v>
      </c>
      <c r="F234" t="s">
        <v>11</v>
      </c>
      <c r="G234" t="s">
        <v>12</v>
      </c>
      <c r="H234" s="15">
        <v>-1391.39</v>
      </c>
      <c r="I234" t="s">
        <v>76</v>
      </c>
      <c r="J234" t="s">
        <v>7</v>
      </c>
      <c r="K234" t="s">
        <v>461</v>
      </c>
      <c r="L234" t="s">
        <v>483</v>
      </c>
      <c r="M234" t="s">
        <v>286</v>
      </c>
      <c r="N234" t="s">
        <v>5</v>
      </c>
      <c r="O234" t="str">
        <f t="shared" si="3"/>
        <v>FIMATEC</v>
      </c>
      <c r="P234" s="7">
        <v>45483</v>
      </c>
      <c r="Q234" t="s">
        <v>484</v>
      </c>
      <c r="R234" s="7">
        <v>45539</v>
      </c>
      <c r="S234" t="s">
        <v>464</v>
      </c>
      <c r="T234" t="s">
        <v>76</v>
      </c>
      <c r="U234">
        <v>-0.12</v>
      </c>
      <c r="V234" t="s">
        <v>189</v>
      </c>
      <c r="W234" t="s">
        <v>189</v>
      </c>
      <c r="X234" t="s">
        <v>11</v>
      </c>
      <c r="Y234" t="s">
        <v>424</v>
      </c>
    </row>
    <row r="235" spans="1:25" x14ac:dyDescent="0.25">
      <c r="A235" t="s">
        <v>297</v>
      </c>
      <c r="B235" s="7">
        <v>45539</v>
      </c>
      <c r="C235" t="s">
        <v>206</v>
      </c>
      <c r="D235" t="s">
        <v>1</v>
      </c>
      <c r="E235" t="s">
        <v>2</v>
      </c>
      <c r="F235" t="s">
        <v>3</v>
      </c>
      <c r="G235" t="s">
        <v>4</v>
      </c>
      <c r="H235" s="15">
        <v>7304.77</v>
      </c>
      <c r="I235" t="s">
        <v>76</v>
      </c>
      <c r="J235" t="s">
        <v>7</v>
      </c>
      <c r="K235" t="s">
        <v>461</v>
      </c>
      <c r="L235" t="s">
        <v>485</v>
      </c>
      <c r="M235" t="s">
        <v>286</v>
      </c>
      <c r="N235" t="s">
        <v>8</v>
      </c>
      <c r="O235" t="str">
        <f t="shared" si="3"/>
        <v>FIMATEC</v>
      </c>
      <c r="P235" s="7">
        <v>45483</v>
      </c>
      <c r="Q235" t="s">
        <v>486</v>
      </c>
      <c r="R235" s="7">
        <v>45539</v>
      </c>
      <c r="S235" t="s">
        <v>464</v>
      </c>
      <c r="T235" t="s">
        <v>76</v>
      </c>
      <c r="U235">
        <v>0.63</v>
      </c>
      <c r="V235" t="s">
        <v>189</v>
      </c>
      <c r="W235" t="s">
        <v>189</v>
      </c>
      <c r="X235" t="s">
        <v>3</v>
      </c>
      <c r="Y235" t="s">
        <v>424</v>
      </c>
    </row>
    <row r="236" spans="1:25" x14ac:dyDescent="0.25">
      <c r="A236" t="s">
        <v>297</v>
      </c>
      <c r="B236" s="7">
        <v>45539</v>
      </c>
      <c r="C236" t="s">
        <v>206</v>
      </c>
      <c r="D236" t="s">
        <v>1</v>
      </c>
      <c r="E236" t="s">
        <v>2</v>
      </c>
      <c r="F236" t="s">
        <v>13</v>
      </c>
      <c r="G236" t="s">
        <v>14</v>
      </c>
      <c r="H236" s="15">
        <v>1507.33</v>
      </c>
      <c r="I236" t="s">
        <v>76</v>
      </c>
      <c r="J236" t="s">
        <v>7</v>
      </c>
      <c r="K236" t="s">
        <v>461</v>
      </c>
      <c r="L236" t="s">
        <v>485</v>
      </c>
      <c r="M236" t="s">
        <v>286</v>
      </c>
      <c r="N236" t="s">
        <v>6</v>
      </c>
      <c r="O236" t="str">
        <f t="shared" si="3"/>
        <v>FIMATEC</v>
      </c>
      <c r="P236" s="7">
        <v>45483</v>
      </c>
      <c r="Q236" t="s">
        <v>486</v>
      </c>
      <c r="R236" s="7">
        <v>45539</v>
      </c>
      <c r="S236" t="s">
        <v>464</v>
      </c>
      <c r="T236" t="s">
        <v>76</v>
      </c>
      <c r="U236">
        <v>0.13</v>
      </c>
      <c r="V236" t="s">
        <v>189</v>
      </c>
      <c r="W236" t="s">
        <v>189</v>
      </c>
      <c r="X236" t="s">
        <v>13</v>
      </c>
      <c r="Y236" t="s">
        <v>424</v>
      </c>
    </row>
    <row r="237" spans="1:25" x14ac:dyDescent="0.25">
      <c r="A237" t="s">
        <v>297</v>
      </c>
      <c r="B237" s="7">
        <v>45539</v>
      </c>
      <c r="C237" t="s">
        <v>206</v>
      </c>
      <c r="D237" t="s">
        <v>1</v>
      </c>
      <c r="E237" t="s">
        <v>2</v>
      </c>
      <c r="F237" t="s">
        <v>15</v>
      </c>
      <c r="G237" t="s">
        <v>16</v>
      </c>
      <c r="H237" s="15">
        <v>1391.39</v>
      </c>
      <c r="I237" t="s">
        <v>76</v>
      </c>
      <c r="J237" t="s">
        <v>7</v>
      </c>
      <c r="K237" t="s">
        <v>461</v>
      </c>
      <c r="L237" t="s">
        <v>485</v>
      </c>
      <c r="M237" t="s">
        <v>286</v>
      </c>
      <c r="N237" t="s">
        <v>0</v>
      </c>
      <c r="O237" t="str">
        <f t="shared" si="3"/>
        <v>FIMATEC</v>
      </c>
      <c r="P237" s="7">
        <v>45483</v>
      </c>
      <c r="Q237" t="s">
        <v>486</v>
      </c>
      <c r="R237" s="7">
        <v>45539</v>
      </c>
      <c r="S237" t="s">
        <v>464</v>
      </c>
      <c r="T237" t="s">
        <v>76</v>
      </c>
      <c r="U237">
        <v>0.12</v>
      </c>
      <c r="V237" t="s">
        <v>189</v>
      </c>
      <c r="W237" t="s">
        <v>189</v>
      </c>
      <c r="X237" t="s">
        <v>15</v>
      </c>
      <c r="Y237" t="s">
        <v>424</v>
      </c>
    </row>
    <row r="238" spans="1:25" x14ac:dyDescent="0.25">
      <c r="A238" t="s">
        <v>297</v>
      </c>
      <c r="B238" s="7">
        <v>45539</v>
      </c>
      <c r="C238" t="s">
        <v>206</v>
      </c>
      <c r="D238" t="s">
        <v>1</v>
      </c>
      <c r="E238" t="s">
        <v>2</v>
      </c>
      <c r="F238" t="s">
        <v>11</v>
      </c>
      <c r="G238" t="s">
        <v>12</v>
      </c>
      <c r="H238" s="15">
        <v>1391.39</v>
      </c>
      <c r="I238" t="s">
        <v>76</v>
      </c>
      <c r="J238" t="s">
        <v>7</v>
      </c>
      <c r="K238" t="s">
        <v>461</v>
      </c>
      <c r="L238" t="s">
        <v>485</v>
      </c>
      <c r="M238" t="s">
        <v>286</v>
      </c>
      <c r="N238" t="s">
        <v>5</v>
      </c>
      <c r="O238" t="str">
        <f t="shared" si="3"/>
        <v>FIMATEC</v>
      </c>
      <c r="P238" s="7">
        <v>45483</v>
      </c>
      <c r="Q238" t="s">
        <v>486</v>
      </c>
      <c r="R238" s="7">
        <v>45539</v>
      </c>
      <c r="S238" t="s">
        <v>464</v>
      </c>
      <c r="T238" t="s">
        <v>76</v>
      </c>
      <c r="U238">
        <v>0.12</v>
      </c>
      <c r="V238" t="s">
        <v>189</v>
      </c>
      <c r="W238" t="s">
        <v>189</v>
      </c>
      <c r="X238" t="s">
        <v>11</v>
      </c>
      <c r="Y238" t="s">
        <v>424</v>
      </c>
    </row>
    <row r="239" spans="1:25" x14ac:dyDescent="0.25">
      <c r="A239" t="s">
        <v>297</v>
      </c>
      <c r="B239" s="7">
        <v>45544</v>
      </c>
      <c r="C239" t="s">
        <v>206</v>
      </c>
      <c r="D239" t="s">
        <v>1</v>
      </c>
      <c r="E239" t="s">
        <v>2</v>
      </c>
      <c r="F239" t="s">
        <v>3</v>
      </c>
      <c r="G239" t="s">
        <v>4</v>
      </c>
      <c r="H239" s="15">
        <v>-26369.99</v>
      </c>
      <c r="I239" t="s">
        <v>71</v>
      </c>
      <c r="J239" t="s">
        <v>7</v>
      </c>
      <c r="K239" t="s">
        <v>457</v>
      </c>
      <c r="L239" t="s">
        <v>487</v>
      </c>
      <c r="M239" t="s">
        <v>488</v>
      </c>
      <c r="N239" t="s">
        <v>8</v>
      </c>
      <c r="O239" t="str">
        <f t="shared" si="3"/>
        <v>FIMATEC</v>
      </c>
      <c r="P239" s="7">
        <v>45483</v>
      </c>
      <c r="Q239" t="s">
        <v>489</v>
      </c>
      <c r="R239" s="7">
        <v>45544</v>
      </c>
      <c r="S239" t="s">
        <v>460</v>
      </c>
      <c r="T239" t="s">
        <v>71</v>
      </c>
      <c r="U239">
        <v>-0.41</v>
      </c>
      <c r="V239" t="s">
        <v>189</v>
      </c>
      <c r="W239" t="s">
        <v>189</v>
      </c>
      <c r="X239" t="s">
        <v>3</v>
      </c>
      <c r="Y239" t="s">
        <v>424</v>
      </c>
    </row>
    <row r="240" spans="1:25" x14ac:dyDescent="0.25">
      <c r="A240" t="s">
        <v>297</v>
      </c>
      <c r="B240" s="7">
        <v>45544</v>
      </c>
      <c r="C240" t="s">
        <v>206</v>
      </c>
      <c r="D240" t="s">
        <v>1</v>
      </c>
      <c r="E240" t="s">
        <v>2</v>
      </c>
      <c r="F240" t="s">
        <v>13</v>
      </c>
      <c r="G240" t="s">
        <v>14</v>
      </c>
      <c r="H240" s="15">
        <v>-5466.95</v>
      </c>
      <c r="I240" t="s">
        <v>71</v>
      </c>
      <c r="J240" t="s">
        <v>7</v>
      </c>
      <c r="K240" t="s">
        <v>457</v>
      </c>
      <c r="L240" t="s">
        <v>487</v>
      </c>
      <c r="M240" t="s">
        <v>488</v>
      </c>
      <c r="N240" t="s">
        <v>6</v>
      </c>
      <c r="O240" t="str">
        <f t="shared" si="3"/>
        <v>FIMATEC</v>
      </c>
      <c r="P240" s="7">
        <v>45483</v>
      </c>
      <c r="Q240" t="s">
        <v>489</v>
      </c>
      <c r="R240" s="7">
        <v>45544</v>
      </c>
      <c r="S240" t="s">
        <v>460</v>
      </c>
      <c r="T240" t="s">
        <v>71</v>
      </c>
      <c r="U240">
        <v>-8.5000000000000006E-2</v>
      </c>
      <c r="V240" t="s">
        <v>189</v>
      </c>
      <c r="W240" t="s">
        <v>189</v>
      </c>
      <c r="X240" t="s">
        <v>13</v>
      </c>
      <c r="Y240" t="s">
        <v>424</v>
      </c>
    </row>
    <row r="241" spans="1:25" x14ac:dyDescent="0.25">
      <c r="A241" t="s">
        <v>297</v>
      </c>
      <c r="B241" s="7">
        <v>45544</v>
      </c>
      <c r="C241" t="s">
        <v>206</v>
      </c>
      <c r="D241" t="s">
        <v>1</v>
      </c>
      <c r="E241" t="s">
        <v>2</v>
      </c>
      <c r="F241" t="s">
        <v>15</v>
      </c>
      <c r="G241" t="s">
        <v>16</v>
      </c>
      <c r="H241" s="15">
        <v>-5016.7299999999996</v>
      </c>
      <c r="I241" t="s">
        <v>71</v>
      </c>
      <c r="J241" t="s">
        <v>7</v>
      </c>
      <c r="K241" t="s">
        <v>457</v>
      </c>
      <c r="L241" t="s">
        <v>487</v>
      </c>
      <c r="M241" t="s">
        <v>488</v>
      </c>
      <c r="N241" t="s">
        <v>0</v>
      </c>
      <c r="O241" t="str">
        <f t="shared" si="3"/>
        <v>FIMATEC</v>
      </c>
      <c r="P241" s="7">
        <v>45483</v>
      </c>
      <c r="Q241" t="s">
        <v>489</v>
      </c>
      <c r="R241" s="7">
        <v>45544</v>
      </c>
      <c r="S241" t="s">
        <v>460</v>
      </c>
      <c r="T241" t="s">
        <v>71</v>
      </c>
      <c r="U241">
        <v>-7.8E-2</v>
      </c>
      <c r="V241" t="s">
        <v>189</v>
      </c>
      <c r="W241" t="s">
        <v>189</v>
      </c>
      <c r="X241" t="s">
        <v>15</v>
      </c>
      <c r="Y241" t="s">
        <v>424</v>
      </c>
    </row>
    <row r="242" spans="1:25" x14ac:dyDescent="0.25">
      <c r="A242" t="s">
        <v>297</v>
      </c>
      <c r="B242" s="7">
        <v>45544</v>
      </c>
      <c r="C242" t="s">
        <v>206</v>
      </c>
      <c r="D242" t="s">
        <v>1</v>
      </c>
      <c r="E242" t="s">
        <v>2</v>
      </c>
      <c r="F242" t="s">
        <v>11</v>
      </c>
      <c r="G242" t="s">
        <v>12</v>
      </c>
      <c r="H242" s="15">
        <v>-5016.7299999999996</v>
      </c>
      <c r="I242" t="s">
        <v>71</v>
      </c>
      <c r="J242" t="s">
        <v>7</v>
      </c>
      <c r="K242" t="s">
        <v>457</v>
      </c>
      <c r="L242" t="s">
        <v>487</v>
      </c>
      <c r="M242" t="s">
        <v>488</v>
      </c>
      <c r="N242" t="s">
        <v>5</v>
      </c>
      <c r="O242" t="str">
        <f t="shared" si="3"/>
        <v>FIMATEC</v>
      </c>
      <c r="P242" s="7">
        <v>45483</v>
      </c>
      <c r="Q242" t="s">
        <v>489</v>
      </c>
      <c r="R242" s="7">
        <v>45544</v>
      </c>
      <c r="S242" t="s">
        <v>460</v>
      </c>
      <c r="T242" t="s">
        <v>71</v>
      </c>
      <c r="U242">
        <v>-7.8E-2</v>
      </c>
      <c r="V242" t="s">
        <v>189</v>
      </c>
      <c r="W242" t="s">
        <v>189</v>
      </c>
      <c r="X242" t="s">
        <v>11</v>
      </c>
      <c r="Y242" t="s">
        <v>424</v>
      </c>
    </row>
    <row r="243" spans="1:25" x14ac:dyDescent="0.25">
      <c r="A243" t="s">
        <v>297</v>
      </c>
      <c r="B243" s="7">
        <v>45544</v>
      </c>
      <c r="C243" t="s">
        <v>206</v>
      </c>
      <c r="D243" t="s">
        <v>1</v>
      </c>
      <c r="E243" t="s">
        <v>2</v>
      </c>
      <c r="F243" t="s">
        <v>3</v>
      </c>
      <c r="G243" t="s">
        <v>4</v>
      </c>
      <c r="H243" s="15">
        <v>40582.080000000002</v>
      </c>
      <c r="I243" t="s">
        <v>71</v>
      </c>
      <c r="J243" t="s">
        <v>7</v>
      </c>
      <c r="K243" t="s">
        <v>457</v>
      </c>
      <c r="L243" t="s">
        <v>490</v>
      </c>
      <c r="M243" t="s">
        <v>488</v>
      </c>
      <c r="N243" t="s">
        <v>8</v>
      </c>
      <c r="O243" t="str">
        <f t="shared" si="3"/>
        <v>FIMATEC</v>
      </c>
      <c r="P243" s="7">
        <v>45483</v>
      </c>
      <c r="Q243" t="s">
        <v>491</v>
      </c>
      <c r="R243" s="7">
        <v>45544</v>
      </c>
      <c r="S243" t="s">
        <v>460</v>
      </c>
      <c r="T243" t="s">
        <v>71</v>
      </c>
      <c r="U243">
        <v>0.63</v>
      </c>
      <c r="V243" t="s">
        <v>189</v>
      </c>
      <c r="W243" t="s">
        <v>189</v>
      </c>
      <c r="X243" t="s">
        <v>3</v>
      </c>
      <c r="Y243" t="s">
        <v>424</v>
      </c>
    </row>
    <row r="244" spans="1:25" x14ac:dyDescent="0.25">
      <c r="A244" t="s">
        <v>297</v>
      </c>
      <c r="B244" s="7">
        <v>45544</v>
      </c>
      <c r="C244" t="s">
        <v>206</v>
      </c>
      <c r="D244" t="s">
        <v>1</v>
      </c>
      <c r="E244" t="s">
        <v>2</v>
      </c>
      <c r="F244" t="s">
        <v>13</v>
      </c>
      <c r="G244" t="s">
        <v>14</v>
      </c>
      <c r="H244" s="15">
        <v>8374.08</v>
      </c>
      <c r="I244" t="s">
        <v>71</v>
      </c>
      <c r="J244" t="s">
        <v>7</v>
      </c>
      <c r="K244" t="s">
        <v>457</v>
      </c>
      <c r="L244" t="s">
        <v>490</v>
      </c>
      <c r="M244" t="s">
        <v>488</v>
      </c>
      <c r="N244" t="s">
        <v>6</v>
      </c>
      <c r="O244" t="str">
        <f t="shared" si="3"/>
        <v>FIMATEC</v>
      </c>
      <c r="P244" s="7">
        <v>45483</v>
      </c>
      <c r="Q244" t="s">
        <v>491</v>
      </c>
      <c r="R244" s="7">
        <v>45544</v>
      </c>
      <c r="S244" t="s">
        <v>460</v>
      </c>
      <c r="T244" t="s">
        <v>71</v>
      </c>
      <c r="U244">
        <v>0.13</v>
      </c>
      <c r="V244" t="s">
        <v>189</v>
      </c>
      <c r="W244" t="s">
        <v>189</v>
      </c>
      <c r="X244" t="s">
        <v>13</v>
      </c>
      <c r="Y244" t="s">
        <v>424</v>
      </c>
    </row>
    <row r="245" spans="1:25" x14ac:dyDescent="0.25">
      <c r="A245" t="s">
        <v>297</v>
      </c>
      <c r="B245" s="7">
        <v>45544</v>
      </c>
      <c r="C245" t="s">
        <v>206</v>
      </c>
      <c r="D245" t="s">
        <v>1</v>
      </c>
      <c r="E245" t="s">
        <v>2</v>
      </c>
      <c r="F245" t="s">
        <v>15</v>
      </c>
      <c r="G245" t="s">
        <v>16</v>
      </c>
      <c r="H245" s="15">
        <v>7729.92</v>
      </c>
      <c r="I245" t="s">
        <v>71</v>
      </c>
      <c r="J245" t="s">
        <v>7</v>
      </c>
      <c r="K245" t="s">
        <v>457</v>
      </c>
      <c r="L245" t="s">
        <v>490</v>
      </c>
      <c r="M245" t="s">
        <v>488</v>
      </c>
      <c r="N245" t="s">
        <v>0</v>
      </c>
      <c r="O245" t="str">
        <f t="shared" si="3"/>
        <v>FIMATEC</v>
      </c>
      <c r="P245" s="7">
        <v>45483</v>
      </c>
      <c r="Q245" t="s">
        <v>491</v>
      </c>
      <c r="R245" s="7">
        <v>45544</v>
      </c>
      <c r="S245" t="s">
        <v>460</v>
      </c>
      <c r="T245" t="s">
        <v>71</v>
      </c>
      <c r="U245">
        <v>0.12</v>
      </c>
      <c r="V245" t="s">
        <v>189</v>
      </c>
      <c r="W245" t="s">
        <v>189</v>
      </c>
      <c r="X245" t="s">
        <v>15</v>
      </c>
      <c r="Y245" t="s">
        <v>424</v>
      </c>
    </row>
    <row r="246" spans="1:25" x14ac:dyDescent="0.25">
      <c r="A246" t="s">
        <v>297</v>
      </c>
      <c r="B246" s="7">
        <v>45544</v>
      </c>
      <c r="C246" t="s">
        <v>206</v>
      </c>
      <c r="D246" t="s">
        <v>1</v>
      </c>
      <c r="E246" t="s">
        <v>2</v>
      </c>
      <c r="F246" t="s">
        <v>11</v>
      </c>
      <c r="G246" t="s">
        <v>12</v>
      </c>
      <c r="H246" s="15">
        <v>7729.92</v>
      </c>
      <c r="I246" t="s">
        <v>71</v>
      </c>
      <c r="J246" t="s">
        <v>7</v>
      </c>
      <c r="K246" t="s">
        <v>457</v>
      </c>
      <c r="L246" t="s">
        <v>490</v>
      </c>
      <c r="M246" t="s">
        <v>488</v>
      </c>
      <c r="N246" t="s">
        <v>5</v>
      </c>
      <c r="O246" t="str">
        <f t="shared" si="3"/>
        <v>FIMATEC</v>
      </c>
      <c r="P246" s="7">
        <v>45483</v>
      </c>
      <c r="Q246" t="s">
        <v>491</v>
      </c>
      <c r="R246" s="7">
        <v>45544</v>
      </c>
      <c r="S246" t="s">
        <v>460</v>
      </c>
      <c r="T246" t="s">
        <v>71</v>
      </c>
      <c r="U246">
        <v>0.12</v>
      </c>
      <c r="V246" t="s">
        <v>189</v>
      </c>
      <c r="W246" t="s">
        <v>189</v>
      </c>
      <c r="X246" t="s">
        <v>11</v>
      </c>
      <c r="Y246" t="s">
        <v>424</v>
      </c>
    </row>
    <row r="247" spans="1:25" x14ac:dyDescent="0.25">
      <c r="A247" t="s">
        <v>297</v>
      </c>
      <c r="B247" s="8">
        <v>45573</v>
      </c>
      <c r="C247" t="s">
        <v>223</v>
      </c>
      <c r="D247" t="s">
        <v>1</v>
      </c>
      <c r="E247" t="s">
        <v>2</v>
      </c>
      <c r="F247" t="s">
        <v>13</v>
      </c>
      <c r="G247" t="s">
        <v>14</v>
      </c>
      <c r="H247" s="9">
        <v>11594.88</v>
      </c>
      <c r="I247" t="s">
        <v>76</v>
      </c>
      <c r="J247" t="s">
        <v>7</v>
      </c>
      <c r="K247" t="s">
        <v>494</v>
      </c>
      <c r="L247" t="s">
        <v>495</v>
      </c>
      <c r="M247" t="s">
        <v>260</v>
      </c>
      <c r="N247" t="s">
        <v>8</v>
      </c>
      <c r="O247" t="str">
        <f t="shared" si="3"/>
        <v>FIMATEC</v>
      </c>
      <c r="P247" s="8">
        <v>45520</v>
      </c>
      <c r="Q247" t="s">
        <v>496</v>
      </c>
      <c r="R247" s="8">
        <v>45573</v>
      </c>
      <c r="S247" t="s">
        <v>497</v>
      </c>
      <c r="T247" t="s">
        <v>76</v>
      </c>
      <c r="U247" s="12">
        <v>1</v>
      </c>
      <c r="V247" t="s">
        <v>189</v>
      </c>
      <c r="W247" t="s">
        <v>189</v>
      </c>
      <c r="X247" t="s">
        <v>13</v>
      </c>
      <c r="Y247" t="s">
        <v>424</v>
      </c>
    </row>
    <row r="248" spans="1:25" x14ac:dyDescent="0.25">
      <c r="A248" t="s">
        <v>297</v>
      </c>
      <c r="B248" s="8">
        <v>45573</v>
      </c>
      <c r="C248" t="s">
        <v>223</v>
      </c>
      <c r="D248" t="s">
        <v>170</v>
      </c>
      <c r="E248" t="s">
        <v>171</v>
      </c>
      <c r="F248" t="s">
        <v>172</v>
      </c>
      <c r="G248" t="s">
        <v>173</v>
      </c>
      <c r="H248" s="17">
        <v>3633.06</v>
      </c>
      <c r="I248" t="s">
        <v>81</v>
      </c>
      <c r="J248" t="s">
        <v>7</v>
      </c>
      <c r="K248" t="s">
        <v>498</v>
      </c>
      <c r="L248" t="s">
        <v>499</v>
      </c>
      <c r="M248" t="s">
        <v>260</v>
      </c>
      <c r="N248" t="s">
        <v>8</v>
      </c>
      <c r="O248" t="str">
        <f t="shared" si="3"/>
        <v>FIMATEC</v>
      </c>
      <c r="P248" s="8">
        <v>45520</v>
      </c>
      <c r="Q248" t="s">
        <v>500</v>
      </c>
      <c r="R248" s="8">
        <v>45573</v>
      </c>
      <c r="S248" t="s">
        <v>501</v>
      </c>
      <c r="T248" t="s">
        <v>81</v>
      </c>
      <c r="U248" s="12">
        <v>1</v>
      </c>
      <c r="V248" t="s">
        <v>189</v>
      </c>
      <c r="W248" t="s">
        <v>189</v>
      </c>
      <c r="X248" t="s">
        <v>172</v>
      </c>
      <c r="Y248" t="s">
        <v>171</v>
      </c>
    </row>
    <row r="249" spans="1:25" x14ac:dyDescent="0.25">
      <c r="A249" t="s">
        <v>297</v>
      </c>
      <c r="B249" s="8">
        <v>45573</v>
      </c>
      <c r="C249" t="s">
        <v>223</v>
      </c>
      <c r="D249" t="s">
        <v>170</v>
      </c>
      <c r="E249" t="s">
        <v>171</v>
      </c>
      <c r="F249" t="s">
        <v>172</v>
      </c>
      <c r="G249" t="s">
        <v>173</v>
      </c>
      <c r="H249" s="17">
        <v>16348.77</v>
      </c>
      <c r="I249" t="s">
        <v>81</v>
      </c>
      <c r="J249" t="s">
        <v>7</v>
      </c>
      <c r="K249" t="s">
        <v>502</v>
      </c>
      <c r="L249" t="s">
        <v>503</v>
      </c>
      <c r="M249" t="s">
        <v>260</v>
      </c>
      <c r="N249" t="s">
        <v>8</v>
      </c>
      <c r="O249" t="str">
        <f t="shared" si="3"/>
        <v>FIMATEC</v>
      </c>
      <c r="P249" s="8">
        <v>45520</v>
      </c>
      <c r="Q249" t="s">
        <v>504</v>
      </c>
      <c r="R249" s="8">
        <v>45573</v>
      </c>
      <c r="S249" t="s">
        <v>505</v>
      </c>
      <c r="T249" t="s">
        <v>81</v>
      </c>
      <c r="U249" s="12">
        <v>1</v>
      </c>
      <c r="V249" t="s">
        <v>189</v>
      </c>
      <c r="W249" t="s">
        <v>189</v>
      </c>
      <c r="X249" t="s">
        <v>172</v>
      </c>
      <c r="Y249" t="s">
        <v>171</v>
      </c>
    </row>
    <row r="250" spans="1:25" x14ac:dyDescent="0.25">
      <c r="A250" t="s">
        <v>297</v>
      </c>
      <c r="B250" s="8">
        <v>45573</v>
      </c>
      <c r="C250" t="s">
        <v>223</v>
      </c>
      <c r="D250" t="s">
        <v>1</v>
      </c>
      <c r="E250" t="s">
        <v>2</v>
      </c>
      <c r="F250" t="s">
        <v>3</v>
      </c>
      <c r="G250" t="s">
        <v>4</v>
      </c>
      <c r="H250" s="9">
        <v>64416</v>
      </c>
      <c r="I250" t="s">
        <v>71</v>
      </c>
      <c r="J250" t="s">
        <v>7</v>
      </c>
      <c r="K250" t="s">
        <v>506</v>
      </c>
      <c r="L250" t="s">
        <v>507</v>
      </c>
      <c r="M250" t="s">
        <v>260</v>
      </c>
      <c r="N250" t="s">
        <v>8</v>
      </c>
      <c r="O250" t="str">
        <f t="shared" si="3"/>
        <v>FIMATEC</v>
      </c>
      <c r="P250" s="8">
        <v>45520</v>
      </c>
      <c r="Q250" t="s">
        <v>508</v>
      </c>
      <c r="R250" s="8">
        <v>45573</v>
      </c>
      <c r="S250" t="s">
        <v>509</v>
      </c>
      <c r="T250" t="s">
        <v>71</v>
      </c>
      <c r="U250" s="12">
        <v>1</v>
      </c>
      <c r="V250" t="s">
        <v>189</v>
      </c>
      <c r="W250" t="s">
        <v>189</v>
      </c>
      <c r="X250" t="s">
        <v>3</v>
      </c>
      <c r="Y250" t="s">
        <v>424</v>
      </c>
    </row>
    <row r="251" spans="1:25" x14ac:dyDescent="0.25">
      <c r="A251" t="s">
        <v>297</v>
      </c>
      <c r="B251" s="8">
        <v>45583</v>
      </c>
      <c r="C251" t="s">
        <v>223</v>
      </c>
      <c r="D251" t="s">
        <v>1</v>
      </c>
      <c r="E251" t="s">
        <v>2</v>
      </c>
      <c r="F251" t="s">
        <v>15</v>
      </c>
      <c r="G251" t="s">
        <v>16</v>
      </c>
      <c r="H251" s="9">
        <v>16348.77</v>
      </c>
      <c r="I251" t="s">
        <v>510</v>
      </c>
      <c r="J251" t="s">
        <v>7</v>
      </c>
      <c r="K251" t="s">
        <v>511</v>
      </c>
      <c r="L251" t="s">
        <v>512</v>
      </c>
      <c r="M251" t="s">
        <v>513</v>
      </c>
      <c r="N251" t="s">
        <v>8</v>
      </c>
      <c r="O251" t="str">
        <f t="shared" si="3"/>
        <v>FIMATEC</v>
      </c>
      <c r="P251" s="8">
        <v>45553</v>
      </c>
      <c r="Q251" t="s">
        <v>514</v>
      </c>
      <c r="R251" s="8">
        <v>45583</v>
      </c>
      <c r="S251" t="s">
        <v>515</v>
      </c>
      <c r="T251" t="s">
        <v>81</v>
      </c>
      <c r="U251" s="12">
        <v>1</v>
      </c>
      <c r="V251" t="s">
        <v>189</v>
      </c>
      <c r="W251" t="s">
        <v>189</v>
      </c>
      <c r="X251" t="s">
        <v>15</v>
      </c>
      <c r="Y251" t="s">
        <v>424</v>
      </c>
    </row>
    <row r="252" spans="1:25" x14ac:dyDescent="0.25">
      <c r="A252" t="s">
        <v>297</v>
      </c>
      <c r="B252" s="8">
        <v>45583</v>
      </c>
      <c r="C252" t="s">
        <v>223</v>
      </c>
      <c r="D252" t="s">
        <v>170</v>
      </c>
      <c r="E252" t="s">
        <v>171</v>
      </c>
      <c r="F252" t="s">
        <v>172</v>
      </c>
      <c r="G252" t="s">
        <v>173</v>
      </c>
      <c r="H252" s="9">
        <v>11594.88</v>
      </c>
      <c r="I252" t="s">
        <v>516</v>
      </c>
      <c r="J252" t="s">
        <v>7</v>
      </c>
      <c r="K252" t="s">
        <v>517</v>
      </c>
      <c r="L252" t="s">
        <v>518</v>
      </c>
      <c r="M252" t="s">
        <v>513</v>
      </c>
      <c r="N252" t="s">
        <v>8</v>
      </c>
      <c r="O252" t="str">
        <f t="shared" si="3"/>
        <v>FIMATEC</v>
      </c>
      <c r="P252" s="8">
        <v>45553</v>
      </c>
      <c r="Q252" t="s">
        <v>519</v>
      </c>
      <c r="R252" s="8">
        <v>45583</v>
      </c>
      <c r="S252" t="s">
        <v>520</v>
      </c>
      <c r="T252" t="s">
        <v>76</v>
      </c>
      <c r="U252" s="12">
        <v>1</v>
      </c>
      <c r="V252" t="s">
        <v>189</v>
      </c>
      <c r="W252" t="s">
        <v>189</v>
      </c>
      <c r="X252" t="s">
        <v>172</v>
      </c>
      <c r="Y252" t="s">
        <v>171</v>
      </c>
    </row>
    <row r="253" spans="1:25" x14ac:dyDescent="0.25">
      <c r="A253" t="s">
        <v>297</v>
      </c>
      <c r="B253" s="8">
        <v>45583</v>
      </c>
      <c r="C253" t="s">
        <v>223</v>
      </c>
      <c r="D253" t="s">
        <v>1</v>
      </c>
      <c r="E253" t="s">
        <v>2</v>
      </c>
      <c r="F253" t="s">
        <v>15</v>
      </c>
      <c r="G253" t="s">
        <v>16</v>
      </c>
      <c r="H253" s="9">
        <v>-16348.77</v>
      </c>
      <c r="I253" t="s">
        <v>521</v>
      </c>
      <c r="J253" t="s">
        <v>7</v>
      </c>
      <c r="K253" t="s">
        <v>511</v>
      </c>
      <c r="L253" t="s">
        <v>522</v>
      </c>
      <c r="M253" t="s">
        <v>513</v>
      </c>
      <c r="N253" t="s">
        <v>8</v>
      </c>
      <c r="O253" t="str">
        <f t="shared" si="3"/>
        <v>FIMATEC</v>
      </c>
      <c r="P253" s="8">
        <v>45553</v>
      </c>
      <c r="Q253" t="s">
        <v>523</v>
      </c>
      <c r="R253" s="8">
        <v>45583</v>
      </c>
      <c r="S253" t="s">
        <v>515</v>
      </c>
      <c r="T253" t="s">
        <v>81</v>
      </c>
      <c r="U253" s="12">
        <v>-1</v>
      </c>
      <c r="V253" t="s">
        <v>189</v>
      </c>
      <c r="W253" t="s">
        <v>189</v>
      </c>
      <c r="X253" t="s">
        <v>15</v>
      </c>
      <c r="Y253" t="s">
        <v>424</v>
      </c>
    </row>
    <row r="254" spans="1:25" x14ac:dyDescent="0.25">
      <c r="A254" t="s">
        <v>297</v>
      </c>
      <c r="B254" s="8">
        <v>45583</v>
      </c>
      <c r="C254" t="s">
        <v>223</v>
      </c>
      <c r="D254" t="s">
        <v>170</v>
      </c>
      <c r="E254" t="s">
        <v>171</v>
      </c>
      <c r="F254" t="s">
        <v>172</v>
      </c>
      <c r="G254" t="s">
        <v>173</v>
      </c>
      <c r="H254" s="9">
        <v>-11594.88</v>
      </c>
      <c r="I254" t="s">
        <v>524</v>
      </c>
      <c r="J254" t="s">
        <v>7</v>
      </c>
      <c r="K254" t="s">
        <v>517</v>
      </c>
      <c r="L254" t="s">
        <v>525</v>
      </c>
      <c r="M254" t="s">
        <v>513</v>
      </c>
      <c r="N254" t="s">
        <v>8</v>
      </c>
      <c r="O254" t="str">
        <f t="shared" si="3"/>
        <v>FIMATEC</v>
      </c>
      <c r="P254" s="8">
        <v>45553</v>
      </c>
      <c r="Q254" t="s">
        <v>526</v>
      </c>
      <c r="R254" s="8">
        <v>45583</v>
      </c>
      <c r="S254" t="s">
        <v>520</v>
      </c>
      <c r="T254" t="s">
        <v>76</v>
      </c>
      <c r="U254" s="12">
        <v>-1</v>
      </c>
      <c r="V254" t="s">
        <v>189</v>
      </c>
      <c r="W254" t="s">
        <v>189</v>
      </c>
      <c r="X254" t="s">
        <v>172</v>
      </c>
      <c r="Y254" t="s">
        <v>171</v>
      </c>
    </row>
    <row r="255" spans="1:25" x14ac:dyDescent="0.25">
      <c r="A255" t="s">
        <v>297</v>
      </c>
      <c r="B255" s="8">
        <v>45583</v>
      </c>
      <c r="C255" t="s">
        <v>223</v>
      </c>
      <c r="D255" t="s">
        <v>1</v>
      </c>
      <c r="E255" t="s">
        <v>2</v>
      </c>
      <c r="F255" t="s">
        <v>15</v>
      </c>
      <c r="G255" t="s">
        <v>16</v>
      </c>
      <c r="H255" s="9">
        <v>14836.51</v>
      </c>
      <c r="I255" t="s">
        <v>81</v>
      </c>
      <c r="J255" t="s">
        <v>7</v>
      </c>
      <c r="K255" t="s">
        <v>511</v>
      </c>
      <c r="L255" t="s">
        <v>527</v>
      </c>
      <c r="M255" t="s">
        <v>513</v>
      </c>
      <c r="N255" t="s">
        <v>8</v>
      </c>
      <c r="O255" t="str">
        <f t="shared" si="3"/>
        <v>FIMATEC</v>
      </c>
      <c r="P255" s="8">
        <v>45553</v>
      </c>
      <c r="Q255" t="s">
        <v>528</v>
      </c>
      <c r="R255" s="8">
        <v>45583</v>
      </c>
      <c r="S255" t="s">
        <v>515</v>
      </c>
      <c r="T255" t="s">
        <v>81</v>
      </c>
      <c r="U255" s="12">
        <v>1</v>
      </c>
      <c r="V255" t="s">
        <v>189</v>
      </c>
      <c r="W255" t="s">
        <v>189</v>
      </c>
      <c r="X255" t="s">
        <v>15</v>
      </c>
      <c r="Y255" t="s">
        <v>424</v>
      </c>
    </row>
    <row r="256" spans="1:25" x14ac:dyDescent="0.25">
      <c r="A256" t="s">
        <v>297</v>
      </c>
      <c r="B256" s="8">
        <v>45583</v>
      </c>
      <c r="C256" t="s">
        <v>223</v>
      </c>
      <c r="D256" t="s">
        <v>170</v>
      </c>
      <c r="E256" t="s">
        <v>171</v>
      </c>
      <c r="F256" t="s">
        <v>172</v>
      </c>
      <c r="G256" t="s">
        <v>173</v>
      </c>
      <c r="H256" s="17">
        <v>10522.35</v>
      </c>
      <c r="I256" t="s">
        <v>76</v>
      </c>
      <c r="J256" t="s">
        <v>7</v>
      </c>
      <c r="K256" t="s">
        <v>517</v>
      </c>
      <c r="L256" t="s">
        <v>529</v>
      </c>
      <c r="M256" t="s">
        <v>513</v>
      </c>
      <c r="N256" t="s">
        <v>8</v>
      </c>
      <c r="O256" t="str">
        <f t="shared" si="3"/>
        <v>FIMATEC</v>
      </c>
      <c r="P256" s="8">
        <v>45553</v>
      </c>
      <c r="Q256" t="s">
        <v>530</v>
      </c>
      <c r="R256" s="8">
        <v>45583</v>
      </c>
      <c r="S256" t="s">
        <v>520</v>
      </c>
      <c r="T256" t="s">
        <v>76</v>
      </c>
      <c r="U256" s="12">
        <v>1</v>
      </c>
      <c r="V256" t="s">
        <v>189</v>
      </c>
      <c r="W256" t="s">
        <v>189</v>
      </c>
      <c r="X256" t="s">
        <v>172</v>
      </c>
      <c r="Y256" t="s">
        <v>171</v>
      </c>
    </row>
    <row r="257" spans="1:25" x14ac:dyDescent="0.25">
      <c r="A257" t="s">
        <v>297</v>
      </c>
      <c r="B257" s="8">
        <v>45583</v>
      </c>
      <c r="C257" t="s">
        <v>223</v>
      </c>
      <c r="D257" t="s">
        <v>1</v>
      </c>
      <c r="E257" t="s">
        <v>2</v>
      </c>
      <c r="F257" t="s">
        <v>3</v>
      </c>
      <c r="G257" t="s">
        <v>4</v>
      </c>
      <c r="H257" s="9">
        <v>58457.52</v>
      </c>
      <c r="I257" t="s">
        <v>71</v>
      </c>
      <c r="J257" t="s">
        <v>7</v>
      </c>
      <c r="K257" t="s">
        <v>531</v>
      </c>
      <c r="L257" t="s">
        <v>532</v>
      </c>
      <c r="M257" t="s">
        <v>513</v>
      </c>
      <c r="N257" t="s">
        <v>8</v>
      </c>
      <c r="O257" t="str">
        <f t="shared" si="3"/>
        <v>FIMATEC</v>
      </c>
      <c r="P257" s="8">
        <v>45553</v>
      </c>
      <c r="Q257" t="s">
        <v>533</v>
      </c>
      <c r="R257" s="8">
        <v>45583</v>
      </c>
      <c r="S257" t="s">
        <v>534</v>
      </c>
      <c r="T257" t="s">
        <v>71</v>
      </c>
      <c r="U257" s="12">
        <v>1</v>
      </c>
      <c r="V257" t="s">
        <v>189</v>
      </c>
      <c r="W257" t="s">
        <v>189</v>
      </c>
      <c r="X257" t="s">
        <v>3</v>
      </c>
      <c r="Y257" t="s">
        <v>424</v>
      </c>
    </row>
    <row r="258" spans="1:25" x14ac:dyDescent="0.25">
      <c r="A258" t="s">
        <v>297</v>
      </c>
      <c r="B258" s="8">
        <v>45583</v>
      </c>
      <c r="C258" t="s">
        <v>223</v>
      </c>
      <c r="D258" t="s">
        <v>1</v>
      </c>
      <c r="E258" t="s">
        <v>2</v>
      </c>
      <c r="F258" t="s">
        <v>11</v>
      </c>
      <c r="G258" t="s">
        <v>12</v>
      </c>
      <c r="H258" s="9">
        <v>3297</v>
      </c>
      <c r="I258" t="s">
        <v>81</v>
      </c>
      <c r="J258" t="s">
        <v>7</v>
      </c>
      <c r="K258" t="s">
        <v>535</v>
      </c>
      <c r="L258" t="s">
        <v>536</v>
      </c>
      <c r="M258" t="s">
        <v>513</v>
      </c>
      <c r="N258" t="s">
        <v>8</v>
      </c>
      <c r="O258" t="str">
        <f t="shared" ref="O258:O321" si="4">LEFT(J258,7)</f>
        <v>FIMATEC</v>
      </c>
      <c r="P258" s="8">
        <v>45553</v>
      </c>
      <c r="Q258" t="s">
        <v>537</v>
      </c>
      <c r="R258" s="8">
        <v>45583</v>
      </c>
      <c r="S258" t="s">
        <v>538</v>
      </c>
      <c r="T258" t="s">
        <v>81</v>
      </c>
      <c r="U258" s="12">
        <v>1</v>
      </c>
      <c r="V258" t="s">
        <v>189</v>
      </c>
      <c r="W258" t="s">
        <v>189</v>
      </c>
      <c r="X258" t="s">
        <v>11</v>
      </c>
      <c r="Y258" t="s">
        <v>424</v>
      </c>
    </row>
    <row r="259" spans="1:25" x14ac:dyDescent="0.25">
      <c r="A259" t="s">
        <v>297</v>
      </c>
      <c r="B259" s="8">
        <v>45583</v>
      </c>
      <c r="C259" t="s">
        <v>223</v>
      </c>
      <c r="D259" t="s">
        <v>1</v>
      </c>
      <c r="E259" t="s">
        <v>2</v>
      </c>
      <c r="F259" t="s">
        <v>3</v>
      </c>
      <c r="G259" t="s">
        <v>4</v>
      </c>
      <c r="H259" s="9">
        <v>-58457.52</v>
      </c>
      <c r="I259" t="s">
        <v>71</v>
      </c>
      <c r="J259" t="s">
        <v>7</v>
      </c>
      <c r="K259" t="s">
        <v>531</v>
      </c>
      <c r="L259" t="s">
        <v>539</v>
      </c>
      <c r="M259" t="s">
        <v>513</v>
      </c>
      <c r="N259" t="s">
        <v>8</v>
      </c>
      <c r="O259" t="str">
        <f t="shared" si="4"/>
        <v>FIMATEC</v>
      </c>
      <c r="P259" s="8">
        <v>45553</v>
      </c>
      <c r="Q259" t="s">
        <v>540</v>
      </c>
      <c r="R259" s="8">
        <v>45583</v>
      </c>
      <c r="S259" t="s">
        <v>534</v>
      </c>
      <c r="T259" t="s">
        <v>71</v>
      </c>
      <c r="U259" s="12">
        <v>-1</v>
      </c>
      <c r="V259" t="s">
        <v>189</v>
      </c>
      <c r="W259" t="s">
        <v>189</v>
      </c>
      <c r="X259" t="s">
        <v>3</v>
      </c>
      <c r="Y259" t="s">
        <v>424</v>
      </c>
    </row>
    <row r="260" spans="1:25" x14ac:dyDescent="0.25">
      <c r="A260" t="s">
        <v>297</v>
      </c>
      <c r="B260" s="8">
        <v>45583</v>
      </c>
      <c r="C260" t="s">
        <v>223</v>
      </c>
      <c r="D260" t="s">
        <v>1</v>
      </c>
      <c r="E260" t="s">
        <v>2</v>
      </c>
      <c r="F260" t="s">
        <v>3</v>
      </c>
      <c r="G260" t="s">
        <v>4</v>
      </c>
      <c r="H260" s="9">
        <v>58457.52</v>
      </c>
      <c r="I260" t="s">
        <v>71</v>
      </c>
      <c r="J260" t="s">
        <v>7</v>
      </c>
      <c r="K260" t="s">
        <v>531</v>
      </c>
      <c r="L260" t="s">
        <v>541</v>
      </c>
      <c r="M260" t="s">
        <v>513</v>
      </c>
      <c r="N260" t="s">
        <v>8</v>
      </c>
      <c r="O260" t="str">
        <f t="shared" si="4"/>
        <v>FIMATEC</v>
      </c>
      <c r="P260" s="8">
        <v>45553</v>
      </c>
      <c r="Q260" t="s">
        <v>542</v>
      </c>
      <c r="R260" s="8">
        <v>45583</v>
      </c>
      <c r="S260" t="s">
        <v>534</v>
      </c>
      <c r="T260" t="s">
        <v>71</v>
      </c>
      <c r="U260" s="12">
        <v>1</v>
      </c>
      <c r="V260" t="s">
        <v>189</v>
      </c>
      <c r="W260" t="s">
        <v>189</v>
      </c>
      <c r="X260" t="s">
        <v>3</v>
      </c>
      <c r="Y260" t="s">
        <v>424</v>
      </c>
    </row>
    <row r="261" spans="1:25" x14ac:dyDescent="0.25">
      <c r="A261" t="s">
        <v>297</v>
      </c>
      <c r="B261" s="8">
        <v>45593</v>
      </c>
      <c r="C261" t="s">
        <v>223</v>
      </c>
      <c r="D261" t="s">
        <v>1</v>
      </c>
      <c r="E261" t="s">
        <v>2</v>
      </c>
      <c r="F261" t="s">
        <v>387</v>
      </c>
      <c r="G261" t="s">
        <v>388</v>
      </c>
      <c r="H261" s="9">
        <v>95</v>
      </c>
      <c r="I261" t="s">
        <v>543</v>
      </c>
      <c r="J261" t="s">
        <v>7</v>
      </c>
      <c r="K261" t="s">
        <v>544</v>
      </c>
      <c r="L261" t="s">
        <v>545</v>
      </c>
      <c r="M261" t="s">
        <v>546</v>
      </c>
      <c r="N261" t="s">
        <v>8</v>
      </c>
      <c r="O261" t="str">
        <f t="shared" si="4"/>
        <v>FIMATEC</v>
      </c>
      <c r="P261" s="8">
        <v>45588</v>
      </c>
      <c r="Q261" t="s">
        <v>547</v>
      </c>
      <c r="R261" s="8">
        <v>45593</v>
      </c>
      <c r="S261" t="s">
        <v>548</v>
      </c>
      <c r="T261" t="s">
        <v>115</v>
      </c>
      <c r="U261" s="12">
        <v>1</v>
      </c>
      <c r="V261" t="s">
        <v>189</v>
      </c>
      <c r="W261" t="s">
        <v>189</v>
      </c>
      <c r="X261" t="s">
        <v>387</v>
      </c>
      <c r="Y261" t="s">
        <v>424</v>
      </c>
    </row>
    <row r="262" spans="1:25" x14ac:dyDescent="0.25">
      <c r="A262" t="s">
        <v>297</v>
      </c>
      <c r="B262" s="8">
        <v>45593</v>
      </c>
      <c r="C262" t="s">
        <v>223</v>
      </c>
      <c r="D262" t="s">
        <v>1</v>
      </c>
      <c r="E262" t="s">
        <v>2</v>
      </c>
      <c r="F262" t="s">
        <v>387</v>
      </c>
      <c r="G262" t="s">
        <v>388</v>
      </c>
      <c r="H262" s="9">
        <v>420</v>
      </c>
      <c r="I262" t="s">
        <v>549</v>
      </c>
      <c r="J262" t="s">
        <v>7</v>
      </c>
      <c r="K262" t="s">
        <v>550</v>
      </c>
      <c r="L262" t="s">
        <v>551</v>
      </c>
      <c r="M262" t="s">
        <v>546</v>
      </c>
      <c r="N262" t="s">
        <v>8</v>
      </c>
      <c r="O262" t="str">
        <f t="shared" si="4"/>
        <v>FIMATEC</v>
      </c>
      <c r="P262" s="8">
        <v>45588</v>
      </c>
      <c r="Q262" t="s">
        <v>552</v>
      </c>
      <c r="R262" s="8">
        <v>45593</v>
      </c>
      <c r="S262" t="s">
        <v>553</v>
      </c>
      <c r="T262" t="s">
        <v>115</v>
      </c>
      <c r="U262" s="12">
        <v>1</v>
      </c>
      <c r="V262" t="s">
        <v>189</v>
      </c>
      <c r="W262" t="s">
        <v>189</v>
      </c>
      <c r="X262" t="s">
        <v>387</v>
      </c>
      <c r="Y262" t="s">
        <v>424</v>
      </c>
    </row>
    <row r="263" spans="1:25" x14ac:dyDescent="0.25">
      <c r="A263" t="s">
        <v>297</v>
      </c>
      <c r="B263" s="8">
        <v>45593</v>
      </c>
      <c r="C263" t="s">
        <v>223</v>
      </c>
      <c r="D263" t="s">
        <v>1</v>
      </c>
      <c r="E263" t="s">
        <v>2</v>
      </c>
      <c r="F263" t="s">
        <v>387</v>
      </c>
      <c r="G263" t="s">
        <v>388</v>
      </c>
      <c r="H263" s="9">
        <v>140</v>
      </c>
      <c r="I263" t="s">
        <v>554</v>
      </c>
      <c r="J263" t="s">
        <v>7</v>
      </c>
      <c r="K263" t="s">
        <v>555</v>
      </c>
      <c r="L263" t="s">
        <v>556</v>
      </c>
      <c r="M263" t="s">
        <v>546</v>
      </c>
      <c r="N263" t="s">
        <v>8</v>
      </c>
      <c r="O263" t="str">
        <f t="shared" si="4"/>
        <v>FIMATEC</v>
      </c>
      <c r="P263" s="8">
        <v>45588</v>
      </c>
      <c r="Q263" t="s">
        <v>557</v>
      </c>
      <c r="R263" s="8">
        <v>45593</v>
      </c>
      <c r="S263" t="s">
        <v>558</v>
      </c>
      <c r="T263" t="s">
        <v>115</v>
      </c>
      <c r="U263" s="12">
        <v>1</v>
      </c>
      <c r="V263" t="s">
        <v>189</v>
      </c>
      <c r="W263" t="s">
        <v>189</v>
      </c>
      <c r="X263" t="s">
        <v>387</v>
      </c>
      <c r="Y263" t="s">
        <v>424</v>
      </c>
    </row>
    <row r="264" spans="1:25" x14ac:dyDescent="0.25">
      <c r="A264" t="s">
        <v>297</v>
      </c>
      <c r="B264" s="8">
        <v>45593</v>
      </c>
      <c r="C264" t="s">
        <v>223</v>
      </c>
      <c r="D264" t="s">
        <v>1</v>
      </c>
      <c r="E264" t="s">
        <v>2</v>
      </c>
      <c r="F264" t="s">
        <v>387</v>
      </c>
      <c r="G264" t="s">
        <v>388</v>
      </c>
      <c r="H264" s="9">
        <v>420</v>
      </c>
      <c r="I264" t="s">
        <v>559</v>
      </c>
      <c r="J264" t="s">
        <v>7</v>
      </c>
      <c r="K264" t="s">
        <v>560</v>
      </c>
      <c r="L264" t="s">
        <v>561</v>
      </c>
      <c r="M264" t="s">
        <v>546</v>
      </c>
      <c r="N264" t="s">
        <v>8</v>
      </c>
      <c r="O264" t="str">
        <f t="shared" si="4"/>
        <v>FIMATEC</v>
      </c>
      <c r="P264" s="8">
        <v>45588</v>
      </c>
      <c r="Q264" t="s">
        <v>562</v>
      </c>
      <c r="R264" s="8">
        <v>45593</v>
      </c>
      <c r="S264" t="s">
        <v>563</v>
      </c>
      <c r="T264" t="s">
        <v>115</v>
      </c>
      <c r="U264" s="12">
        <v>1</v>
      </c>
      <c r="V264" t="s">
        <v>189</v>
      </c>
      <c r="W264" t="s">
        <v>189</v>
      </c>
      <c r="X264" t="s">
        <v>387</v>
      </c>
      <c r="Y264" t="s">
        <v>424</v>
      </c>
    </row>
    <row r="265" spans="1:25" x14ac:dyDescent="0.25">
      <c r="A265" t="s">
        <v>297</v>
      </c>
      <c r="B265" s="8">
        <v>45593</v>
      </c>
      <c r="C265" t="s">
        <v>223</v>
      </c>
      <c r="D265" t="s">
        <v>1</v>
      </c>
      <c r="E265" t="s">
        <v>2</v>
      </c>
      <c r="F265" t="s">
        <v>387</v>
      </c>
      <c r="G265" t="s">
        <v>388</v>
      </c>
      <c r="H265" s="9">
        <v>280</v>
      </c>
      <c r="I265" t="s">
        <v>564</v>
      </c>
      <c r="J265" t="s">
        <v>7</v>
      </c>
      <c r="K265" t="s">
        <v>565</v>
      </c>
      <c r="L265" t="s">
        <v>566</v>
      </c>
      <c r="M265" t="s">
        <v>546</v>
      </c>
      <c r="N265" t="s">
        <v>8</v>
      </c>
      <c r="O265" t="str">
        <f t="shared" si="4"/>
        <v>FIMATEC</v>
      </c>
      <c r="P265" s="8">
        <v>45588</v>
      </c>
      <c r="Q265" t="s">
        <v>567</v>
      </c>
      <c r="R265" s="8">
        <v>45593</v>
      </c>
      <c r="S265" t="s">
        <v>568</v>
      </c>
      <c r="T265" t="s">
        <v>115</v>
      </c>
      <c r="U265" s="12">
        <v>1</v>
      </c>
      <c r="V265" t="s">
        <v>189</v>
      </c>
      <c r="W265" t="s">
        <v>189</v>
      </c>
      <c r="X265" t="s">
        <v>387</v>
      </c>
      <c r="Y265" t="s">
        <v>424</v>
      </c>
    </row>
    <row r="266" spans="1:25" x14ac:dyDescent="0.25">
      <c r="A266" t="s">
        <v>297</v>
      </c>
      <c r="B266" s="8">
        <v>45593</v>
      </c>
      <c r="C266" t="s">
        <v>223</v>
      </c>
      <c r="D266" t="s">
        <v>1</v>
      </c>
      <c r="E266" t="s">
        <v>2</v>
      </c>
      <c r="F266" t="s">
        <v>387</v>
      </c>
      <c r="G266" t="s">
        <v>388</v>
      </c>
      <c r="H266" s="9">
        <v>460</v>
      </c>
      <c r="I266" t="s">
        <v>569</v>
      </c>
      <c r="J266" t="s">
        <v>7</v>
      </c>
      <c r="K266" t="s">
        <v>570</v>
      </c>
      <c r="L266" t="s">
        <v>571</v>
      </c>
      <c r="M266" t="s">
        <v>546</v>
      </c>
      <c r="N266" t="s">
        <v>8</v>
      </c>
      <c r="O266" t="str">
        <f t="shared" si="4"/>
        <v>FIMATEC</v>
      </c>
      <c r="P266" s="8">
        <v>45588</v>
      </c>
      <c r="Q266" t="s">
        <v>572</v>
      </c>
      <c r="R266" s="8">
        <v>45593</v>
      </c>
      <c r="S266" t="s">
        <v>573</v>
      </c>
      <c r="T266" t="s">
        <v>115</v>
      </c>
      <c r="U266" s="12">
        <v>1</v>
      </c>
      <c r="V266" t="s">
        <v>189</v>
      </c>
      <c r="W266" t="s">
        <v>189</v>
      </c>
      <c r="X266" t="s">
        <v>387</v>
      </c>
      <c r="Y266" t="s">
        <v>424</v>
      </c>
    </row>
    <row r="267" spans="1:25" x14ac:dyDescent="0.25">
      <c r="A267" t="s">
        <v>297</v>
      </c>
      <c r="B267" s="7">
        <v>45639</v>
      </c>
      <c r="C267" t="s">
        <v>283</v>
      </c>
      <c r="D267" t="s">
        <v>1</v>
      </c>
      <c r="E267" t="s">
        <v>2</v>
      </c>
      <c r="F267" t="s">
        <v>11</v>
      </c>
      <c r="G267" t="s">
        <v>12</v>
      </c>
      <c r="H267">
        <v>16348.77</v>
      </c>
      <c r="I267" t="s">
        <v>81</v>
      </c>
      <c r="J267" t="s">
        <v>7</v>
      </c>
      <c r="K267" t="s">
        <v>574</v>
      </c>
      <c r="L267" t="s">
        <v>575</v>
      </c>
      <c r="M267" t="s">
        <v>286</v>
      </c>
      <c r="N267" t="s">
        <v>8</v>
      </c>
      <c r="O267" t="str">
        <f t="shared" si="4"/>
        <v>FIMATEC</v>
      </c>
      <c r="P267" s="7">
        <v>45575</v>
      </c>
      <c r="Q267" t="s">
        <v>576</v>
      </c>
      <c r="R267" s="7">
        <v>45639</v>
      </c>
      <c r="S267" t="s">
        <v>577</v>
      </c>
      <c r="T267" t="s">
        <v>81</v>
      </c>
      <c r="U267">
        <v>1</v>
      </c>
      <c r="V267" t="s">
        <v>189</v>
      </c>
      <c r="W267" t="s">
        <v>189</v>
      </c>
      <c r="X267" t="s">
        <v>11</v>
      </c>
      <c r="Y267" t="s">
        <v>424</v>
      </c>
    </row>
    <row r="268" spans="1:25" x14ac:dyDescent="0.25">
      <c r="A268" t="s">
        <v>297</v>
      </c>
      <c r="B268" s="7">
        <v>45639</v>
      </c>
      <c r="C268" t="s">
        <v>283</v>
      </c>
      <c r="D268" t="s">
        <v>1</v>
      </c>
      <c r="E268" t="s">
        <v>2</v>
      </c>
      <c r="F268" t="s">
        <v>17</v>
      </c>
      <c r="G268" t="s">
        <v>18</v>
      </c>
      <c r="H268">
        <v>3633.06</v>
      </c>
      <c r="I268" t="s">
        <v>81</v>
      </c>
      <c r="J268" t="s">
        <v>7</v>
      </c>
      <c r="K268" t="s">
        <v>578</v>
      </c>
      <c r="L268" t="s">
        <v>579</v>
      </c>
      <c r="M268" t="s">
        <v>286</v>
      </c>
      <c r="N268" t="s">
        <v>8</v>
      </c>
      <c r="O268" t="str">
        <f t="shared" si="4"/>
        <v>FIMATEC</v>
      </c>
      <c r="P268" s="7">
        <v>45575</v>
      </c>
      <c r="Q268" t="s">
        <v>580</v>
      </c>
      <c r="R268" s="7">
        <v>45639</v>
      </c>
      <c r="S268" t="s">
        <v>581</v>
      </c>
      <c r="T268" t="s">
        <v>81</v>
      </c>
      <c r="U268">
        <v>1</v>
      </c>
      <c r="V268" t="s">
        <v>189</v>
      </c>
      <c r="W268" t="s">
        <v>189</v>
      </c>
      <c r="X268" t="s">
        <v>17</v>
      </c>
      <c r="Y268" t="s">
        <v>424</v>
      </c>
    </row>
    <row r="269" spans="1:25" x14ac:dyDescent="0.25">
      <c r="A269" t="s">
        <v>297</v>
      </c>
      <c r="B269" s="7">
        <v>45639</v>
      </c>
      <c r="C269" t="s">
        <v>283</v>
      </c>
      <c r="D269" t="s">
        <v>1</v>
      </c>
      <c r="E269" t="s">
        <v>2</v>
      </c>
      <c r="F269" t="s">
        <v>13</v>
      </c>
      <c r="G269" t="s">
        <v>14</v>
      </c>
      <c r="H269">
        <v>11594.88</v>
      </c>
      <c r="I269" t="s">
        <v>76</v>
      </c>
      <c r="J269" t="s">
        <v>7</v>
      </c>
      <c r="K269" t="s">
        <v>582</v>
      </c>
      <c r="L269" t="s">
        <v>583</v>
      </c>
      <c r="M269" t="s">
        <v>286</v>
      </c>
      <c r="N269" t="s">
        <v>8</v>
      </c>
      <c r="O269" t="str">
        <f t="shared" si="4"/>
        <v>FIMATEC</v>
      </c>
      <c r="P269" s="7">
        <v>45575</v>
      </c>
      <c r="Q269" t="s">
        <v>584</v>
      </c>
      <c r="R269" s="7">
        <v>45639</v>
      </c>
      <c r="S269" t="s">
        <v>585</v>
      </c>
      <c r="T269" t="s">
        <v>76</v>
      </c>
      <c r="U269">
        <v>1</v>
      </c>
      <c r="V269" t="s">
        <v>189</v>
      </c>
      <c r="W269" t="s">
        <v>189</v>
      </c>
      <c r="X269" t="s">
        <v>13</v>
      </c>
      <c r="Y269" t="s">
        <v>424</v>
      </c>
    </row>
    <row r="270" spans="1:25" x14ac:dyDescent="0.25">
      <c r="A270" t="s">
        <v>297</v>
      </c>
      <c r="B270" s="7">
        <v>45639</v>
      </c>
      <c r="C270" t="s">
        <v>283</v>
      </c>
      <c r="D270" t="s">
        <v>1</v>
      </c>
      <c r="E270" t="s">
        <v>2</v>
      </c>
      <c r="F270" t="s">
        <v>3</v>
      </c>
      <c r="G270" t="s">
        <v>4</v>
      </c>
      <c r="H270">
        <v>64416</v>
      </c>
      <c r="I270" t="s">
        <v>586</v>
      </c>
      <c r="J270" t="s">
        <v>7</v>
      </c>
      <c r="K270" t="s">
        <v>587</v>
      </c>
      <c r="L270" t="s">
        <v>588</v>
      </c>
      <c r="M270" t="s">
        <v>286</v>
      </c>
      <c r="N270" t="s">
        <v>8</v>
      </c>
      <c r="O270" t="str">
        <f t="shared" si="4"/>
        <v>FIMATEC</v>
      </c>
      <c r="P270" s="7">
        <v>45575</v>
      </c>
      <c r="Q270" t="s">
        <v>589</v>
      </c>
      <c r="R270" s="7">
        <v>45639</v>
      </c>
      <c r="S270" t="s">
        <v>590</v>
      </c>
      <c r="T270" t="s">
        <v>71</v>
      </c>
      <c r="U270">
        <v>1</v>
      </c>
      <c r="V270" t="s">
        <v>189</v>
      </c>
      <c r="W270" t="s">
        <v>189</v>
      </c>
      <c r="X270" t="s">
        <v>3</v>
      </c>
      <c r="Y270" t="s">
        <v>424</v>
      </c>
    </row>
    <row r="271" spans="1:25" x14ac:dyDescent="0.25">
      <c r="A271" t="s">
        <v>297</v>
      </c>
      <c r="B271" s="7">
        <v>45641</v>
      </c>
      <c r="C271" t="s">
        <v>283</v>
      </c>
      <c r="D271" t="s">
        <v>1</v>
      </c>
      <c r="E271" t="s">
        <v>2</v>
      </c>
      <c r="F271" t="s">
        <v>13</v>
      </c>
      <c r="G271" t="s">
        <v>14</v>
      </c>
      <c r="H271">
        <v>11594.88</v>
      </c>
      <c r="I271" t="s">
        <v>76</v>
      </c>
      <c r="J271" t="s">
        <v>7</v>
      </c>
      <c r="K271" t="s">
        <v>591</v>
      </c>
      <c r="L271" t="s">
        <v>592</v>
      </c>
      <c r="M271" t="s">
        <v>286</v>
      </c>
      <c r="N271" t="s">
        <v>8</v>
      </c>
      <c r="O271" t="str">
        <f t="shared" si="4"/>
        <v>FIMATEC</v>
      </c>
      <c r="P271" s="7">
        <v>45631</v>
      </c>
      <c r="Q271" t="s">
        <v>593</v>
      </c>
      <c r="R271" s="7">
        <v>45641</v>
      </c>
      <c r="S271" t="s">
        <v>594</v>
      </c>
      <c r="T271" t="s">
        <v>76</v>
      </c>
      <c r="U271">
        <v>1</v>
      </c>
      <c r="V271" t="s">
        <v>189</v>
      </c>
      <c r="W271" t="s">
        <v>189</v>
      </c>
      <c r="X271" t="s">
        <v>13</v>
      </c>
      <c r="Y271" t="s">
        <v>424</v>
      </c>
    </row>
    <row r="272" spans="1:25" x14ac:dyDescent="0.25">
      <c r="A272" t="s">
        <v>297</v>
      </c>
      <c r="B272" s="7">
        <v>45642</v>
      </c>
      <c r="C272" t="s">
        <v>283</v>
      </c>
      <c r="D272" t="s">
        <v>1</v>
      </c>
      <c r="E272" t="s">
        <v>2</v>
      </c>
      <c r="F272" t="s">
        <v>11</v>
      </c>
      <c r="G272" t="s">
        <v>12</v>
      </c>
      <c r="H272">
        <v>16348.77</v>
      </c>
      <c r="I272" t="s">
        <v>81</v>
      </c>
      <c r="J272" t="s">
        <v>7</v>
      </c>
      <c r="K272" t="s">
        <v>595</v>
      </c>
      <c r="L272" t="s">
        <v>596</v>
      </c>
      <c r="M272" t="s">
        <v>546</v>
      </c>
      <c r="N272" t="s">
        <v>8</v>
      </c>
      <c r="O272" t="str">
        <f t="shared" si="4"/>
        <v>FIMATEC</v>
      </c>
      <c r="P272" s="7">
        <v>45607</v>
      </c>
      <c r="Q272" t="s">
        <v>597</v>
      </c>
      <c r="R272" s="7">
        <v>45642</v>
      </c>
      <c r="S272" t="s">
        <v>598</v>
      </c>
      <c r="T272" t="s">
        <v>81</v>
      </c>
      <c r="U272">
        <v>1</v>
      </c>
      <c r="V272" t="s">
        <v>189</v>
      </c>
      <c r="W272" t="s">
        <v>189</v>
      </c>
      <c r="X272" t="s">
        <v>11</v>
      </c>
      <c r="Y272" t="s">
        <v>424</v>
      </c>
    </row>
    <row r="273" spans="1:25" x14ac:dyDescent="0.25">
      <c r="A273" t="s">
        <v>297</v>
      </c>
      <c r="B273" s="7">
        <v>45642</v>
      </c>
      <c r="C273" t="s">
        <v>283</v>
      </c>
      <c r="D273" t="s">
        <v>1</v>
      </c>
      <c r="E273" t="s">
        <v>2</v>
      </c>
      <c r="F273" t="s">
        <v>11</v>
      </c>
      <c r="G273" t="s">
        <v>12</v>
      </c>
      <c r="H273">
        <v>16348.77</v>
      </c>
      <c r="I273" t="s">
        <v>81</v>
      </c>
      <c r="J273" t="s">
        <v>7</v>
      </c>
      <c r="K273" t="s">
        <v>599</v>
      </c>
      <c r="L273" t="s">
        <v>600</v>
      </c>
      <c r="M273" t="s">
        <v>546</v>
      </c>
      <c r="N273" t="s">
        <v>8</v>
      </c>
      <c r="O273" t="str">
        <f t="shared" si="4"/>
        <v>FIMATEC</v>
      </c>
      <c r="P273" s="7">
        <v>45631</v>
      </c>
      <c r="Q273" t="s">
        <v>601</v>
      </c>
      <c r="R273" s="7">
        <v>45642</v>
      </c>
      <c r="S273" t="s">
        <v>602</v>
      </c>
      <c r="T273" t="s">
        <v>81</v>
      </c>
      <c r="U273">
        <v>1</v>
      </c>
      <c r="V273" t="s">
        <v>189</v>
      </c>
      <c r="W273" t="s">
        <v>189</v>
      </c>
      <c r="X273" t="s">
        <v>11</v>
      </c>
      <c r="Y273" t="s">
        <v>424</v>
      </c>
    </row>
    <row r="274" spans="1:25" x14ac:dyDescent="0.25">
      <c r="A274" t="s">
        <v>297</v>
      </c>
      <c r="B274" s="7">
        <v>45642</v>
      </c>
      <c r="C274" t="s">
        <v>283</v>
      </c>
      <c r="D274" t="s">
        <v>1</v>
      </c>
      <c r="E274" t="s">
        <v>2</v>
      </c>
      <c r="F274" t="s">
        <v>17</v>
      </c>
      <c r="G274" t="s">
        <v>18</v>
      </c>
      <c r="H274">
        <v>3633.06</v>
      </c>
      <c r="I274" t="s">
        <v>81</v>
      </c>
      <c r="J274" t="s">
        <v>7</v>
      </c>
      <c r="K274" t="s">
        <v>603</v>
      </c>
      <c r="L274" t="s">
        <v>604</v>
      </c>
      <c r="M274" t="s">
        <v>546</v>
      </c>
      <c r="N274" t="s">
        <v>8</v>
      </c>
      <c r="O274" t="str">
        <f t="shared" si="4"/>
        <v>FIMATEC</v>
      </c>
      <c r="P274" s="7">
        <v>45631</v>
      </c>
      <c r="Q274" t="s">
        <v>605</v>
      </c>
      <c r="R274" s="7">
        <v>45642</v>
      </c>
      <c r="S274" t="s">
        <v>606</v>
      </c>
      <c r="T274" t="s">
        <v>81</v>
      </c>
      <c r="U274">
        <v>1</v>
      </c>
      <c r="V274" t="s">
        <v>189</v>
      </c>
      <c r="W274" t="s">
        <v>189</v>
      </c>
      <c r="X274" t="s">
        <v>17</v>
      </c>
      <c r="Y274" t="s">
        <v>424</v>
      </c>
    </row>
    <row r="275" spans="1:25" x14ac:dyDescent="0.25">
      <c r="A275" t="s">
        <v>297</v>
      </c>
      <c r="B275" s="7">
        <v>45642</v>
      </c>
      <c r="C275" t="s">
        <v>283</v>
      </c>
      <c r="D275" t="s">
        <v>1</v>
      </c>
      <c r="E275" t="s">
        <v>2</v>
      </c>
      <c r="F275" t="s">
        <v>13</v>
      </c>
      <c r="G275" t="s">
        <v>14</v>
      </c>
      <c r="H275">
        <v>11594.88</v>
      </c>
      <c r="I275" t="s">
        <v>76</v>
      </c>
      <c r="J275" t="s">
        <v>7</v>
      </c>
      <c r="K275" t="s">
        <v>607</v>
      </c>
      <c r="L275" t="s">
        <v>608</v>
      </c>
      <c r="M275" t="s">
        <v>546</v>
      </c>
      <c r="N275" t="s">
        <v>8</v>
      </c>
      <c r="O275" t="str">
        <f t="shared" si="4"/>
        <v>FIMATEC</v>
      </c>
      <c r="P275" s="7">
        <v>45607</v>
      </c>
      <c r="Q275" t="s">
        <v>609</v>
      </c>
      <c r="R275" s="7">
        <v>45642</v>
      </c>
      <c r="S275" t="s">
        <v>610</v>
      </c>
      <c r="T275" t="s">
        <v>76</v>
      </c>
      <c r="U275">
        <v>1</v>
      </c>
      <c r="V275" t="s">
        <v>189</v>
      </c>
      <c r="W275" t="s">
        <v>189</v>
      </c>
      <c r="X275" t="s">
        <v>13</v>
      </c>
      <c r="Y275" t="s">
        <v>424</v>
      </c>
    </row>
    <row r="276" spans="1:25" x14ac:dyDescent="0.25">
      <c r="A276" t="s">
        <v>297</v>
      </c>
      <c r="B276" s="7">
        <v>45642</v>
      </c>
      <c r="C276" t="s">
        <v>283</v>
      </c>
      <c r="D276" t="s">
        <v>1</v>
      </c>
      <c r="E276" t="s">
        <v>2</v>
      </c>
      <c r="F276" t="s">
        <v>3</v>
      </c>
      <c r="G276" t="s">
        <v>4</v>
      </c>
      <c r="H276">
        <v>64416</v>
      </c>
      <c r="I276" t="s">
        <v>71</v>
      </c>
      <c r="J276" t="s">
        <v>7</v>
      </c>
      <c r="K276" t="s">
        <v>611</v>
      </c>
      <c r="L276" t="s">
        <v>612</v>
      </c>
      <c r="M276" t="s">
        <v>546</v>
      </c>
      <c r="N276" t="s">
        <v>8</v>
      </c>
      <c r="O276" t="str">
        <f t="shared" si="4"/>
        <v>FIMATEC</v>
      </c>
      <c r="P276" s="7">
        <v>45607</v>
      </c>
      <c r="Q276" t="s">
        <v>613</v>
      </c>
      <c r="R276" s="7">
        <v>45642</v>
      </c>
      <c r="S276" t="s">
        <v>614</v>
      </c>
      <c r="T276" t="s">
        <v>71</v>
      </c>
      <c r="U276">
        <v>1</v>
      </c>
      <c r="V276" t="s">
        <v>189</v>
      </c>
      <c r="W276" t="s">
        <v>189</v>
      </c>
      <c r="X276" t="s">
        <v>3</v>
      </c>
      <c r="Y276" t="s">
        <v>424</v>
      </c>
    </row>
    <row r="277" spans="1:25" x14ac:dyDescent="0.25">
      <c r="A277" t="s">
        <v>297</v>
      </c>
      <c r="B277" s="7">
        <v>45642</v>
      </c>
      <c r="C277" t="s">
        <v>283</v>
      </c>
      <c r="D277" t="s">
        <v>1</v>
      </c>
      <c r="E277" t="s">
        <v>2</v>
      </c>
      <c r="F277" t="s">
        <v>17</v>
      </c>
      <c r="G277" t="s">
        <v>18</v>
      </c>
      <c r="H277">
        <v>3633.06</v>
      </c>
      <c r="I277" t="s">
        <v>81</v>
      </c>
      <c r="J277" t="s">
        <v>7</v>
      </c>
      <c r="K277" t="s">
        <v>615</v>
      </c>
      <c r="L277" t="s">
        <v>616</v>
      </c>
      <c r="M277" t="s">
        <v>546</v>
      </c>
      <c r="N277" t="s">
        <v>8</v>
      </c>
      <c r="O277" t="str">
        <f t="shared" si="4"/>
        <v>FIMATEC</v>
      </c>
      <c r="P277" s="7">
        <v>45607</v>
      </c>
      <c r="Q277" t="s">
        <v>617</v>
      </c>
      <c r="R277" s="7">
        <v>45642</v>
      </c>
      <c r="S277" t="s">
        <v>618</v>
      </c>
      <c r="T277" t="s">
        <v>81</v>
      </c>
      <c r="U277">
        <v>1</v>
      </c>
      <c r="V277" t="s">
        <v>189</v>
      </c>
      <c r="W277" t="s">
        <v>189</v>
      </c>
      <c r="X277" t="s">
        <v>17</v>
      </c>
      <c r="Y277" t="s">
        <v>424</v>
      </c>
    </row>
    <row r="278" spans="1:25" x14ac:dyDescent="0.25">
      <c r="A278" t="s">
        <v>297</v>
      </c>
      <c r="B278" s="7">
        <v>45642</v>
      </c>
      <c r="C278" t="s">
        <v>283</v>
      </c>
      <c r="D278" t="s">
        <v>1</v>
      </c>
      <c r="E278" t="s">
        <v>2</v>
      </c>
      <c r="F278" t="s">
        <v>3</v>
      </c>
      <c r="G278" t="s">
        <v>4</v>
      </c>
      <c r="H278">
        <v>64416</v>
      </c>
      <c r="I278" t="s">
        <v>71</v>
      </c>
      <c r="J278" t="s">
        <v>7</v>
      </c>
      <c r="K278" t="s">
        <v>619</v>
      </c>
      <c r="L278" t="s">
        <v>620</v>
      </c>
      <c r="M278" t="s">
        <v>546</v>
      </c>
      <c r="N278" t="s">
        <v>8</v>
      </c>
      <c r="O278" t="str">
        <f t="shared" si="4"/>
        <v>FIMATEC</v>
      </c>
      <c r="P278" s="7">
        <v>45631</v>
      </c>
      <c r="Q278" t="s">
        <v>621</v>
      </c>
      <c r="R278" s="7">
        <v>45642</v>
      </c>
      <c r="S278" t="s">
        <v>622</v>
      </c>
      <c r="T278" t="s">
        <v>71</v>
      </c>
      <c r="U278">
        <v>1</v>
      </c>
      <c r="V278" t="s">
        <v>189</v>
      </c>
      <c r="W278" t="s">
        <v>189</v>
      </c>
      <c r="X278" t="s">
        <v>3</v>
      </c>
      <c r="Y278" t="s">
        <v>424</v>
      </c>
    </row>
    <row r="279" spans="1:25" x14ac:dyDescent="0.25">
      <c r="A279" t="s">
        <v>623</v>
      </c>
      <c r="B279" s="7">
        <v>45672</v>
      </c>
      <c r="C279" t="s">
        <v>8</v>
      </c>
      <c r="D279" t="s">
        <v>1</v>
      </c>
      <c r="E279" t="s">
        <v>2</v>
      </c>
      <c r="F279" t="s">
        <v>387</v>
      </c>
      <c r="G279" t="s">
        <v>388</v>
      </c>
      <c r="H279">
        <v>11594.88</v>
      </c>
      <c r="I279" t="s">
        <v>76</v>
      </c>
      <c r="J279" t="s">
        <v>7</v>
      </c>
      <c r="K279" t="s">
        <v>624</v>
      </c>
      <c r="L279" t="s">
        <v>625</v>
      </c>
      <c r="M279" t="s">
        <v>546</v>
      </c>
      <c r="N279" t="s">
        <v>8</v>
      </c>
      <c r="O279" t="str">
        <f t="shared" si="4"/>
        <v>FIMATEC</v>
      </c>
      <c r="P279" s="7">
        <v>45672</v>
      </c>
      <c r="Q279" t="s">
        <v>626</v>
      </c>
      <c r="R279" s="7">
        <v>45672</v>
      </c>
      <c r="S279" t="s">
        <v>627</v>
      </c>
      <c r="T279" t="s">
        <v>76</v>
      </c>
      <c r="U279">
        <v>1</v>
      </c>
      <c r="V279" t="s">
        <v>189</v>
      </c>
      <c r="W279" t="s">
        <v>189</v>
      </c>
      <c r="X279" t="s">
        <v>387</v>
      </c>
    </row>
    <row r="280" spans="1:25" x14ac:dyDescent="0.25">
      <c r="A280" t="s">
        <v>623</v>
      </c>
      <c r="B280" s="7">
        <v>45672</v>
      </c>
      <c r="C280" t="s">
        <v>8</v>
      </c>
      <c r="D280" t="s">
        <v>1</v>
      </c>
      <c r="E280" t="s">
        <v>2</v>
      </c>
      <c r="F280" t="s">
        <v>3</v>
      </c>
      <c r="G280" t="s">
        <v>4</v>
      </c>
      <c r="H280">
        <v>64416</v>
      </c>
      <c r="I280" t="s">
        <v>76</v>
      </c>
      <c r="J280" t="s">
        <v>7</v>
      </c>
      <c r="K280" t="s">
        <v>628</v>
      </c>
      <c r="L280" t="s">
        <v>629</v>
      </c>
      <c r="M280" t="s">
        <v>546</v>
      </c>
      <c r="N280" t="s">
        <v>8</v>
      </c>
      <c r="O280" t="str">
        <f t="shared" si="4"/>
        <v>FIMATEC</v>
      </c>
      <c r="P280" s="7">
        <v>45672</v>
      </c>
      <c r="Q280" t="s">
        <v>630</v>
      </c>
      <c r="R280" s="7">
        <v>45672</v>
      </c>
      <c r="S280" t="s">
        <v>631</v>
      </c>
      <c r="T280" t="s">
        <v>76</v>
      </c>
      <c r="U280">
        <v>1</v>
      </c>
      <c r="V280" t="s">
        <v>189</v>
      </c>
      <c r="W280" t="s">
        <v>189</v>
      </c>
      <c r="X280" t="s">
        <v>3</v>
      </c>
    </row>
    <row r="281" spans="1:25" x14ac:dyDescent="0.25">
      <c r="A281" t="s">
        <v>623</v>
      </c>
      <c r="B281" s="7">
        <v>45673</v>
      </c>
      <c r="C281" t="s">
        <v>8</v>
      </c>
      <c r="D281" t="s">
        <v>170</v>
      </c>
      <c r="E281" t="s">
        <v>171</v>
      </c>
      <c r="F281" t="s">
        <v>172</v>
      </c>
      <c r="G281" t="s">
        <v>173</v>
      </c>
      <c r="H281">
        <v>16348.77</v>
      </c>
      <c r="I281" t="s">
        <v>81</v>
      </c>
      <c r="J281" t="s">
        <v>7</v>
      </c>
      <c r="K281" t="s">
        <v>632</v>
      </c>
      <c r="L281" t="s">
        <v>633</v>
      </c>
      <c r="M281" t="s">
        <v>546</v>
      </c>
      <c r="N281" t="s">
        <v>8</v>
      </c>
      <c r="O281" t="str">
        <f t="shared" si="4"/>
        <v>FIMATEC</v>
      </c>
      <c r="P281" s="7">
        <v>45672</v>
      </c>
      <c r="Q281" t="s">
        <v>634</v>
      </c>
      <c r="R281" s="7">
        <v>45673</v>
      </c>
      <c r="S281" t="s">
        <v>635</v>
      </c>
      <c r="T281" t="s">
        <v>81</v>
      </c>
      <c r="U281">
        <v>1</v>
      </c>
      <c r="V281" t="s">
        <v>189</v>
      </c>
      <c r="W281" t="s">
        <v>189</v>
      </c>
      <c r="X281" t="s">
        <v>172</v>
      </c>
    </row>
    <row r="282" spans="1:25" x14ac:dyDescent="0.25">
      <c r="A282" t="s">
        <v>623</v>
      </c>
      <c r="B282" s="7">
        <v>45673</v>
      </c>
      <c r="C282" t="s">
        <v>8</v>
      </c>
      <c r="D282" t="s">
        <v>1</v>
      </c>
      <c r="E282" t="s">
        <v>2</v>
      </c>
      <c r="F282" t="s">
        <v>17</v>
      </c>
      <c r="G282" t="s">
        <v>18</v>
      </c>
      <c r="H282">
        <v>3633.06</v>
      </c>
      <c r="I282" t="s">
        <v>81</v>
      </c>
      <c r="J282" t="s">
        <v>7</v>
      </c>
      <c r="K282" t="s">
        <v>636</v>
      </c>
      <c r="L282" t="s">
        <v>637</v>
      </c>
      <c r="M282" t="s">
        <v>546</v>
      </c>
      <c r="N282" t="s">
        <v>8</v>
      </c>
      <c r="O282" t="str">
        <f t="shared" si="4"/>
        <v>FIMATEC</v>
      </c>
      <c r="P282" s="7">
        <v>45672</v>
      </c>
      <c r="Q282" t="s">
        <v>638</v>
      </c>
      <c r="R282" s="7">
        <v>45673</v>
      </c>
      <c r="S282" t="s">
        <v>639</v>
      </c>
      <c r="T282" t="s">
        <v>81</v>
      </c>
      <c r="U282">
        <v>1</v>
      </c>
      <c r="V282" t="s">
        <v>189</v>
      </c>
      <c r="W282" t="s">
        <v>189</v>
      </c>
      <c r="X282" t="s">
        <v>17</v>
      </c>
    </row>
    <row r="283" spans="1:25" x14ac:dyDescent="0.25">
      <c r="A283" t="s">
        <v>623</v>
      </c>
      <c r="B283" s="7">
        <v>45699</v>
      </c>
      <c r="C283" t="s">
        <v>6</v>
      </c>
      <c r="D283" t="s">
        <v>1</v>
      </c>
      <c r="E283" t="s">
        <v>2</v>
      </c>
      <c r="F283" t="s">
        <v>172</v>
      </c>
      <c r="G283" t="s">
        <v>173</v>
      </c>
      <c r="H283">
        <v>560</v>
      </c>
      <c r="I283" t="s">
        <v>640</v>
      </c>
      <c r="J283" t="s">
        <v>7</v>
      </c>
      <c r="K283" t="s">
        <v>641</v>
      </c>
      <c r="L283" t="s">
        <v>642</v>
      </c>
      <c r="M283" t="s">
        <v>286</v>
      </c>
      <c r="N283" t="s">
        <v>8</v>
      </c>
      <c r="O283" t="str">
        <f t="shared" si="4"/>
        <v>FIMATEC</v>
      </c>
      <c r="P283" s="7">
        <v>45695</v>
      </c>
      <c r="Q283" t="s">
        <v>643</v>
      </c>
      <c r="R283" s="7">
        <v>45699</v>
      </c>
      <c r="S283" t="s">
        <v>644</v>
      </c>
      <c r="T283" t="s">
        <v>115</v>
      </c>
      <c r="U283">
        <v>1</v>
      </c>
      <c r="V283" t="s">
        <v>189</v>
      </c>
      <c r="W283" t="s">
        <v>189</v>
      </c>
      <c r="X283" t="s">
        <v>172</v>
      </c>
      <c r="Y283" t="s">
        <v>424</v>
      </c>
    </row>
    <row r="284" spans="1:25" x14ac:dyDescent="0.25">
      <c r="A284" t="s">
        <v>623</v>
      </c>
      <c r="B284" s="7">
        <v>45699</v>
      </c>
      <c r="C284" t="s">
        <v>6</v>
      </c>
      <c r="D284" t="s">
        <v>1</v>
      </c>
      <c r="E284" t="s">
        <v>2</v>
      </c>
      <c r="F284" t="s">
        <v>172</v>
      </c>
      <c r="G284" t="s">
        <v>173</v>
      </c>
      <c r="H284">
        <v>308</v>
      </c>
      <c r="I284" t="s">
        <v>645</v>
      </c>
      <c r="J284" t="s">
        <v>7</v>
      </c>
      <c r="K284" t="s">
        <v>646</v>
      </c>
      <c r="L284" t="s">
        <v>647</v>
      </c>
      <c r="M284" t="s">
        <v>286</v>
      </c>
      <c r="N284" t="s">
        <v>8</v>
      </c>
      <c r="O284" t="str">
        <f t="shared" si="4"/>
        <v>FIMATEC</v>
      </c>
      <c r="P284" s="7">
        <v>45695</v>
      </c>
      <c r="Q284" t="s">
        <v>648</v>
      </c>
      <c r="R284" s="7">
        <v>45699</v>
      </c>
      <c r="S284" t="s">
        <v>649</v>
      </c>
      <c r="T284" t="s">
        <v>115</v>
      </c>
      <c r="U284">
        <v>1</v>
      </c>
      <c r="V284" t="s">
        <v>189</v>
      </c>
      <c r="W284" t="s">
        <v>189</v>
      </c>
      <c r="X284" t="s">
        <v>172</v>
      </c>
      <c r="Y284" t="s">
        <v>424</v>
      </c>
    </row>
    <row r="285" spans="1:25" x14ac:dyDescent="0.25">
      <c r="A285" t="s">
        <v>623</v>
      </c>
      <c r="B285" s="7">
        <v>45699</v>
      </c>
      <c r="C285" t="s">
        <v>6</v>
      </c>
      <c r="D285" t="s">
        <v>1</v>
      </c>
      <c r="E285" t="s">
        <v>2</v>
      </c>
      <c r="F285" t="s">
        <v>172</v>
      </c>
      <c r="G285" t="s">
        <v>173</v>
      </c>
      <c r="H285">
        <v>1992</v>
      </c>
      <c r="I285" t="s">
        <v>650</v>
      </c>
      <c r="J285" t="s">
        <v>7</v>
      </c>
      <c r="K285" t="s">
        <v>651</v>
      </c>
      <c r="L285" t="s">
        <v>652</v>
      </c>
      <c r="M285" t="s">
        <v>286</v>
      </c>
      <c r="N285" t="s">
        <v>8</v>
      </c>
      <c r="O285" t="str">
        <f t="shared" si="4"/>
        <v>FIMATEC</v>
      </c>
      <c r="P285" s="7">
        <v>45695</v>
      </c>
      <c r="Q285" t="s">
        <v>653</v>
      </c>
      <c r="R285" s="7">
        <v>45699</v>
      </c>
      <c r="S285" t="s">
        <v>654</v>
      </c>
      <c r="T285" t="s">
        <v>115</v>
      </c>
      <c r="U285">
        <v>1</v>
      </c>
      <c r="V285" t="s">
        <v>189</v>
      </c>
      <c r="W285" t="s">
        <v>189</v>
      </c>
      <c r="X285" t="s">
        <v>172</v>
      </c>
      <c r="Y285" t="s">
        <v>424</v>
      </c>
    </row>
    <row r="286" spans="1:25" x14ac:dyDescent="0.25">
      <c r="A286" t="s">
        <v>623</v>
      </c>
      <c r="B286" s="7">
        <v>45713</v>
      </c>
      <c r="C286" t="s">
        <v>6</v>
      </c>
      <c r="D286" t="s">
        <v>655</v>
      </c>
      <c r="E286" t="s">
        <v>656</v>
      </c>
      <c r="F286" t="s">
        <v>172</v>
      </c>
      <c r="G286" t="s">
        <v>173</v>
      </c>
      <c r="H286">
        <v>17192.34</v>
      </c>
      <c r="I286" t="s">
        <v>81</v>
      </c>
      <c r="J286" t="s">
        <v>7</v>
      </c>
      <c r="K286" t="s">
        <v>657</v>
      </c>
      <c r="L286" t="s">
        <v>658</v>
      </c>
      <c r="M286" t="s">
        <v>286</v>
      </c>
      <c r="N286" t="s">
        <v>8</v>
      </c>
      <c r="O286" t="str">
        <f t="shared" si="4"/>
        <v>FIMATEC</v>
      </c>
      <c r="P286" s="7">
        <v>45712</v>
      </c>
      <c r="Q286" t="s">
        <v>659</v>
      </c>
      <c r="R286" s="7">
        <v>45713</v>
      </c>
      <c r="S286" t="s">
        <v>660</v>
      </c>
      <c r="T286" t="s">
        <v>81</v>
      </c>
      <c r="U286">
        <v>1</v>
      </c>
      <c r="V286" t="s">
        <v>189</v>
      </c>
      <c r="W286" t="s">
        <v>189</v>
      </c>
      <c r="X286" t="s">
        <v>172</v>
      </c>
      <c r="Y286" t="s">
        <v>661</v>
      </c>
    </row>
    <row r="287" spans="1:25" x14ac:dyDescent="0.25">
      <c r="A287" t="s">
        <v>623</v>
      </c>
      <c r="B287" s="7">
        <v>45713</v>
      </c>
      <c r="C287" t="s">
        <v>6</v>
      </c>
      <c r="D287" t="s">
        <v>655</v>
      </c>
      <c r="E287" t="s">
        <v>656</v>
      </c>
      <c r="F287" t="s">
        <v>172</v>
      </c>
      <c r="G287" t="s">
        <v>173</v>
      </c>
      <c r="H287">
        <v>3820.52</v>
      </c>
      <c r="I287" t="s">
        <v>81</v>
      </c>
      <c r="J287" t="s">
        <v>7</v>
      </c>
      <c r="K287" t="s">
        <v>662</v>
      </c>
      <c r="L287" t="s">
        <v>663</v>
      </c>
      <c r="M287" t="s">
        <v>286</v>
      </c>
      <c r="N287" t="s">
        <v>8</v>
      </c>
      <c r="O287" t="str">
        <f t="shared" si="4"/>
        <v>FIMATEC</v>
      </c>
      <c r="P287" s="7">
        <v>45712</v>
      </c>
      <c r="Q287" t="s">
        <v>664</v>
      </c>
      <c r="R287" s="7">
        <v>45713</v>
      </c>
      <c r="S287" t="s">
        <v>665</v>
      </c>
      <c r="T287" t="s">
        <v>81</v>
      </c>
      <c r="U287">
        <v>1</v>
      </c>
      <c r="V287" t="s">
        <v>189</v>
      </c>
      <c r="W287" t="s">
        <v>189</v>
      </c>
      <c r="X287" t="s">
        <v>172</v>
      </c>
      <c r="Y287" t="s">
        <v>661</v>
      </c>
    </row>
    <row r="288" spans="1:25" x14ac:dyDescent="0.25">
      <c r="A288" t="s">
        <v>623</v>
      </c>
      <c r="B288" s="7">
        <v>45713</v>
      </c>
      <c r="C288" t="s">
        <v>6</v>
      </c>
      <c r="D288" t="s">
        <v>655</v>
      </c>
      <c r="E288" t="s">
        <v>656</v>
      </c>
      <c r="F288" t="s">
        <v>172</v>
      </c>
      <c r="G288" t="s">
        <v>173</v>
      </c>
      <c r="H288">
        <v>12193.16</v>
      </c>
      <c r="I288" t="s">
        <v>76</v>
      </c>
      <c r="J288" t="s">
        <v>7</v>
      </c>
      <c r="K288" t="s">
        <v>666</v>
      </c>
      <c r="L288" t="s">
        <v>667</v>
      </c>
      <c r="M288" t="s">
        <v>286</v>
      </c>
      <c r="N288" t="s">
        <v>8</v>
      </c>
      <c r="O288" t="str">
        <f t="shared" si="4"/>
        <v>FIMATEC</v>
      </c>
      <c r="P288" s="7">
        <v>45712</v>
      </c>
      <c r="Q288" t="s">
        <v>668</v>
      </c>
      <c r="R288" s="7">
        <v>45713</v>
      </c>
      <c r="S288" t="s">
        <v>669</v>
      </c>
      <c r="T288" t="s">
        <v>76</v>
      </c>
      <c r="U288">
        <v>1</v>
      </c>
      <c r="V288" t="s">
        <v>189</v>
      </c>
      <c r="W288" t="s">
        <v>189</v>
      </c>
      <c r="X288" t="s">
        <v>172</v>
      </c>
      <c r="Y288" t="s">
        <v>661</v>
      </c>
    </row>
    <row r="289" spans="1:25" x14ac:dyDescent="0.25">
      <c r="A289" t="s">
        <v>623</v>
      </c>
      <c r="B289" s="7">
        <v>45713</v>
      </c>
      <c r="C289" t="s">
        <v>6</v>
      </c>
      <c r="D289" t="s">
        <v>655</v>
      </c>
      <c r="E289" t="s">
        <v>656</v>
      </c>
      <c r="F289" t="s">
        <v>172</v>
      </c>
      <c r="G289" t="s">
        <v>173</v>
      </c>
      <c r="H289">
        <v>67739.8</v>
      </c>
      <c r="I289" t="s">
        <v>71</v>
      </c>
      <c r="J289" t="s">
        <v>7</v>
      </c>
      <c r="K289" t="s">
        <v>670</v>
      </c>
      <c r="L289" t="s">
        <v>671</v>
      </c>
      <c r="M289" t="s">
        <v>260</v>
      </c>
      <c r="N289" t="s">
        <v>8</v>
      </c>
      <c r="O289" t="str">
        <f t="shared" si="4"/>
        <v>FIMATEC</v>
      </c>
      <c r="P289" s="7">
        <v>45712</v>
      </c>
      <c r="Q289" t="s">
        <v>672</v>
      </c>
      <c r="R289" s="7">
        <v>45713</v>
      </c>
      <c r="S289" t="s">
        <v>673</v>
      </c>
      <c r="T289" t="s">
        <v>71</v>
      </c>
      <c r="U289">
        <v>1</v>
      </c>
      <c r="V289" t="s">
        <v>189</v>
      </c>
      <c r="W289" t="s">
        <v>189</v>
      </c>
      <c r="X289" t="s">
        <v>172</v>
      </c>
      <c r="Y289" t="s">
        <v>661</v>
      </c>
    </row>
    <row r="290" spans="1:25" x14ac:dyDescent="0.25">
      <c r="A290" t="s">
        <v>623</v>
      </c>
      <c r="B290" s="7">
        <v>45728</v>
      </c>
      <c r="C290" t="s">
        <v>0</v>
      </c>
      <c r="D290" t="s">
        <v>1</v>
      </c>
      <c r="E290" t="s">
        <v>2</v>
      </c>
      <c r="F290" t="s">
        <v>172</v>
      </c>
      <c r="G290" t="s">
        <v>173</v>
      </c>
      <c r="H290">
        <v>480</v>
      </c>
      <c r="I290" t="s">
        <v>674</v>
      </c>
      <c r="J290" t="s">
        <v>7</v>
      </c>
      <c r="K290" t="s">
        <v>189</v>
      </c>
      <c r="L290" t="s">
        <v>675</v>
      </c>
      <c r="M290" t="s">
        <v>260</v>
      </c>
      <c r="N290" t="s">
        <v>8</v>
      </c>
      <c r="O290" t="str">
        <f t="shared" si="4"/>
        <v>FIMATEC</v>
      </c>
      <c r="P290" s="7">
        <v>45672</v>
      </c>
      <c r="Q290" t="s">
        <v>676</v>
      </c>
      <c r="R290" s="7">
        <v>45728</v>
      </c>
      <c r="S290" t="s">
        <v>677</v>
      </c>
      <c r="T290" t="s">
        <v>189</v>
      </c>
      <c r="U290">
        <v>0</v>
      </c>
      <c r="V290" t="s">
        <v>189</v>
      </c>
      <c r="W290" t="s">
        <v>189</v>
      </c>
      <c r="X290" t="s">
        <v>172</v>
      </c>
      <c r="Y290" t="s">
        <v>424</v>
      </c>
    </row>
    <row r="291" spans="1:25" x14ac:dyDescent="0.25">
      <c r="A291" t="s">
        <v>623</v>
      </c>
      <c r="B291" s="7">
        <v>45736</v>
      </c>
      <c r="C291" t="s">
        <v>0</v>
      </c>
      <c r="D291" t="s">
        <v>1</v>
      </c>
      <c r="E291" t="s">
        <v>2</v>
      </c>
      <c r="F291" t="s">
        <v>172</v>
      </c>
      <c r="G291" t="s">
        <v>173</v>
      </c>
      <c r="H291">
        <v>12193.16</v>
      </c>
      <c r="I291" t="s">
        <v>76</v>
      </c>
      <c r="J291" t="s">
        <v>7</v>
      </c>
      <c r="K291" t="s">
        <v>678</v>
      </c>
      <c r="L291" t="s">
        <v>679</v>
      </c>
      <c r="M291" t="s">
        <v>286</v>
      </c>
      <c r="N291" t="s">
        <v>8</v>
      </c>
      <c r="O291" t="str">
        <f t="shared" si="4"/>
        <v>FIMATEC</v>
      </c>
      <c r="P291" s="7">
        <v>45734</v>
      </c>
      <c r="Q291" t="s">
        <v>680</v>
      </c>
      <c r="R291" s="7">
        <v>45736</v>
      </c>
      <c r="S291" t="s">
        <v>681</v>
      </c>
      <c r="T291" t="s">
        <v>76</v>
      </c>
      <c r="U291">
        <v>1</v>
      </c>
      <c r="V291" t="s">
        <v>189</v>
      </c>
      <c r="W291" t="s">
        <v>189</v>
      </c>
      <c r="X291" t="s">
        <v>172</v>
      </c>
      <c r="Y291" t="s">
        <v>424</v>
      </c>
    </row>
    <row r="292" spans="1:25" x14ac:dyDescent="0.25">
      <c r="A292" t="s">
        <v>623</v>
      </c>
      <c r="B292" s="7">
        <v>45736</v>
      </c>
      <c r="C292" t="s">
        <v>0</v>
      </c>
      <c r="D292" t="s">
        <v>1</v>
      </c>
      <c r="E292" t="s">
        <v>2</v>
      </c>
      <c r="F292" t="s">
        <v>172</v>
      </c>
      <c r="G292" t="s">
        <v>173</v>
      </c>
      <c r="H292">
        <v>17192.34</v>
      </c>
      <c r="I292" t="s">
        <v>81</v>
      </c>
      <c r="J292" t="s">
        <v>7</v>
      </c>
      <c r="K292" t="s">
        <v>682</v>
      </c>
      <c r="L292" t="s">
        <v>683</v>
      </c>
      <c r="M292" t="s">
        <v>286</v>
      </c>
      <c r="N292" t="s">
        <v>8</v>
      </c>
      <c r="O292" t="str">
        <f t="shared" si="4"/>
        <v>FIMATEC</v>
      </c>
      <c r="P292" s="7">
        <v>45734</v>
      </c>
      <c r="Q292" t="s">
        <v>684</v>
      </c>
      <c r="R292" s="7">
        <v>45736</v>
      </c>
      <c r="S292" t="s">
        <v>685</v>
      </c>
      <c r="T292" t="s">
        <v>81</v>
      </c>
      <c r="U292">
        <v>1</v>
      </c>
      <c r="V292" t="s">
        <v>189</v>
      </c>
      <c r="W292" t="s">
        <v>189</v>
      </c>
      <c r="X292" t="s">
        <v>172</v>
      </c>
      <c r="Y292" t="s">
        <v>424</v>
      </c>
    </row>
    <row r="293" spans="1:25" x14ac:dyDescent="0.25">
      <c r="A293" t="s">
        <v>623</v>
      </c>
      <c r="B293" s="7">
        <v>45736</v>
      </c>
      <c r="C293" t="s">
        <v>0</v>
      </c>
      <c r="D293" t="s">
        <v>1</v>
      </c>
      <c r="E293" t="s">
        <v>2</v>
      </c>
      <c r="F293" t="s">
        <v>172</v>
      </c>
      <c r="G293" t="s">
        <v>173</v>
      </c>
      <c r="H293">
        <v>3820.52</v>
      </c>
      <c r="I293" t="s">
        <v>81</v>
      </c>
      <c r="J293" t="s">
        <v>7</v>
      </c>
      <c r="K293" t="s">
        <v>686</v>
      </c>
      <c r="L293" t="s">
        <v>687</v>
      </c>
      <c r="M293" t="s">
        <v>286</v>
      </c>
      <c r="N293" t="s">
        <v>8</v>
      </c>
      <c r="O293" t="str">
        <f t="shared" si="4"/>
        <v>FIMATEC</v>
      </c>
      <c r="P293" s="7">
        <v>45734</v>
      </c>
      <c r="Q293" t="s">
        <v>688</v>
      </c>
      <c r="R293" s="7">
        <v>45736</v>
      </c>
      <c r="S293" t="s">
        <v>689</v>
      </c>
      <c r="T293" t="s">
        <v>81</v>
      </c>
      <c r="U293">
        <v>1</v>
      </c>
      <c r="V293" t="s">
        <v>189</v>
      </c>
      <c r="W293" t="s">
        <v>189</v>
      </c>
      <c r="X293" t="s">
        <v>172</v>
      </c>
      <c r="Y293" t="s">
        <v>424</v>
      </c>
    </row>
    <row r="294" spans="1:25" x14ac:dyDescent="0.25">
      <c r="A294" t="s">
        <v>623</v>
      </c>
      <c r="B294" s="7">
        <v>45736</v>
      </c>
      <c r="C294" t="s">
        <v>0</v>
      </c>
      <c r="D294" t="s">
        <v>1</v>
      </c>
      <c r="E294" t="s">
        <v>2</v>
      </c>
      <c r="F294" t="s">
        <v>172</v>
      </c>
      <c r="G294" t="s">
        <v>173</v>
      </c>
      <c r="H294">
        <v>67739.8</v>
      </c>
      <c r="I294" t="s">
        <v>71</v>
      </c>
      <c r="J294" t="s">
        <v>7</v>
      </c>
      <c r="K294" t="s">
        <v>690</v>
      </c>
      <c r="L294" t="s">
        <v>691</v>
      </c>
      <c r="M294" t="s">
        <v>286</v>
      </c>
      <c r="N294" t="s">
        <v>8</v>
      </c>
      <c r="O294" t="str">
        <f t="shared" si="4"/>
        <v>FIMATEC</v>
      </c>
      <c r="P294" s="7">
        <v>45734</v>
      </c>
      <c r="Q294" t="s">
        <v>692</v>
      </c>
      <c r="R294" s="7">
        <v>45736</v>
      </c>
      <c r="S294" t="s">
        <v>693</v>
      </c>
      <c r="T294" t="s">
        <v>71</v>
      </c>
      <c r="U294">
        <v>1</v>
      </c>
      <c r="V294" t="s">
        <v>189</v>
      </c>
      <c r="W294" t="s">
        <v>189</v>
      </c>
      <c r="X294" t="s">
        <v>172</v>
      </c>
      <c r="Y294" t="s">
        <v>424</v>
      </c>
    </row>
    <row r="295" spans="1:25" x14ac:dyDescent="0.25">
      <c r="A295" t="s">
        <v>623</v>
      </c>
      <c r="B295" s="7">
        <v>45769</v>
      </c>
      <c r="C295" t="s">
        <v>5</v>
      </c>
      <c r="D295" t="s">
        <v>1</v>
      </c>
      <c r="E295" t="s">
        <v>2</v>
      </c>
      <c r="F295" t="s">
        <v>3</v>
      </c>
      <c r="G295" t="s">
        <v>4</v>
      </c>
      <c r="H295">
        <v>67739.8</v>
      </c>
      <c r="I295" t="s">
        <v>71</v>
      </c>
      <c r="J295" t="s">
        <v>7</v>
      </c>
      <c r="K295" t="s">
        <v>694</v>
      </c>
      <c r="L295" t="s">
        <v>695</v>
      </c>
      <c r="M295" t="s">
        <v>546</v>
      </c>
      <c r="N295" t="s">
        <v>8</v>
      </c>
      <c r="O295" t="str">
        <f t="shared" si="4"/>
        <v>FIMATEC</v>
      </c>
      <c r="P295" s="7">
        <v>45763</v>
      </c>
      <c r="Q295" t="s">
        <v>696</v>
      </c>
      <c r="R295" s="7">
        <v>45769</v>
      </c>
      <c r="S295" t="s">
        <v>697</v>
      </c>
      <c r="T295" t="s">
        <v>71</v>
      </c>
      <c r="U295">
        <v>1</v>
      </c>
      <c r="V295" t="s">
        <v>189</v>
      </c>
      <c r="W295" t="s">
        <v>189</v>
      </c>
      <c r="X295" t="s">
        <v>3</v>
      </c>
      <c r="Y295" t="s">
        <v>424</v>
      </c>
    </row>
    <row r="296" spans="1:25" x14ac:dyDescent="0.25">
      <c r="A296" t="s">
        <v>623</v>
      </c>
      <c r="B296" s="7">
        <v>45769</v>
      </c>
      <c r="C296" t="s">
        <v>5</v>
      </c>
      <c r="D296" t="s">
        <v>1</v>
      </c>
      <c r="E296" t="s">
        <v>2</v>
      </c>
      <c r="F296" t="s">
        <v>11</v>
      </c>
      <c r="G296" t="s">
        <v>12</v>
      </c>
      <c r="H296">
        <v>17192.34</v>
      </c>
      <c r="I296" t="s">
        <v>81</v>
      </c>
      <c r="J296" t="s">
        <v>7</v>
      </c>
      <c r="K296" t="s">
        <v>698</v>
      </c>
      <c r="L296" t="s">
        <v>699</v>
      </c>
      <c r="M296" t="s">
        <v>546</v>
      </c>
      <c r="N296" t="s">
        <v>8</v>
      </c>
      <c r="O296" t="str">
        <f t="shared" si="4"/>
        <v>FIMATEC</v>
      </c>
      <c r="P296" s="7">
        <v>45763</v>
      </c>
      <c r="Q296" t="s">
        <v>700</v>
      </c>
      <c r="R296" s="7">
        <v>45769</v>
      </c>
      <c r="S296" t="s">
        <v>701</v>
      </c>
      <c r="T296" t="s">
        <v>81</v>
      </c>
      <c r="U296">
        <v>1</v>
      </c>
      <c r="V296" t="s">
        <v>189</v>
      </c>
      <c r="W296" t="s">
        <v>189</v>
      </c>
      <c r="X296" t="s">
        <v>11</v>
      </c>
      <c r="Y296" t="s">
        <v>424</v>
      </c>
    </row>
    <row r="297" spans="1:25" x14ac:dyDescent="0.25">
      <c r="A297" t="s">
        <v>623</v>
      </c>
      <c r="B297" s="7">
        <v>45769</v>
      </c>
      <c r="C297" t="s">
        <v>5</v>
      </c>
      <c r="D297" t="s">
        <v>1</v>
      </c>
      <c r="E297" t="s">
        <v>2</v>
      </c>
      <c r="F297" t="s">
        <v>17</v>
      </c>
      <c r="G297" t="s">
        <v>18</v>
      </c>
      <c r="H297">
        <v>3820.52</v>
      </c>
      <c r="I297" t="s">
        <v>81</v>
      </c>
      <c r="J297" t="s">
        <v>7</v>
      </c>
      <c r="K297" t="s">
        <v>702</v>
      </c>
      <c r="L297" t="s">
        <v>703</v>
      </c>
      <c r="M297" t="s">
        <v>546</v>
      </c>
      <c r="N297" t="s">
        <v>8</v>
      </c>
      <c r="O297" t="str">
        <f t="shared" si="4"/>
        <v>FIMATEC</v>
      </c>
      <c r="P297" s="7">
        <v>45763</v>
      </c>
      <c r="Q297" t="s">
        <v>704</v>
      </c>
      <c r="R297" s="7">
        <v>45769</v>
      </c>
      <c r="S297" t="s">
        <v>705</v>
      </c>
      <c r="T297" t="s">
        <v>81</v>
      </c>
      <c r="U297">
        <v>1</v>
      </c>
      <c r="V297" t="s">
        <v>189</v>
      </c>
      <c r="W297" t="s">
        <v>189</v>
      </c>
      <c r="X297" t="s">
        <v>17</v>
      </c>
      <c r="Y297" t="s">
        <v>424</v>
      </c>
    </row>
    <row r="298" spans="1:25" x14ac:dyDescent="0.25">
      <c r="A298" t="s">
        <v>623</v>
      </c>
      <c r="B298" s="7">
        <v>45769</v>
      </c>
      <c r="C298" t="s">
        <v>5</v>
      </c>
      <c r="D298" t="s">
        <v>1</v>
      </c>
      <c r="E298" t="s">
        <v>2</v>
      </c>
      <c r="F298" t="s">
        <v>13</v>
      </c>
      <c r="G298" t="s">
        <v>14</v>
      </c>
      <c r="H298">
        <v>12193.16</v>
      </c>
      <c r="I298" t="s">
        <v>76</v>
      </c>
      <c r="J298" t="s">
        <v>7</v>
      </c>
      <c r="K298" t="s">
        <v>706</v>
      </c>
      <c r="L298" t="s">
        <v>707</v>
      </c>
      <c r="M298" t="s">
        <v>546</v>
      </c>
      <c r="N298" t="s">
        <v>8</v>
      </c>
      <c r="O298" t="str">
        <f t="shared" si="4"/>
        <v>FIMATEC</v>
      </c>
      <c r="P298" s="7">
        <v>45763</v>
      </c>
      <c r="Q298" t="s">
        <v>708</v>
      </c>
      <c r="R298" s="7">
        <v>45769</v>
      </c>
      <c r="S298" t="s">
        <v>709</v>
      </c>
      <c r="T298" t="s">
        <v>76</v>
      </c>
      <c r="U298">
        <v>1</v>
      </c>
      <c r="V298" t="s">
        <v>189</v>
      </c>
      <c r="W298" t="s">
        <v>189</v>
      </c>
      <c r="X298" t="s">
        <v>13</v>
      </c>
      <c r="Y298" t="s">
        <v>424</v>
      </c>
    </row>
    <row r="299" spans="1:25" x14ac:dyDescent="0.25">
      <c r="A299" t="s">
        <v>623</v>
      </c>
      <c r="B299" s="7">
        <v>45789</v>
      </c>
      <c r="C299" t="s">
        <v>92</v>
      </c>
      <c r="D299" t="s">
        <v>1</v>
      </c>
      <c r="E299" t="s">
        <v>2</v>
      </c>
      <c r="F299" t="s">
        <v>172</v>
      </c>
      <c r="G299" t="s">
        <v>173</v>
      </c>
      <c r="H299">
        <v>67739.8</v>
      </c>
      <c r="I299" t="s">
        <v>71</v>
      </c>
      <c r="J299" t="s">
        <v>7</v>
      </c>
      <c r="K299" t="s">
        <v>710</v>
      </c>
      <c r="L299" t="s">
        <v>711</v>
      </c>
      <c r="M299" t="s">
        <v>546</v>
      </c>
      <c r="N299" t="s">
        <v>8</v>
      </c>
      <c r="O299" t="str">
        <f t="shared" si="4"/>
        <v>FIMATEC</v>
      </c>
      <c r="P299">
        <v>45789</v>
      </c>
      <c r="Q299" t="s">
        <v>712</v>
      </c>
      <c r="R299" s="7">
        <v>45789</v>
      </c>
      <c r="S299" t="s">
        <v>713</v>
      </c>
      <c r="T299" t="s">
        <v>71</v>
      </c>
      <c r="U299">
        <v>1</v>
      </c>
      <c r="V299" t="s">
        <v>189</v>
      </c>
      <c r="W299" t="s">
        <v>189</v>
      </c>
      <c r="X299" t="s">
        <v>172</v>
      </c>
      <c r="Y299" t="s">
        <v>424</v>
      </c>
    </row>
    <row r="300" spans="1:25" x14ac:dyDescent="0.25">
      <c r="A300" t="s">
        <v>623</v>
      </c>
      <c r="B300" s="7">
        <v>45789</v>
      </c>
      <c r="C300" t="s">
        <v>92</v>
      </c>
      <c r="D300" t="s">
        <v>1</v>
      </c>
      <c r="E300" t="s">
        <v>2</v>
      </c>
      <c r="F300" t="s">
        <v>172</v>
      </c>
      <c r="G300" t="s">
        <v>173</v>
      </c>
      <c r="H300">
        <v>12193.16</v>
      </c>
      <c r="I300" t="s">
        <v>76</v>
      </c>
      <c r="J300" t="s">
        <v>7</v>
      </c>
      <c r="K300" t="s">
        <v>714</v>
      </c>
      <c r="L300" t="s">
        <v>715</v>
      </c>
      <c r="M300" t="s">
        <v>546</v>
      </c>
      <c r="N300" t="s">
        <v>8</v>
      </c>
      <c r="O300" t="str">
        <f t="shared" si="4"/>
        <v>FIMATEC</v>
      </c>
      <c r="P300">
        <v>45789</v>
      </c>
      <c r="Q300" t="s">
        <v>716</v>
      </c>
      <c r="R300" s="7">
        <v>45789</v>
      </c>
      <c r="S300" t="s">
        <v>717</v>
      </c>
      <c r="T300" t="s">
        <v>76</v>
      </c>
      <c r="U300">
        <v>1</v>
      </c>
      <c r="V300" t="s">
        <v>189</v>
      </c>
      <c r="W300" t="s">
        <v>189</v>
      </c>
      <c r="X300" t="s">
        <v>172</v>
      </c>
      <c r="Y300" t="s">
        <v>424</v>
      </c>
    </row>
    <row r="301" spans="1:25" x14ac:dyDescent="0.25">
      <c r="A301" t="s">
        <v>623</v>
      </c>
      <c r="B301" s="7">
        <v>45789</v>
      </c>
      <c r="C301" t="s">
        <v>92</v>
      </c>
      <c r="D301" t="s">
        <v>1</v>
      </c>
      <c r="E301" t="s">
        <v>2</v>
      </c>
      <c r="F301" t="s">
        <v>172</v>
      </c>
      <c r="G301" t="s">
        <v>173</v>
      </c>
      <c r="H301">
        <v>17192.34</v>
      </c>
      <c r="I301" t="s">
        <v>81</v>
      </c>
      <c r="J301" t="s">
        <v>7</v>
      </c>
      <c r="K301" t="s">
        <v>718</v>
      </c>
      <c r="L301" t="s">
        <v>719</v>
      </c>
      <c r="M301" t="s">
        <v>546</v>
      </c>
      <c r="N301" t="s">
        <v>8</v>
      </c>
      <c r="O301" t="str">
        <f t="shared" si="4"/>
        <v>FIMATEC</v>
      </c>
      <c r="P301">
        <v>45789</v>
      </c>
      <c r="Q301" t="s">
        <v>720</v>
      </c>
      <c r="R301" s="7">
        <v>45789</v>
      </c>
      <c r="S301" t="s">
        <v>721</v>
      </c>
      <c r="T301" t="s">
        <v>81</v>
      </c>
      <c r="U301">
        <v>1</v>
      </c>
      <c r="V301" t="s">
        <v>189</v>
      </c>
      <c r="W301" t="s">
        <v>189</v>
      </c>
      <c r="X301" t="s">
        <v>172</v>
      </c>
      <c r="Y301" t="s">
        <v>424</v>
      </c>
    </row>
    <row r="302" spans="1:25" x14ac:dyDescent="0.25">
      <c r="A302" t="s">
        <v>623</v>
      </c>
      <c r="B302" s="7">
        <v>45789</v>
      </c>
      <c r="C302" t="s">
        <v>92</v>
      </c>
      <c r="D302" t="s">
        <v>1</v>
      </c>
      <c r="E302" t="s">
        <v>2</v>
      </c>
      <c r="F302" s="18" t="s">
        <v>722</v>
      </c>
      <c r="G302" t="s">
        <v>723</v>
      </c>
      <c r="H302">
        <v>3048.29</v>
      </c>
      <c r="I302" t="s">
        <v>76</v>
      </c>
      <c r="J302" t="s">
        <v>7</v>
      </c>
      <c r="K302" t="s">
        <v>724</v>
      </c>
      <c r="L302" t="s">
        <v>725</v>
      </c>
      <c r="M302" t="s">
        <v>546</v>
      </c>
      <c r="N302" t="s">
        <v>8</v>
      </c>
      <c r="O302" t="str">
        <f t="shared" si="4"/>
        <v>FIMATEC</v>
      </c>
      <c r="P302">
        <v>45789</v>
      </c>
      <c r="Q302" t="s">
        <v>726</v>
      </c>
      <c r="R302" s="7">
        <v>45789</v>
      </c>
      <c r="S302" t="s">
        <v>727</v>
      </c>
      <c r="T302" t="s">
        <v>76</v>
      </c>
      <c r="U302">
        <v>1</v>
      </c>
      <c r="V302" t="s">
        <v>189</v>
      </c>
      <c r="W302" t="s">
        <v>189</v>
      </c>
      <c r="X302" t="s">
        <v>722</v>
      </c>
      <c r="Y302" t="s">
        <v>424</v>
      </c>
    </row>
    <row r="303" spans="1:25" x14ac:dyDescent="0.25">
      <c r="A303" t="s">
        <v>623</v>
      </c>
      <c r="B303" s="7">
        <v>45789</v>
      </c>
      <c r="C303" t="s">
        <v>92</v>
      </c>
      <c r="D303" t="s">
        <v>1</v>
      </c>
      <c r="E303" t="s">
        <v>2</v>
      </c>
      <c r="F303" t="s">
        <v>172</v>
      </c>
      <c r="G303" t="s">
        <v>173</v>
      </c>
      <c r="H303">
        <v>3820.52</v>
      </c>
      <c r="I303" t="s">
        <v>81</v>
      </c>
      <c r="J303" t="s">
        <v>7</v>
      </c>
      <c r="K303" t="s">
        <v>728</v>
      </c>
      <c r="L303" t="s">
        <v>729</v>
      </c>
      <c r="M303" t="s">
        <v>546</v>
      </c>
      <c r="N303" t="s">
        <v>8</v>
      </c>
      <c r="O303" t="str">
        <f t="shared" si="4"/>
        <v>FIMATEC</v>
      </c>
      <c r="P303">
        <v>45789</v>
      </c>
      <c r="Q303" t="s">
        <v>730</v>
      </c>
      <c r="R303" s="7">
        <v>45789</v>
      </c>
      <c r="S303" t="s">
        <v>731</v>
      </c>
      <c r="T303" t="s">
        <v>81</v>
      </c>
      <c r="U303">
        <v>1</v>
      </c>
      <c r="V303" t="s">
        <v>189</v>
      </c>
      <c r="W303" t="s">
        <v>189</v>
      </c>
      <c r="X303" t="s">
        <v>172</v>
      </c>
      <c r="Y303" t="s">
        <v>424</v>
      </c>
    </row>
    <row r="304" spans="1:25" x14ac:dyDescent="0.25">
      <c r="A304" t="s">
        <v>623</v>
      </c>
      <c r="B304" s="7">
        <v>45792</v>
      </c>
      <c r="C304" t="s">
        <v>92</v>
      </c>
      <c r="D304" s="20">
        <v>6420000</v>
      </c>
      <c r="E304" t="s">
        <v>171</v>
      </c>
      <c r="F304" t="s">
        <v>172</v>
      </c>
      <c r="G304" t="s">
        <v>173</v>
      </c>
      <c r="H304">
        <v>185.91</v>
      </c>
      <c r="I304" t="s">
        <v>732</v>
      </c>
      <c r="J304" t="s">
        <v>7</v>
      </c>
      <c r="K304" t="s">
        <v>733</v>
      </c>
      <c r="L304" t="s">
        <v>734</v>
      </c>
      <c r="M304" t="s">
        <v>286</v>
      </c>
      <c r="N304" t="s">
        <v>8</v>
      </c>
      <c r="O304" t="str">
        <f t="shared" si="4"/>
        <v>FIMATEC</v>
      </c>
      <c r="P304">
        <v>45789</v>
      </c>
      <c r="Q304" t="s">
        <v>735</v>
      </c>
      <c r="R304" s="7">
        <v>45792</v>
      </c>
      <c r="S304" t="s">
        <v>736</v>
      </c>
      <c r="T304" t="s">
        <v>115</v>
      </c>
      <c r="U304">
        <v>1</v>
      </c>
      <c r="V304" t="s">
        <v>189</v>
      </c>
      <c r="W304" t="s">
        <v>189</v>
      </c>
      <c r="X304" t="s">
        <v>172</v>
      </c>
      <c r="Y304" t="s">
        <v>171</v>
      </c>
    </row>
    <row r="305" spans="1:25" x14ac:dyDescent="0.25">
      <c r="A305" t="s">
        <v>623</v>
      </c>
      <c r="B305" s="7">
        <v>45798</v>
      </c>
      <c r="C305" t="s">
        <v>92</v>
      </c>
      <c r="D305" s="18" t="s">
        <v>737</v>
      </c>
      <c r="E305" t="s">
        <v>738</v>
      </c>
      <c r="F305" t="s">
        <v>172</v>
      </c>
      <c r="G305" t="s">
        <v>173</v>
      </c>
      <c r="H305">
        <v>308</v>
      </c>
      <c r="I305" t="s">
        <v>739</v>
      </c>
      <c r="J305" t="s">
        <v>7</v>
      </c>
      <c r="K305" t="s">
        <v>189</v>
      </c>
      <c r="L305" t="s">
        <v>740</v>
      </c>
      <c r="M305" t="s">
        <v>260</v>
      </c>
      <c r="N305" t="s">
        <v>8</v>
      </c>
      <c r="O305" t="str">
        <f t="shared" si="4"/>
        <v>FIMATEC</v>
      </c>
      <c r="P305">
        <v>45726</v>
      </c>
      <c r="Q305" t="s">
        <v>741</v>
      </c>
      <c r="R305" s="7">
        <v>45798</v>
      </c>
      <c r="S305" t="s">
        <v>742</v>
      </c>
      <c r="T305" t="s">
        <v>189</v>
      </c>
      <c r="U305">
        <v>0</v>
      </c>
      <c r="V305" t="s">
        <v>189</v>
      </c>
      <c r="W305" t="s">
        <v>189</v>
      </c>
      <c r="X305" t="s">
        <v>172</v>
      </c>
      <c r="Y305" t="s">
        <v>743</v>
      </c>
    </row>
    <row r="306" spans="1:25" x14ac:dyDescent="0.25">
      <c r="A306" t="s">
        <v>623</v>
      </c>
      <c r="B306" s="7">
        <v>45798</v>
      </c>
      <c r="C306" t="s">
        <v>92</v>
      </c>
      <c r="D306" s="18" t="s">
        <v>737</v>
      </c>
      <c r="E306" t="s">
        <v>738</v>
      </c>
      <c r="F306" t="s">
        <v>172</v>
      </c>
      <c r="G306" t="s">
        <v>173</v>
      </c>
      <c r="H306">
        <v>210</v>
      </c>
      <c r="I306" t="s">
        <v>744</v>
      </c>
      <c r="J306" s="19" t="s">
        <v>7</v>
      </c>
      <c r="K306" t="s">
        <v>189</v>
      </c>
      <c r="L306" t="s">
        <v>745</v>
      </c>
      <c r="M306" t="s">
        <v>260</v>
      </c>
      <c r="N306" t="s">
        <v>8</v>
      </c>
      <c r="O306" t="str">
        <f t="shared" si="4"/>
        <v>FIMATEC</v>
      </c>
      <c r="P306">
        <v>45789</v>
      </c>
      <c r="Q306" t="s">
        <v>746</v>
      </c>
      <c r="R306" s="7">
        <v>45798</v>
      </c>
      <c r="S306" t="s">
        <v>747</v>
      </c>
      <c r="T306" t="s">
        <v>189</v>
      </c>
      <c r="U306">
        <v>0</v>
      </c>
      <c r="V306" t="s">
        <v>189</v>
      </c>
      <c r="W306" t="s">
        <v>189</v>
      </c>
      <c r="X306" t="s">
        <v>172</v>
      </c>
      <c r="Y306" t="s">
        <v>743</v>
      </c>
    </row>
    <row r="307" spans="1:25" x14ac:dyDescent="0.25">
      <c r="A307" t="s">
        <v>623</v>
      </c>
      <c r="B307" s="8">
        <v>45824</v>
      </c>
      <c r="C307" t="s">
        <v>116</v>
      </c>
      <c r="D307" t="s">
        <v>737</v>
      </c>
      <c r="E307" t="s">
        <v>738</v>
      </c>
      <c r="F307" t="s">
        <v>172</v>
      </c>
      <c r="G307" t="s">
        <v>173</v>
      </c>
      <c r="H307" s="9">
        <v>265</v>
      </c>
      <c r="I307" t="s">
        <v>748</v>
      </c>
      <c r="J307" t="s">
        <v>7</v>
      </c>
      <c r="K307" t="s">
        <v>189</v>
      </c>
      <c r="L307" t="s">
        <v>749</v>
      </c>
      <c r="M307" t="s">
        <v>260</v>
      </c>
      <c r="N307" t="s">
        <v>8</v>
      </c>
      <c r="O307" t="str">
        <f t="shared" si="4"/>
        <v>FIMATEC</v>
      </c>
      <c r="P307" s="8">
        <v>45726</v>
      </c>
      <c r="Q307" t="s">
        <v>750</v>
      </c>
      <c r="R307" s="8">
        <v>45824</v>
      </c>
      <c r="S307" t="s">
        <v>751</v>
      </c>
      <c r="T307" t="s">
        <v>189</v>
      </c>
      <c r="U307" s="11">
        <v>0</v>
      </c>
      <c r="V307" t="s">
        <v>189</v>
      </c>
      <c r="W307" t="s">
        <v>189</v>
      </c>
      <c r="X307" t="s">
        <v>172</v>
      </c>
      <c r="Y307" t="s">
        <v>743</v>
      </c>
    </row>
    <row r="308" spans="1:25" x14ac:dyDescent="0.25">
      <c r="A308" t="s">
        <v>623</v>
      </c>
      <c r="B308" s="8">
        <v>45824</v>
      </c>
      <c r="C308" t="s">
        <v>116</v>
      </c>
      <c r="D308" t="s">
        <v>737</v>
      </c>
      <c r="E308" t="s">
        <v>738</v>
      </c>
      <c r="F308" t="s">
        <v>172</v>
      </c>
      <c r="G308" t="s">
        <v>173</v>
      </c>
      <c r="H308" s="9">
        <v>1332</v>
      </c>
      <c r="I308" t="s">
        <v>752</v>
      </c>
      <c r="J308" t="s">
        <v>7</v>
      </c>
      <c r="K308" t="s">
        <v>189</v>
      </c>
      <c r="L308" t="s">
        <v>753</v>
      </c>
      <c r="M308" t="s">
        <v>260</v>
      </c>
      <c r="N308" t="s">
        <v>8</v>
      </c>
      <c r="O308" t="str">
        <f t="shared" si="4"/>
        <v>FIMATEC</v>
      </c>
      <c r="P308" s="8">
        <v>45798</v>
      </c>
      <c r="Q308" t="s">
        <v>754</v>
      </c>
      <c r="R308" s="8">
        <v>45824</v>
      </c>
      <c r="S308" t="s">
        <v>755</v>
      </c>
      <c r="T308" t="s">
        <v>189</v>
      </c>
      <c r="U308" s="11">
        <v>0</v>
      </c>
      <c r="V308" t="s">
        <v>189</v>
      </c>
      <c r="W308" t="s">
        <v>189</v>
      </c>
      <c r="X308" t="s">
        <v>172</v>
      </c>
      <c r="Y308" t="s">
        <v>743</v>
      </c>
    </row>
    <row r="309" spans="1:25" x14ac:dyDescent="0.25">
      <c r="A309" t="s">
        <v>623</v>
      </c>
      <c r="B309" s="8">
        <v>45834</v>
      </c>
      <c r="C309" t="s">
        <v>116</v>
      </c>
      <c r="D309" t="s">
        <v>1</v>
      </c>
      <c r="E309" t="s">
        <v>2</v>
      </c>
      <c r="F309" t="s">
        <v>172</v>
      </c>
      <c r="G309" t="s">
        <v>173</v>
      </c>
      <c r="H309" s="9">
        <v>12193.16</v>
      </c>
      <c r="I309" t="s">
        <v>76</v>
      </c>
      <c r="J309" t="s">
        <v>7</v>
      </c>
      <c r="K309" t="s">
        <v>756</v>
      </c>
      <c r="L309" t="s">
        <v>757</v>
      </c>
      <c r="M309" t="s">
        <v>286</v>
      </c>
      <c r="N309" t="s">
        <v>8</v>
      </c>
      <c r="O309" t="str">
        <f t="shared" si="4"/>
        <v>FIMATEC</v>
      </c>
      <c r="P309" s="8">
        <v>45833</v>
      </c>
      <c r="Q309" t="s">
        <v>758</v>
      </c>
      <c r="R309" s="8">
        <v>45834</v>
      </c>
      <c r="S309" t="s">
        <v>759</v>
      </c>
      <c r="T309" t="s">
        <v>76</v>
      </c>
      <c r="U309" s="12">
        <v>1</v>
      </c>
      <c r="V309" t="s">
        <v>189</v>
      </c>
      <c r="W309" t="s">
        <v>189</v>
      </c>
      <c r="X309" t="s">
        <v>172</v>
      </c>
      <c r="Y309" t="s">
        <v>424</v>
      </c>
    </row>
    <row r="310" spans="1:25" x14ac:dyDescent="0.25">
      <c r="A310" t="s">
        <v>623</v>
      </c>
      <c r="B310" s="8">
        <v>45834</v>
      </c>
      <c r="C310" t="s">
        <v>116</v>
      </c>
      <c r="D310" t="s">
        <v>1</v>
      </c>
      <c r="E310" t="s">
        <v>2</v>
      </c>
      <c r="F310" t="s">
        <v>172</v>
      </c>
      <c r="G310" t="s">
        <v>173</v>
      </c>
      <c r="H310" s="9">
        <v>17192.34</v>
      </c>
      <c r="I310" t="s">
        <v>81</v>
      </c>
      <c r="J310" t="s">
        <v>7</v>
      </c>
      <c r="K310" t="s">
        <v>760</v>
      </c>
      <c r="L310" t="s">
        <v>761</v>
      </c>
      <c r="M310" t="s">
        <v>286</v>
      </c>
      <c r="N310" t="s">
        <v>8</v>
      </c>
      <c r="O310" t="str">
        <f t="shared" si="4"/>
        <v>FIMATEC</v>
      </c>
      <c r="P310" s="8">
        <v>45833</v>
      </c>
      <c r="Q310" t="s">
        <v>762</v>
      </c>
      <c r="R310" s="8">
        <v>45834</v>
      </c>
      <c r="S310" t="s">
        <v>763</v>
      </c>
      <c r="T310" t="s">
        <v>81</v>
      </c>
      <c r="U310" s="12">
        <v>1</v>
      </c>
      <c r="V310" t="s">
        <v>189</v>
      </c>
      <c r="W310" t="s">
        <v>189</v>
      </c>
      <c r="X310" t="s">
        <v>172</v>
      </c>
      <c r="Y310" t="s">
        <v>424</v>
      </c>
    </row>
    <row r="311" spans="1:25" x14ac:dyDescent="0.25">
      <c r="A311" t="s">
        <v>623</v>
      </c>
      <c r="B311" s="8">
        <v>45834</v>
      </c>
      <c r="C311" t="s">
        <v>116</v>
      </c>
      <c r="D311" t="s">
        <v>1</v>
      </c>
      <c r="E311" t="s">
        <v>2</v>
      </c>
      <c r="F311" t="s">
        <v>172</v>
      </c>
      <c r="G311" t="s">
        <v>173</v>
      </c>
      <c r="H311" s="9">
        <v>3820.52</v>
      </c>
      <c r="I311" t="s">
        <v>81</v>
      </c>
      <c r="J311" t="s">
        <v>7</v>
      </c>
      <c r="K311" t="s">
        <v>764</v>
      </c>
      <c r="L311" t="s">
        <v>765</v>
      </c>
      <c r="M311" t="s">
        <v>286</v>
      </c>
      <c r="N311" t="s">
        <v>8</v>
      </c>
      <c r="O311" t="str">
        <f t="shared" si="4"/>
        <v>FIMATEC</v>
      </c>
      <c r="P311" s="8">
        <v>45833</v>
      </c>
      <c r="Q311" t="s">
        <v>766</v>
      </c>
      <c r="R311" s="8">
        <v>45834</v>
      </c>
      <c r="S311" t="s">
        <v>767</v>
      </c>
      <c r="T311" t="s">
        <v>81</v>
      </c>
      <c r="U311" s="12">
        <v>1</v>
      </c>
      <c r="V311" t="s">
        <v>189</v>
      </c>
      <c r="W311" t="s">
        <v>189</v>
      </c>
      <c r="X311" t="s">
        <v>172</v>
      </c>
      <c r="Y311" t="s">
        <v>424</v>
      </c>
    </row>
    <row r="312" spans="1:25" x14ac:dyDescent="0.25">
      <c r="A312" t="s">
        <v>623</v>
      </c>
      <c r="B312" s="8">
        <v>45834</v>
      </c>
      <c r="C312" t="s">
        <v>116</v>
      </c>
      <c r="D312" t="s">
        <v>1</v>
      </c>
      <c r="E312" t="s">
        <v>2</v>
      </c>
      <c r="F312" t="s">
        <v>172</v>
      </c>
      <c r="G312" t="s">
        <v>173</v>
      </c>
      <c r="H312" s="9">
        <v>67739.8</v>
      </c>
      <c r="I312" t="s">
        <v>768</v>
      </c>
      <c r="J312" t="s">
        <v>7</v>
      </c>
      <c r="K312" t="s">
        <v>769</v>
      </c>
      <c r="L312" t="s">
        <v>770</v>
      </c>
      <c r="M312" t="s">
        <v>286</v>
      </c>
      <c r="N312" t="s">
        <v>8</v>
      </c>
      <c r="O312" t="str">
        <f t="shared" si="4"/>
        <v>FIMATEC</v>
      </c>
      <c r="P312" s="8">
        <v>45833</v>
      </c>
      <c r="Q312" t="s">
        <v>771</v>
      </c>
      <c r="R312" s="8">
        <v>45834</v>
      </c>
      <c r="S312" t="s">
        <v>772</v>
      </c>
      <c r="T312" t="s">
        <v>71</v>
      </c>
      <c r="U312" s="12">
        <v>1</v>
      </c>
      <c r="V312" t="s">
        <v>189</v>
      </c>
      <c r="W312" t="s">
        <v>189</v>
      </c>
      <c r="X312" t="s">
        <v>172</v>
      </c>
      <c r="Y312" t="s">
        <v>424</v>
      </c>
    </row>
    <row r="313" spans="1:25" x14ac:dyDescent="0.25">
      <c r="A313" t="s">
        <v>623</v>
      </c>
      <c r="B313" s="8">
        <v>45834</v>
      </c>
      <c r="C313" t="s">
        <v>116</v>
      </c>
      <c r="D313" t="s">
        <v>1</v>
      </c>
      <c r="E313" t="s">
        <v>2</v>
      </c>
      <c r="F313" t="s">
        <v>722</v>
      </c>
      <c r="G313" t="s">
        <v>723</v>
      </c>
      <c r="H313" s="9">
        <v>3048.29</v>
      </c>
      <c r="I313" t="s">
        <v>76</v>
      </c>
      <c r="J313" t="s">
        <v>7</v>
      </c>
      <c r="K313" t="s">
        <v>773</v>
      </c>
      <c r="L313" t="s">
        <v>774</v>
      </c>
      <c r="M313" t="s">
        <v>286</v>
      </c>
      <c r="N313" t="s">
        <v>8</v>
      </c>
      <c r="O313" t="str">
        <f t="shared" si="4"/>
        <v>FIMATEC</v>
      </c>
      <c r="P313" s="8">
        <v>45833</v>
      </c>
      <c r="Q313" t="s">
        <v>775</v>
      </c>
      <c r="R313" s="8">
        <v>45834</v>
      </c>
      <c r="S313" t="s">
        <v>776</v>
      </c>
      <c r="T313" t="s">
        <v>76</v>
      </c>
      <c r="U313" s="12">
        <v>1</v>
      </c>
      <c r="V313" t="s">
        <v>189</v>
      </c>
      <c r="W313" t="s">
        <v>189</v>
      </c>
      <c r="X313" t="s">
        <v>722</v>
      </c>
      <c r="Y313" t="s">
        <v>424</v>
      </c>
    </row>
    <row r="314" spans="1:25" x14ac:dyDescent="0.25">
      <c r="A314" t="s">
        <v>623</v>
      </c>
      <c r="B314" s="7">
        <v>45887</v>
      </c>
      <c r="C314" t="s">
        <v>184</v>
      </c>
      <c r="D314" t="s">
        <v>1</v>
      </c>
      <c r="E314" t="s">
        <v>2</v>
      </c>
      <c r="F314" t="s">
        <v>172</v>
      </c>
      <c r="G314" t="s">
        <v>173</v>
      </c>
      <c r="H314" s="13">
        <v>201</v>
      </c>
      <c r="I314" t="s">
        <v>777</v>
      </c>
      <c r="J314" t="s">
        <v>7</v>
      </c>
      <c r="K314" t="s">
        <v>189</v>
      </c>
      <c r="L314" t="s">
        <v>778</v>
      </c>
      <c r="M314" t="s">
        <v>546</v>
      </c>
      <c r="N314" t="s">
        <v>8</v>
      </c>
      <c r="O314" t="str">
        <f t="shared" si="4"/>
        <v>FIMATEC</v>
      </c>
      <c r="P314" s="7">
        <v>45882</v>
      </c>
      <c r="Q314" t="s">
        <v>779</v>
      </c>
      <c r="R314" s="7">
        <v>45887</v>
      </c>
      <c r="S314" t="s">
        <v>780</v>
      </c>
      <c r="T314" t="s">
        <v>189</v>
      </c>
      <c r="U314">
        <v>0</v>
      </c>
      <c r="V314" t="s">
        <v>189</v>
      </c>
      <c r="W314" t="s">
        <v>189</v>
      </c>
      <c r="X314" t="s">
        <v>172</v>
      </c>
      <c r="Y314" t="s">
        <v>424</v>
      </c>
    </row>
    <row r="315" spans="1:25" x14ac:dyDescent="0.25">
      <c r="A315" t="s">
        <v>623</v>
      </c>
      <c r="B315" s="7">
        <v>45887</v>
      </c>
      <c r="C315" t="s">
        <v>184</v>
      </c>
      <c r="D315" t="s">
        <v>1</v>
      </c>
      <c r="E315" t="s">
        <v>2</v>
      </c>
      <c r="F315" s="26" t="s">
        <v>172</v>
      </c>
      <c r="G315" s="26" t="s">
        <v>173</v>
      </c>
      <c r="H315" s="13">
        <v>19069.169999999998</v>
      </c>
      <c r="I315" t="s">
        <v>81</v>
      </c>
      <c r="J315" t="s">
        <v>7</v>
      </c>
      <c r="K315" t="s">
        <v>781</v>
      </c>
      <c r="L315" t="s">
        <v>782</v>
      </c>
      <c r="M315" t="s">
        <v>546</v>
      </c>
      <c r="N315" t="s">
        <v>8</v>
      </c>
      <c r="O315" t="str">
        <f t="shared" si="4"/>
        <v>FIMATEC</v>
      </c>
      <c r="P315" s="7">
        <v>45884</v>
      </c>
      <c r="Q315" t="s">
        <v>783</v>
      </c>
      <c r="R315" s="7">
        <v>45887</v>
      </c>
      <c r="S315" t="s">
        <v>784</v>
      </c>
      <c r="T315" t="s">
        <v>81</v>
      </c>
      <c r="U315">
        <v>1</v>
      </c>
      <c r="V315" t="s">
        <v>189</v>
      </c>
      <c r="W315" t="s">
        <v>189</v>
      </c>
      <c r="X315" t="s">
        <v>172</v>
      </c>
      <c r="Y315" t="s">
        <v>424</v>
      </c>
    </row>
    <row r="316" spans="1:25" x14ac:dyDescent="0.25">
      <c r="A316" t="s">
        <v>623</v>
      </c>
      <c r="B316" s="7">
        <v>45887</v>
      </c>
      <c r="C316" t="s">
        <v>184</v>
      </c>
      <c r="D316" t="s">
        <v>1</v>
      </c>
      <c r="E316" t="s">
        <v>2</v>
      </c>
      <c r="F316" s="26" t="s">
        <v>172</v>
      </c>
      <c r="G316" s="26" t="s">
        <v>173</v>
      </c>
      <c r="H316" s="13">
        <v>2766.32</v>
      </c>
      <c r="I316" t="s">
        <v>76</v>
      </c>
      <c r="J316" t="s">
        <v>7</v>
      </c>
      <c r="K316" t="s">
        <v>785</v>
      </c>
      <c r="L316" t="s">
        <v>786</v>
      </c>
      <c r="M316" t="s">
        <v>546</v>
      </c>
      <c r="N316" t="s">
        <v>8</v>
      </c>
      <c r="O316" t="str">
        <f t="shared" si="4"/>
        <v>FIMATEC</v>
      </c>
      <c r="P316" s="7">
        <v>45884</v>
      </c>
      <c r="Q316" t="s">
        <v>787</v>
      </c>
      <c r="R316" s="7">
        <v>45887</v>
      </c>
      <c r="S316" t="s">
        <v>788</v>
      </c>
      <c r="T316" t="s">
        <v>76</v>
      </c>
      <c r="U316">
        <v>1</v>
      </c>
      <c r="V316" t="s">
        <v>189</v>
      </c>
      <c r="W316" t="s">
        <v>189</v>
      </c>
      <c r="X316" t="s">
        <v>172</v>
      </c>
      <c r="Y316" t="s">
        <v>424</v>
      </c>
    </row>
    <row r="317" spans="1:25" x14ac:dyDescent="0.25">
      <c r="A317" t="s">
        <v>623</v>
      </c>
      <c r="B317" s="7">
        <v>45887</v>
      </c>
      <c r="C317" t="s">
        <v>184</v>
      </c>
      <c r="D317" t="s">
        <v>1</v>
      </c>
      <c r="E317" t="s">
        <v>2</v>
      </c>
      <c r="F317" s="22" t="s">
        <v>13</v>
      </c>
      <c r="G317" s="22" t="s">
        <v>14</v>
      </c>
      <c r="H317" s="25">
        <v>61473.87</v>
      </c>
      <c r="I317" t="s">
        <v>71</v>
      </c>
      <c r="J317" t="s">
        <v>7</v>
      </c>
      <c r="K317" t="s">
        <v>789</v>
      </c>
      <c r="L317" t="s">
        <v>790</v>
      </c>
      <c r="M317" t="s">
        <v>546</v>
      </c>
      <c r="N317" t="s">
        <v>8</v>
      </c>
      <c r="O317" t="str">
        <f t="shared" si="4"/>
        <v>FIMATEC</v>
      </c>
      <c r="P317" s="7">
        <v>45884</v>
      </c>
      <c r="Q317" t="s">
        <v>791</v>
      </c>
      <c r="R317" s="7">
        <v>45887</v>
      </c>
      <c r="S317" t="s">
        <v>792</v>
      </c>
      <c r="T317" t="s">
        <v>71</v>
      </c>
      <c r="U317">
        <v>1</v>
      </c>
      <c r="V317" t="s">
        <v>189</v>
      </c>
      <c r="W317" t="s">
        <v>189</v>
      </c>
      <c r="X317" t="s">
        <v>13</v>
      </c>
      <c r="Y317" t="s">
        <v>424</v>
      </c>
    </row>
    <row r="318" spans="1:25" x14ac:dyDescent="0.25">
      <c r="A318" t="s">
        <v>623</v>
      </c>
      <c r="B318" s="7">
        <v>45922</v>
      </c>
      <c r="C318" t="s">
        <v>206</v>
      </c>
      <c r="D318" t="s">
        <v>1</v>
      </c>
      <c r="E318" t="s">
        <v>2</v>
      </c>
      <c r="F318" t="s">
        <v>172</v>
      </c>
      <c r="G318" t="s">
        <v>173</v>
      </c>
      <c r="H318" s="23">
        <v>54191.839999999997</v>
      </c>
      <c r="I318" t="s">
        <v>71</v>
      </c>
      <c r="J318" t="s">
        <v>7</v>
      </c>
      <c r="K318" s="24" t="s">
        <v>793</v>
      </c>
      <c r="L318" t="s">
        <v>794</v>
      </c>
      <c r="M318" t="s">
        <v>286</v>
      </c>
      <c r="N318" t="s">
        <v>8</v>
      </c>
      <c r="O318" t="str">
        <f t="shared" si="4"/>
        <v>FIMATEC</v>
      </c>
      <c r="P318" s="7">
        <v>45918</v>
      </c>
      <c r="Q318" t="s">
        <v>795</v>
      </c>
      <c r="R318" s="7">
        <v>45922</v>
      </c>
      <c r="S318" t="s">
        <v>796</v>
      </c>
      <c r="T318" t="s">
        <v>71</v>
      </c>
      <c r="U318">
        <v>0.8</v>
      </c>
      <c r="V318" t="s">
        <v>189</v>
      </c>
      <c r="W318" t="s">
        <v>189</v>
      </c>
      <c r="X318" s="4" t="s">
        <v>172</v>
      </c>
      <c r="Y318" t="s">
        <v>424</v>
      </c>
    </row>
    <row r="319" spans="1:25" x14ac:dyDescent="0.25">
      <c r="A319" t="s">
        <v>623</v>
      </c>
      <c r="B319" s="7">
        <v>45922</v>
      </c>
      <c r="C319" t="s">
        <v>206</v>
      </c>
      <c r="D319" t="s">
        <v>1</v>
      </c>
      <c r="E319" t="s">
        <v>2</v>
      </c>
      <c r="F319" t="s">
        <v>172</v>
      </c>
      <c r="G319" t="s">
        <v>173</v>
      </c>
      <c r="H319" s="23">
        <v>21012.86</v>
      </c>
      <c r="I319" t="s">
        <v>81</v>
      </c>
      <c r="J319" t="s">
        <v>7</v>
      </c>
      <c r="K319" s="24" t="s">
        <v>797</v>
      </c>
      <c r="L319" t="s">
        <v>798</v>
      </c>
      <c r="M319" t="s">
        <v>286</v>
      </c>
      <c r="N319" t="s">
        <v>8</v>
      </c>
      <c r="O319" t="str">
        <f t="shared" si="4"/>
        <v>FIMATEC</v>
      </c>
      <c r="P319" s="7">
        <v>45918</v>
      </c>
      <c r="Q319" t="s">
        <v>799</v>
      </c>
      <c r="R319" s="7">
        <v>45922</v>
      </c>
      <c r="S319" t="s">
        <v>800</v>
      </c>
      <c r="T319" t="s">
        <v>81</v>
      </c>
      <c r="U319">
        <v>1</v>
      </c>
      <c r="V319" t="s">
        <v>189</v>
      </c>
      <c r="W319" t="s">
        <v>189</v>
      </c>
      <c r="X319" s="4" t="s">
        <v>172</v>
      </c>
      <c r="Y319" t="s">
        <v>424</v>
      </c>
    </row>
    <row r="320" spans="1:25" x14ac:dyDescent="0.25">
      <c r="A320" t="s">
        <v>623</v>
      </c>
      <c r="B320" s="7">
        <v>45922</v>
      </c>
      <c r="C320" t="s">
        <v>206</v>
      </c>
      <c r="D320" t="s">
        <v>1</v>
      </c>
      <c r="E320" t="s">
        <v>2</v>
      </c>
      <c r="F320" t="s">
        <v>172</v>
      </c>
      <c r="G320" t="s">
        <v>173</v>
      </c>
      <c r="H320" s="13">
        <v>3048.29</v>
      </c>
      <c r="I320" t="s">
        <v>76</v>
      </c>
      <c r="J320" t="s">
        <v>7</v>
      </c>
      <c r="K320" t="s">
        <v>801</v>
      </c>
      <c r="L320" t="s">
        <v>802</v>
      </c>
      <c r="M320" t="s">
        <v>286</v>
      </c>
      <c r="N320" t="s">
        <v>8</v>
      </c>
      <c r="O320" t="str">
        <f t="shared" si="4"/>
        <v>FIMATEC</v>
      </c>
      <c r="P320" s="7">
        <v>45919</v>
      </c>
      <c r="Q320" t="s">
        <v>803</v>
      </c>
      <c r="R320" s="7">
        <v>45922</v>
      </c>
      <c r="S320" t="s">
        <v>804</v>
      </c>
      <c r="T320" t="s">
        <v>76</v>
      </c>
      <c r="U320">
        <v>1</v>
      </c>
      <c r="V320" t="s">
        <v>189</v>
      </c>
      <c r="W320" t="s">
        <v>189</v>
      </c>
      <c r="X320" s="4" t="s">
        <v>172</v>
      </c>
      <c r="Y320" t="s">
        <v>424</v>
      </c>
    </row>
    <row r="321" spans="1:25" x14ac:dyDescent="0.25">
      <c r="A321" t="s">
        <v>623</v>
      </c>
      <c r="B321" s="7">
        <v>45929</v>
      </c>
      <c r="C321" t="s">
        <v>206</v>
      </c>
      <c r="D321" t="s">
        <v>1</v>
      </c>
      <c r="E321" t="s">
        <v>2</v>
      </c>
      <c r="F321" t="s">
        <v>172</v>
      </c>
      <c r="G321" t="s">
        <v>173</v>
      </c>
      <c r="H321" s="13">
        <v>12193.16</v>
      </c>
      <c r="I321" t="s">
        <v>76</v>
      </c>
      <c r="J321" t="s">
        <v>7</v>
      </c>
      <c r="K321" t="s">
        <v>805</v>
      </c>
      <c r="L321" t="s">
        <v>806</v>
      </c>
      <c r="M321" t="s">
        <v>286</v>
      </c>
      <c r="N321" t="s">
        <v>8</v>
      </c>
      <c r="O321" t="str">
        <f t="shared" si="4"/>
        <v>FIMATEC</v>
      </c>
      <c r="P321" s="7">
        <v>45924</v>
      </c>
      <c r="Q321" t="s">
        <v>807</v>
      </c>
      <c r="R321" s="7">
        <v>45929</v>
      </c>
      <c r="S321" t="s">
        <v>808</v>
      </c>
      <c r="T321" t="s">
        <v>76</v>
      </c>
      <c r="U321">
        <v>1</v>
      </c>
      <c r="V321" t="s">
        <v>189</v>
      </c>
      <c r="W321" t="s">
        <v>189</v>
      </c>
      <c r="X321" s="4" t="s">
        <v>172</v>
      </c>
      <c r="Y321" t="s">
        <v>424</v>
      </c>
    </row>
    <row r="322" spans="1:25" x14ac:dyDescent="0.25">
      <c r="A322" t="s">
        <v>623</v>
      </c>
      <c r="B322" s="7">
        <v>45936</v>
      </c>
      <c r="C322" t="s">
        <v>223</v>
      </c>
      <c r="D322" t="s">
        <v>737</v>
      </c>
      <c r="E322" t="s">
        <v>738</v>
      </c>
      <c r="F322" t="s">
        <v>172</v>
      </c>
      <c r="G322" t="s">
        <v>173</v>
      </c>
      <c r="H322">
        <v>248.03</v>
      </c>
      <c r="I322" t="s">
        <v>809</v>
      </c>
      <c r="J322" t="s">
        <v>7</v>
      </c>
      <c r="K322" t="s">
        <v>189</v>
      </c>
      <c r="L322" t="s">
        <v>810</v>
      </c>
      <c r="M322" t="s">
        <v>260</v>
      </c>
      <c r="N322" t="s">
        <v>8</v>
      </c>
      <c r="O322" t="str">
        <f t="shared" ref="O322:O335" si="5">LEFT(J322,7)</f>
        <v>FIMATEC</v>
      </c>
      <c r="P322">
        <v>45919</v>
      </c>
      <c r="Q322" t="s">
        <v>811</v>
      </c>
      <c r="R322">
        <v>45936</v>
      </c>
      <c r="S322" t="s">
        <v>812</v>
      </c>
      <c r="T322" t="s">
        <v>189</v>
      </c>
      <c r="U322">
        <v>0</v>
      </c>
      <c r="V322" t="s">
        <v>189</v>
      </c>
      <c r="W322" t="s">
        <v>189</v>
      </c>
      <c r="X322" t="s">
        <v>172</v>
      </c>
      <c r="Y322" t="s">
        <v>743</v>
      </c>
    </row>
    <row r="323" spans="1:25" x14ac:dyDescent="0.25">
      <c r="A323" t="s">
        <v>623</v>
      </c>
      <c r="B323" s="7">
        <v>45936</v>
      </c>
      <c r="C323" t="s">
        <v>223</v>
      </c>
      <c r="D323" t="s">
        <v>1</v>
      </c>
      <c r="E323" t="s">
        <v>2</v>
      </c>
      <c r="F323" t="s">
        <v>172</v>
      </c>
      <c r="G323" t="s">
        <v>173</v>
      </c>
      <c r="H323" s="24">
        <v>-21012.86</v>
      </c>
      <c r="I323" t="s">
        <v>81</v>
      </c>
      <c r="J323" t="s">
        <v>7</v>
      </c>
      <c r="K323" s="24" t="s">
        <v>797</v>
      </c>
      <c r="L323" t="s">
        <v>813</v>
      </c>
      <c r="M323" t="s">
        <v>286</v>
      </c>
      <c r="N323" t="s">
        <v>8</v>
      </c>
      <c r="O323" t="str">
        <f t="shared" si="5"/>
        <v>FIMATEC</v>
      </c>
      <c r="P323">
        <v>45918</v>
      </c>
      <c r="Q323" t="s">
        <v>814</v>
      </c>
      <c r="R323">
        <v>45936</v>
      </c>
      <c r="S323" t="s">
        <v>800</v>
      </c>
      <c r="T323" t="s">
        <v>81</v>
      </c>
      <c r="U323">
        <v>-1</v>
      </c>
      <c r="V323" t="s">
        <v>189</v>
      </c>
      <c r="W323" t="s">
        <v>189</v>
      </c>
      <c r="X323" t="s">
        <v>172</v>
      </c>
      <c r="Y323" t="s">
        <v>424</v>
      </c>
    </row>
    <row r="324" spans="1:25" x14ac:dyDescent="0.25">
      <c r="A324" t="s">
        <v>623</v>
      </c>
      <c r="B324" s="7">
        <v>45936</v>
      </c>
      <c r="C324" t="s">
        <v>223</v>
      </c>
      <c r="D324" t="s">
        <v>1</v>
      </c>
      <c r="E324" t="s">
        <v>2</v>
      </c>
      <c r="F324" t="s">
        <v>172</v>
      </c>
      <c r="G324" t="s">
        <v>173</v>
      </c>
      <c r="H324" s="24">
        <v>-54191.839999999997</v>
      </c>
      <c r="I324" t="s">
        <v>71</v>
      </c>
      <c r="J324" t="s">
        <v>7</v>
      </c>
      <c r="K324" s="24" t="s">
        <v>793</v>
      </c>
      <c r="L324" t="s">
        <v>815</v>
      </c>
      <c r="M324" t="s">
        <v>286</v>
      </c>
      <c r="N324" t="s">
        <v>8</v>
      </c>
      <c r="O324" t="str">
        <f t="shared" si="5"/>
        <v>FIMATEC</v>
      </c>
      <c r="P324">
        <v>45918</v>
      </c>
      <c r="Q324" t="s">
        <v>816</v>
      </c>
      <c r="R324">
        <v>45936</v>
      </c>
      <c r="S324" t="s">
        <v>796</v>
      </c>
      <c r="T324" t="s">
        <v>71</v>
      </c>
      <c r="U324">
        <v>-0.8</v>
      </c>
      <c r="V324" t="s">
        <v>189</v>
      </c>
      <c r="W324" t="s">
        <v>189</v>
      </c>
      <c r="X324" t="s">
        <v>172</v>
      </c>
      <c r="Y324" t="s">
        <v>424</v>
      </c>
    </row>
    <row r="325" spans="1:25" x14ac:dyDescent="0.25">
      <c r="A325" t="s">
        <v>623</v>
      </c>
      <c r="B325" s="7">
        <v>45936</v>
      </c>
      <c r="C325" t="s">
        <v>223</v>
      </c>
      <c r="D325" t="s">
        <v>817</v>
      </c>
      <c r="E325" t="s">
        <v>818</v>
      </c>
      <c r="F325" t="s">
        <v>172</v>
      </c>
      <c r="G325" t="s">
        <v>173</v>
      </c>
      <c r="H325">
        <v>21012.86</v>
      </c>
      <c r="I325" t="s">
        <v>81</v>
      </c>
      <c r="J325" t="s">
        <v>7</v>
      </c>
      <c r="K325" t="s">
        <v>797</v>
      </c>
      <c r="L325" t="s">
        <v>819</v>
      </c>
      <c r="M325" t="s">
        <v>286</v>
      </c>
      <c r="N325" t="s">
        <v>8</v>
      </c>
      <c r="O325" t="str">
        <f t="shared" si="5"/>
        <v>FIMATEC</v>
      </c>
      <c r="P325">
        <v>45919</v>
      </c>
      <c r="Q325" t="s">
        <v>820</v>
      </c>
      <c r="R325">
        <v>45936</v>
      </c>
      <c r="S325" t="s">
        <v>800</v>
      </c>
      <c r="T325" t="s">
        <v>81</v>
      </c>
      <c r="U325">
        <v>1</v>
      </c>
      <c r="V325" t="s">
        <v>189</v>
      </c>
      <c r="W325" t="s">
        <v>189</v>
      </c>
      <c r="X325" t="s">
        <v>172</v>
      </c>
      <c r="Y325" t="s">
        <v>818</v>
      </c>
    </row>
    <row r="326" spans="1:25" x14ac:dyDescent="0.25">
      <c r="A326" t="s">
        <v>623</v>
      </c>
      <c r="B326" s="7">
        <v>45936</v>
      </c>
      <c r="C326" t="s">
        <v>223</v>
      </c>
      <c r="D326" t="s">
        <v>817</v>
      </c>
      <c r="E326" t="s">
        <v>818</v>
      </c>
      <c r="F326" t="s">
        <v>172</v>
      </c>
      <c r="G326" t="s">
        <v>173</v>
      </c>
      <c r="H326" s="13">
        <v>67739.8</v>
      </c>
      <c r="I326" t="s">
        <v>71</v>
      </c>
      <c r="J326" t="s">
        <v>7</v>
      </c>
      <c r="K326" t="s">
        <v>793</v>
      </c>
      <c r="L326" t="s">
        <v>821</v>
      </c>
      <c r="M326" t="s">
        <v>286</v>
      </c>
      <c r="N326" t="s">
        <v>8</v>
      </c>
      <c r="O326" t="str">
        <f t="shared" si="5"/>
        <v>FIMATEC</v>
      </c>
      <c r="P326">
        <v>45919</v>
      </c>
      <c r="Q326" t="s">
        <v>822</v>
      </c>
      <c r="R326">
        <v>45936</v>
      </c>
      <c r="S326" t="s">
        <v>796</v>
      </c>
      <c r="T326" t="s">
        <v>71</v>
      </c>
      <c r="U326">
        <v>1</v>
      </c>
      <c r="V326" t="s">
        <v>189</v>
      </c>
      <c r="W326" t="s">
        <v>189</v>
      </c>
      <c r="X326" t="s">
        <v>172</v>
      </c>
      <c r="Y326" t="s">
        <v>818</v>
      </c>
    </row>
    <row r="327" spans="1:25" x14ac:dyDescent="0.25">
      <c r="A327" t="s">
        <v>623</v>
      </c>
      <c r="B327" s="7">
        <v>45937</v>
      </c>
      <c r="C327" t="s">
        <v>223</v>
      </c>
      <c r="D327" t="s">
        <v>737</v>
      </c>
      <c r="E327" t="s">
        <v>738</v>
      </c>
      <c r="F327" t="s">
        <v>172</v>
      </c>
      <c r="G327" t="s">
        <v>173</v>
      </c>
      <c r="H327">
        <v>248.03</v>
      </c>
      <c r="I327" t="s">
        <v>823</v>
      </c>
      <c r="J327" t="s">
        <v>7</v>
      </c>
      <c r="K327" t="s">
        <v>189</v>
      </c>
      <c r="L327" t="s">
        <v>824</v>
      </c>
      <c r="M327" t="s">
        <v>260</v>
      </c>
      <c r="N327" t="s">
        <v>8</v>
      </c>
      <c r="O327" t="str">
        <f t="shared" si="5"/>
        <v>FIMATEC</v>
      </c>
      <c r="P327">
        <v>45919</v>
      </c>
      <c r="Q327" t="s">
        <v>825</v>
      </c>
      <c r="R327">
        <v>45936</v>
      </c>
      <c r="S327" t="s">
        <v>826</v>
      </c>
      <c r="T327" t="s">
        <v>189</v>
      </c>
      <c r="U327">
        <v>0</v>
      </c>
      <c r="V327" t="s">
        <v>189</v>
      </c>
      <c r="W327" t="s">
        <v>189</v>
      </c>
      <c r="X327" t="s">
        <v>172</v>
      </c>
      <c r="Y327" t="s">
        <v>743</v>
      </c>
    </row>
    <row r="328" spans="1:25" x14ac:dyDescent="0.25">
      <c r="A328" t="s">
        <v>623</v>
      </c>
      <c r="B328" s="7">
        <v>45937</v>
      </c>
      <c r="C328" t="s">
        <v>223</v>
      </c>
      <c r="D328" t="s">
        <v>737</v>
      </c>
      <c r="E328" t="s">
        <v>738</v>
      </c>
      <c r="F328" t="s">
        <v>172</v>
      </c>
      <c r="G328" t="s">
        <v>173</v>
      </c>
      <c r="H328">
        <v>320</v>
      </c>
      <c r="I328" t="s">
        <v>827</v>
      </c>
      <c r="J328" t="s">
        <v>7</v>
      </c>
      <c r="K328" t="s">
        <v>189</v>
      </c>
      <c r="L328" t="s">
        <v>828</v>
      </c>
      <c r="M328" t="s">
        <v>260</v>
      </c>
      <c r="N328" t="s">
        <v>8</v>
      </c>
      <c r="O328" t="str">
        <f t="shared" si="5"/>
        <v>FIMATEC</v>
      </c>
      <c r="P328">
        <v>45919</v>
      </c>
      <c r="Q328" t="s">
        <v>829</v>
      </c>
      <c r="R328">
        <v>45937</v>
      </c>
      <c r="S328" t="s">
        <v>830</v>
      </c>
      <c r="T328" t="s">
        <v>189</v>
      </c>
      <c r="U328">
        <v>0</v>
      </c>
      <c r="V328" t="s">
        <v>189</v>
      </c>
      <c r="W328" t="s">
        <v>189</v>
      </c>
      <c r="X328" t="s">
        <v>172</v>
      </c>
      <c r="Y328" t="s">
        <v>743</v>
      </c>
    </row>
    <row r="329" spans="1:25" x14ac:dyDescent="0.25">
      <c r="A329" t="s">
        <v>623</v>
      </c>
      <c r="B329" s="7">
        <v>45937</v>
      </c>
      <c r="C329" t="s">
        <v>223</v>
      </c>
      <c r="D329" t="s">
        <v>737</v>
      </c>
      <c r="E329" t="s">
        <v>738</v>
      </c>
      <c r="F329" t="s">
        <v>172</v>
      </c>
      <c r="G329" t="s">
        <v>173</v>
      </c>
      <c r="H329">
        <v>248.03</v>
      </c>
      <c r="I329" t="s">
        <v>831</v>
      </c>
      <c r="J329" t="s">
        <v>7</v>
      </c>
      <c r="K329" t="s">
        <v>189</v>
      </c>
      <c r="L329" t="s">
        <v>832</v>
      </c>
      <c r="M329" t="s">
        <v>260</v>
      </c>
      <c r="N329" t="s">
        <v>8</v>
      </c>
      <c r="O329" t="str">
        <f t="shared" si="5"/>
        <v>FIMATEC</v>
      </c>
      <c r="P329">
        <v>45919</v>
      </c>
      <c r="Q329" t="s">
        <v>833</v>
      </c>
      <c r="R329">
        <v>45937</v>
      </c>
      <c r="S329" t="s">
        <v>834</v>
      </c>
      <c r="T329" t="s">
        <v>189</v>
      </c>
      <c r="U329">
        <v>0</v>
      </c>
      <c r="V329" t="s">
        <v>189</v>
      </c>
      <c r="W329" t="s">
        <v>189</v>
      </c>
      <c r="X329" t="s">
        <v>172</v>
      </c>
      <c r="Y329" t="s">
        <v>743</v>
      </c>
    </row>
    <row r="330" spans="1:25" x14ac:dyDescent="0.25">
      <c r="A330" t="s">
        <v>623</v>
      </c>
      <c r="B330" s="7">
        <v>45937</v>
      </c>
      <c r="C330" t="s">
        <v>223</v>
      </c>
      <c r="D330" t="s">
        <v>737</v>
      </c>
      <c r="E330" t="s">
        <v>738</v>
      </c>
      <c r="F330" t="s">
        <v>172</v>
      </c>
      <c r="G330" t="s">
        <v>173</v>
      </c>
      <c r="H330">
        <v>522.84</v>
      </c>
      <c r="I330" t="s">
        <v>835</v>
      </c>
      <c r="J330" t="s">
        <v>7</v>
      </c>
      <c r="K330" t="s">
        <v>189</v>
      </c>
      <c r="L330" t="s">
        <v>836</v>
      </c>
      <c r="M330" t="s">
        <v>260</v>
      </c>
      <c r="N330" t="s">
        <v>8</v>
      </c>
      <c r="O330" t="str">
        <f t="shared" si="5"/>
        <v>FIMATEC</v>
      </c>
      <c r="P330">
        <v>45919</v>
      </c>
      <c r="Q330" t="s">
        <v>837</v>
      </c>
      <c r="R330">
        <v>45937</v>
      </c>
      <c r="S330" t="s">
        <v>838</v>
      </c>
      <c r="T330" t="s">
        <v>189</v>
      </c>
      <c r="U330">
        <v>0</v>
      </c>
      <c r="V330" t="s">
        <v>189</v>
      </c>
      <c r="W330" t="s">
        <v>189</v>
      </c>
      <c r="X330" t="s">
        <v>172</v>
      </c>
      <c r="Y330" t="s">
        <v>743</v>
      </c>
    </row>
    <row r="331" spans="1:25" x14ac:dyDescent="0.25">
      <c r="A331" t="s">
        <v>623</v>
      </c>
      <c r="B331" s="7">
        <v>45951</v>
      </c>
      <c r="C331" t="s">
        <v>223</v>
      </c>
      <c r="D331" t="s">
        <v>1</v>
      </c>
      <c r="E331" t="s">
        <v>2</v>
      </c>
      <c r="F331" t="s">
        <v>172</v>
      </c>
      <c r="G331" t="s">
        <v>173</v>
      </c>
      <c r="H331">
        <v>413</v>
      </c>
      <c r="I331" t="s">
        <v>839</v>
      </c>
      <c r="J331" t="s">
        <v>7</v>
      </c>
      <c r="K331" t="s">
        <v>840</v>
      </c>
      <c r="L331" t="s">
        <v>841</v>
      </c>
      <c r="M331" t="s">
        <v>286</v>
      </c>
      <c r="N331" t="s">
        <v>8</v>
      </c>
      <c r="O331" t="str">
        <f t="shared" si="5"/>
        <v>FIMATEC</v>
      </c>
      <c r="P331">
        <v>45947</v>
      </c>
      <c r="Q331" t="s">
        <v>842</v>
      </c>
      <c r="R331">
        <v>45951</v>
      </c>
      <c r="S331" t="s">
        <v>843</v>
      </c>
      <c r="T331" t="s">
        <v>115</v>
      </c>
      <c r="U331">
        <v>1</v>
      </c>
      <c r="V331" t="s">
        <v>189</v>
      </c>
      <c r="W331" t="s">
        <v>189</v>
      </c>
      <c r="X331" t="s">
        <v>172</v>
      </c>
      <c r="Y331" t="s">
        <v>424</v>
      </c>
    </row>
    <row r="332" spans="1:25" x14ac:dyDescent="0.25">
      <c r="A332" t="s">
        <v>623</v>
      </c>
      <c r="B332" s="7">
        <v>45952</v>
      </c>
      <c r="C332" t="s">
        <v>223</v>
      </c>
      <c r="D332" t="s">
        <v>1</v>
      </c>
      <c r="E332" t="s">
        <v>2</v>
      </c>
      <c r="F332" t="s">
        <v>722</v>
      </c>
      <c r="G332" t="s">
        <v>723</v>
      </c>
      <c r="H332">
        <v>3048.29</v>
      </c>
      <c r="I332" t="s">
        <v>76</v>
      </c>
      <c r="J332" t="s">
        <v>7</v>
      </c>
      <c r="K332" t="s">
        <v>844</v>
      </c>
      <c r="L332" t="s">
        <v>845</v>
      </c>
      <c r="M332" t="s">
        <v>286</v>
      </c>
      <c r="N332" t="s">
        <v>8</v>
      </c>
      <c r="O332" t="str">
        <f t="shared" si="5"/>
        <v>FIMATEC</v>
      </c>
      <c r="P332">
        <v>45947</v>
      </c>
      <c r="Q332" t="s">
        <v>846</v>
      </c>
      <c r="R332">
        <v>45952</v>
      </c>
      <c r="S332" t="s">
        <v>847</v>
      </c>
      <c r="T332" t="s">
        <v>76</v>
      </c>
      <c r="U332">
        <v>1</v>
      </c>
      <c r="V332" t="s">
        <v>189</v>
      </c>
      <c r="W332" t="s">
        <v>189</v>
      </c>
      <c r="X332" t="s">
        <v>722</v>
      </c>
      <c r="Y332" t="s">
        <v>424</v>
      </c>
    </row>
    <row r="333" spans="1:25" x14ac:dyDescent="0.25">
      <c r="A333" t="s">
        <v>623</v>
      </c>
      <c r="B333" s="7">
        <v>45952</v>
      </c>
      <c r="C333" t="s">
        <v>223</v>
      </c>
      <c r="D333" t="s">
        <v>1</v>
      </c>
      <c r="E333" t="s">
        <v>2</v>
      </c>
      <c r="F333" t="s">
        <v>172</v>
      </c>
      <c r="G333" t="s">
        <v>173</v>
      </c>
      <c r="H333">
        <v>44030.87</v>
      </c>
      <c r="I333" t="s">
        <v>71</v>
      </c>
      <c r="J333" t="s">
        <v>7</v>
      </c>
      <c r="K333" t="s">
        <v>848</v>
      </c>
      <c r="L333" t="s">
        <v>849</v>
      </c>
      <c r="M333" t="s">
        <v>286</v>
      </c>
      <c r="N333" t="s">
        <v>8</v>
      </c>
      <c r="O333" t="str">
        <f t="shared" si="5"/>
        <v>FIMATEC</v>
      </c>
      <c r="P333">
        <v>45947</v>
      </c>
      <c r="Q333" t="s">
        <v>850</v>
      </c>
      <c r="R333">
        <v>45952</v>
      </c>
      <c r="S333" t="s">
        <v>851</v>
      </c>
      <c r="T333" t="s">
        <v>71</v>
      </c>
      <c r="U333">
        <v>0.65</v>
      </c>
      <c r="V333" t="s">
        <v>189</v>
      </c>
      <c r="W333" t="s">
        <v>189</v>
      </c>
      <c r="X333" t="s">
        <v>172</v>
      </c>
      <c r="Y333" t="s">
        <v>424</v>
      </c>
    </row>
    <row r="334" spans="1:25" x14ac:dyDescent="0.25">
      <c r="A334" t="s">
        <v>623</v>
      </c>
      <c r="B334" s="7">
        <v>45952</v>
      </c>
      <c r="C334" t="s">
        <v>223</v>
      </c>
      <c r="D334" t="s">
        <v>1</v>
      </c>
      <c r="E334" t="s">
        <v>2</v>
      </c>
      <c r="F334" t="s">
        <v>172</v>
      </c>
      <c r="G334" t="s">
        <v>173</v>
      </c>
      <c r="H334">
        <v>12193.16</v>
      </c>
      <c r="I334" t="s">
        <v>76</v>
      </c>
      <c r="J334" t="s">
        <v>7</v>
      </c>
      <c r="K334" t="s">
        <v>852</v>
      </c>
      <c r="L334" t="s">
        <v>853</v>
      </c>
      <c r="M334" t="s">
        <v>286</v>
      </c>
      <c r="N334" t="s">
        <v>8</v>
      </c>
      <c r="O334" t="str">
        <f t="shared" si="5"/>
        <v>FIMATEC</v>
      </c>
      <c r="P334">
        <v>45947</v>
      </c>
      <c r="Q334" t="s">
        <v>854</v>
      </c>
      <c r="R334">
        <v>45952</v>
      </c>
      <c r="S334" t="s">
        <v>855</v>
      </c>
      <c r="T334" t="s">
        <v>76</v>
      </c>
      <c r="U334">
        <v>1</v>
      </c>
      <c r="V334" t="s">
        <v>189</v>
      </c>
      <c r="W334" t="s">
        <v>189</v>
      </c>
      <c r="X334" t="s">
        <v>172</v>
      </c>
      <c r="Y334" t="s">
        <v>424</v>
      </c>
    </row>
    <row r="335" spans="1:25" x14ac:dyDescent="0.25">
      <c r="A335" t="s">
        <v>623</v>
      </c>
      <c r="B335" s="7">
        <v>45952</v>
      </c>
      <c r="C335" t="s">
        <v>223</v>
      </c>
      <c r="D335" t="s">
        <v>170</v>
      </c>
      <c r="E335" t="s">
        <v>171</v>
      </c>
      <c r="F335" t="s">
        <v>172</v>
      </c>
      <c r="G335" t="s">
        <v>173</v>
      </c>
      <c r="H335">
        <v>21012.86</v>
      </c>
      <c r="I335" t="s">
        <v>81</v>
      </c>
      <c r="J335" t="s">
        <v>7</v>
      </c>
      <c r="K335" t="s">
        <v>856</v>
      </c>
      <c r="L335" t="s">
        <v>857</v>
      </c>
      <c r="M335" t="s">
        <v>286</v>
      </c>
      <c r="N335" t="s">
        <v>8</v>
      </c>
      <c r="O335" t="str">
        <f t="shared" si="5"/>
        <v>FIMATEC</v>
      </c>
      <c r="P335">
        <v>45947</v>
      </c>
      <c r="Q335" t="s">
        <v>858</v>
      </c>
      <c r="R335">
        <v>45952</v>
      </c>
      <c r="S335" t="s">
        <v>859</v>
      </c>
      <c r="T335" t="s">
        <v>81</v>
      </c>
      <c r="U335">
        <v>1</v>
      </c>
      <c r="V335" t="s">
        <v>189</v>
      </c>
      <c r="W335" t="s">
        <v>189</v>
      </c>
      <c r="X335" t="s">
        <v>172</v>
      </c>
      <c r="Y335" t="s">
        <v>171</v>
      </c>
    </row>
    <row r="336" spans="1:25" x14ac:dyDescent="0.25">
      <c r="A336" t="s">
        <v>623</v>
      </c>
      <c r="B336" s="7">
        <v>45968</v>
      </c>
      <c r="C336" t="s">
        <v>240</v>
      </c>
      <c r="D336" t="s">
        <v>1</v>
      </c>
      <c r="E336" t="s">
        <v>2</v>
      </c>
      <c r="F336" t="s">
        <v>172</v>
      </c>
      <c r="G336" t="s">
        <v>173</v>
      </c>
      <c r="H336">
        <v>413</v>
      </c>
      <c r="I336" t="s">
        <v>860</v>
      </c>
      <c r="J336" t="s">
        <v>7</v>
      </c>
      <c r="K336" t="s">
        <v>189</v>
      </c>
      <c r="L336" t="s">
        <v>861</v>
      </c>
      <c r="M336" t="s">
        <v>862</v>
      </c>
      <c r="N336" t="s">
        <v>8</v>
      </c>
      <c r="O336" t="str">
        <f>LEFT(J336,7)</f>
        <v>FIMATEC</v>
      </c>
      <c r="P336">
        <v>45947</v>
      </c>
      <c r="Q336" t="s">
        <v>863</v>
      </c>
      <c r="R336">
        <v>45968</v>
      </c>
      <c r="S336" t="s">
        <v>864</v>
      </c>
      <c r="T336" t="s">
        <v>189</v>
      </c>
      <c r="U336">
        <v>0</v>
      </c>
      <c r="V336" t="s">
        <v>189</v>
      </c>
      <c r="W336" t="s">
        <v>189</v>
      </c>
      <c r="X336" t="s">
        <v>172</v>
      </c>
      <c r="Y336" t="s">
        <v>424</v>
      </c>
    </row>
    <row r="337" spans="1:25" x14ac:dyDescent="0.25">
      <c r="A337" t="s">
        <v>623</v>
      </c>
      <c r="B337" s="7">
        <v>45968</v>
      </c>
      <c r="C337" t="s">
        <v>240</v>
      </c>
      <c r="D337" t="s">
        <v>1</v>
      </c>
      <c r="E337" t="s">
        <v>2</v>
      </c>
      <c r="F337" t="s">
        <v>172</v>
      </c>
      <c r="G337" t="s">
        <v>173</v>
      </c>
      <c r="H337">
        <v>-44030.87</v>
      </c>
      <c r="I337" t="s">
        <v>71</v>
      </c>
      <c r="J337" t="s">
        <v>7</v>
      </c>
      <c r="K337" t="s">
        <v>848</v>
      </c>
      <c r="L337" t="s">
        <v>865</v>
      </c>
      <c r="M337" t="s">
        <v>286</v>
      </c>
      <c r="N337" t="s">
        <v>8</v>
      </c>
      <c r="O337" t="str">
        <f t="shared" ref="O337:O373" si="6">LEFT(J337,7)</f>
        <v>FIMATEC</v>
      </c>
      <c r="P337">
        <v>45947</v>
      </c>
      <c r="Q337" t="s">
        <v>866</v>
      </c>
      <c r="R337">
        <v>45968</v>
      </c>
      <c r="S337" t="s">
        <v>851</v>
      </c>
      <c r="T337" t="s">
        <v>71</v>
      </c>
      <c r="U337">
        <v>-0.65</v>
      </c>
      <c r="V337" t="s">
        <v>189</v>
      </c>
      <c r="W337" t="s">
        <v>189</v>
      </c>
      <c r="X337" t="s">
        <v>172</v>
      </c>
      <c r="Y337" t="s">
        <v>424</v>
      </c>
    </row>
    <row r="338" spans="1:25" x14ac:dyDescent="0.25">
      <c r="A338" t="s">
        <v>623</v>
      </c>
      <c r="B338" s="7">
        <v>45971</v>
      </c>
      <c r="C338" t="s">
        <v>240</v>
      </c>
      <c r="D338" t="s">
        <v>1</v>
      </c>
      <c r="E338" t="s">
        <v>2</v>
      </c>
      <c r="F338" t="s">
        <v>172</v>
      </c>
      <c r="G338" t="s">
        <v>173</v>
      </c>
      <c r="H338">
        <v>67739.8</v>
      </c>
      <c r="I338" t="s">
        <v>71</v>
      </c>
      <c r="J338" t="s">
        <v>7</v>
      </c>
      <c r="K338" t="s">
        <v>848</v>
      </c>
      <c r="L338" t="s">
        <v>867</v>
      </c>
      <c r="M338" t="s">
        <v>286</v>
      </c>
      <c r="N338" t="s">
        <v>8</v>
      </c>
      <c r="O338" t="str">
        <f t="shared" si="6"/>
        <v>FIMATEC</v>
      </c>
      <c r="P338">
        <v>45947</v>
      </c>
      <c r="Q338" t="s">
        <v>868</v>
      </c>
      <c r="R338">
        <v>45971</v>
      </c>
      <c r="S338" t="s">
        <v>851</v>
      </c>
      <c r="T338" t="s">
        <v>71</v>
      </c>
      <c r="U338">
        <v>1</v>
      </c>
      <c r="V338" t="s">
        <v>189</v>
      </c>
      <c r="W338" t="s">
        <v>189</v>
      </c>
      <c r="X338" t="s">
        <v>172</v>
      </c>
      <c r="Y338" t="s">
        <v>424</v>
      </c>
    </row>
    <row r="339" spans="1:25" x14ac:dyDescent="0.25">
      <c r="A339" t="s">
        <v>623</v>
      </c>
      <c r="B339" s="7">
        <v>45978</v>
      </c>
      <c r="C339" t="s">
        <v>240</v>
      </c>
      <c r="D339" t="s">
        <v>1</v>
      </c>
      <c r="E339" t="s">
        <v>2</v>
      </c>
      <c r="F339" t="s">
        <v>172</v>
      </c>
      <c r="G339" t="s">
        <v>173</v>
      </c>
      <c r="H339">
        <v>12193.16</v>
      </c>
      <c r="I339" t="s">
        <v>76</v>
      </c>
      <c r="J339" t="s">
        <v>7</v>
      </c>
      <c r="K339" t="s">
        <v>869</v>
      </c>
      <c r="L339" t="s">
        <v>870</v>
      </c>
      <c r="M339" t="s">
        <v>286</v>
      </c>
      <c r="N339" t="s">
        <v>8</v>
      </c>
      <c r="O339" t="str">
        <f t="shared" si="6"/>
        <v>FIMATEC</v>
      </c>
      <c r="P339">
        <v>45972</v>
      </c>
      <c r="Q339" t="s">
        <v>871</v>
      </c>
      <c r="R339">
        <v>45978</v>
      </c>
      <c r="S339" t="s">
        <v>872</v>
      </c>
      <c r="T339" t="s">
        <v>76</v>
      </c>
      <c r="U339">
        <v>1</v>
      </c>
      <c r="V339" t="s">
        <v>189</v>
      </c>
      <c r="W339" t="s">
        <v>189</v>
      </c>
      <c r="X339" t="s">
        <v>172</v>
      </c>
      <c r="Y339" t="s">
        <v>424</v>
      </c>
    </row>
    <row r="340" spans="1:25" x14ac:dyDescent="0.25">
      <c r="A340" t="s">
        <v>623</v>
      </c>
      <c r="B340" s="7">
        <v>45978</v>
      </c>
      <c r="C340" t="s">
        <v>240</v>
      </c>
      <c r="D340" t="s">
        <v>1</v>
      </c>
      <c r="E340" t="s">
        <v>2</v>
      </c>
      <c r="F340" t="s">
        <v>722</v>
      </c>
      <c r="G340" t="s">
        <v>723</v>
      </c>
      <c r="H340">
        <v>3048.29</v>
      </c>
      <c r="I340" t="s">
        <v>76</v>
      </c>
      <c r="J340" t="s">
        <v>7</v>
      </c>
      <c r="K340" t="s">
        <v>873</v>
      </c>
      <c r="L340" t="s">
        <v>874</v>
      </c>
      <c r="M340" t="s">
        <v>286</v>
      </c>
      <c r="N340" t="s">
        <v>8</v>
      </c>
      <c r="O340" t="str">
        <f t="shared" si="6"/>
        <v>FIMATEC</v>
      </c>
      <c r="P340">
        <v>45972</v>
      </c>
      <c r="Q340" t="s">
        <v>875</v>
      </c>
      <c r="R340">
        <v>45978</v>
      </c>
      <c r="S340" t="s">
        <v>876</v>
      </c>
      <c r="T340" t="s">
        <v>76</v>
      </c>
      <c r="U340">
        <v>1</v>
      </c>
      <c r="V340" t="s">
        <v>189</v>
      </c>
      <c r="W340" t="s">
        <v>189</v>
      </c>
      <c r="X340" t="s">
        <v>722</v>
      </c>
      <c r="Y340" t="s">
        <v>424</v>
      </c>
    </row>
    <row r="341" spans="1:25" x14ac:dyDescent="0.25">
      <c r="A341" t="s">
        <v>623</v>
      </c>
      <c r="B341" s="7">
        <v>45978</v>
      </c>
      <c r="C341" t="s">
        <v>240</v>
      </c>
      <c r="D341" t="s">
        <v>1</v>
      </c>
      <c r="E341" t="s">
        <v>2</v>
      </c>
      <c r="F341" t="s">
        <v>172</v>
      </c>
      <c r="G341" t="s">
        <v>173</v>
      </c>
      <c r="H341">
        <v>67739.8</v>
      </c>
      <c r="I341" t="s">
        <v>71</v>
      </c>
      <c r="J341" t="s">
        <v>7</v>
      </c>
      <c r="K341" t="s">
        <v>877</v>
      </c>
      <c r="L341" t="s">
        <v>878</v>
      </c>
      <c r="M341" t="s">
        <v>286</v>
      </c>
      <c r="N341" t="s">
        <v>8</v>
      </c>
      <c r="O341" t="str">
        <f t="shared" si="6"/>
        <v>FIMATEC</v>
      </c>
      <c r="P341">
        <v>45972</v>
      </c>
      <c r="Q341" t="s">
        <v>879</v>
      </c>
      <c r="R341">
        <v>45978</v>
      </c>
      <c r="S341" t="s">
        <v>880</v>
      </c>
      <c r="T341" t="s">
        <v>71</v>
      </c>
      <c r="U341">
        <v>1</v>
      </c>
      <c r="V341" t="s">
        <v>189</v>
      </c>
      <c r="W341" t="s">
        <v>189</v>
      </c>
      <c r="X341" t="s">
        <v>172</v>
      </c>
      <c r="Y341" t="s">
        <v>424</v>
      </c>
    </row>
    <row r="342" spans="1:25" x14ac:dyDescent="0.25">
      <c r="A342" t="s">
        <v>623</v>
      </c>
      <c r="B342" s="7">
        <v>45978</v>
      </c>
      <c r="C342" t="s">
        <v>240</v>
      </c>
      <c r="D342" t="s">
        <v>1</v>
      </c>
      <c r="E342" t="s">
        <v>2</v>
      </c>
      <c r="F342" t="s">
        <v>172</v>
      </c>
      <c r="G342" t="s">
        <v>173</v>
      </c>
      <c r="H342">
        <v>21012.86</v>
      </c>
      <c r="I342" t="s">
        <v>81</v>
      </c>
      <c r="J342" t="s">
        <v>7</v>
      </c>
      <c r="K342" t="s">
        <v>881</v>
      </c>
      <c r="L342" t="s">
        <v>882</v>
      </c>
      <c r="M342" t="s">
        <v>286</v>
      </c>
      <c r="N342" t="s">
        <v>8</v>
      </c>
      <c r="O342" t="str">
        <f t="shared" si="6"/>
        <v>FIMATEC</v>
      </c>
      <c r="P342">
        <v>45972</v>
      </c>
      <c r="Q342" t="s">
        <v>883</v>
      </c>
      <c r="R342">
        <v>45978</v>
      </c>
      <c r="S342" t="s">
        <v>884</v>
      </c>
      <c r="T342" t="s">
        <v>81</v>
      </c>
      <c r="U342">
        <v>1</v>
      </c>
      <c r="V342" t="s">
        <v>189</v>
      </c>
      <c r="W342" t="s">
        <v>189</v>
      </c>
      <c r="X342" t="s">
        <v>172</v>
      </c>
      <c r="Y342" t="s">
        <v>424</v>
      </c>
    </row>
    <row r="343" spans="1:25" outlineLevel="2" x14ac:dyDescent="0.25">
      <c r="A343" t="s">
        <v>885</v>
      </c>
      <c r="B343" s="8">
        <v>46048</v>
      </c>
      <c r="C343" t="s">
        <v>8</v>
      </c>
      <c r="D343" t="s">
        <v>1</v>
      </c>
      <c r="E343" t="s">
        <v>2</v>
      </c>
      <c r="F343" t="s">
        <v>172</v>
      </c>
      <c r="G343" t="s">
        <v>173</v>
      </c>
      <c r="H343" s="9">
        <v>335</v>
      </c>
      <c r="I343" t="s">
        <v>886</v>
      </c>
      <c r="J343" t="s">
        <v>7</v>
      </c>
      <c r="K343" t="s">
        <v>887</v>
      </c>
      <c r="L343" t="s">
        <v>888</v>
      </c>
      <c r="M343" t="s">
        <v>862</v>
      </c>
      <c r="N343" t="s">
        <v>8</v>
      </c>
      <c r="O343" t="str">
        <f t="shared" si="6"/>
        <v>FIMATEC</v>
      </c>
      <c r="P343" s="8">
        <v>46009</v>
      </c>
      <c r="Q343" t="s">
        <v>889</v>
      </c>
      <c r="R343" s="8">
        <v>46048</v>
      </c>
      <c r="S343" t="s">
        <v>890</v>
      </c>
      <c r="T343" t="s">
        <v>115</v>
      </c>
      <c r="U343" s="12">
        <v>1</v>
      </c>
      <c r="V343" t="s">
        <v>189</v>
      </c>
      <c r="W343" t="s">
        <v>189</v>
      </c>
      <c r="X343" t="s">
        <v>172</v>
      </c>
      <c r="Y343" t="s">
        <v>424</v>
      </c>
    </row>
    <row r="344" spans="1:25" outlineLevel="2" x14ac:dyDescent="0.25">
      <c r="A344" t="s">
        <v>885</v>
      </c>
      <c r="B344" s="8">
        <v>46076</v>
      </c>
      <c r="C344" t="s">
        <v>6</v>
      </c>
      <c r="D344" t="s">
        <v>1</v>
      </c>
      <c r="E344" t="s">
        <v>2</v>
      </c>
      <c r="F344" t="s">
        <v>172</v>
      </c>
      <c r="G344" t="s">
        <v>173</v>
      </c>
      <c r="H344" s="9">
        <v>11065.29</v>
      </c>
      <c r="I344" t="s">
        <v>891</v>
      </c>
      <c r="J344" t="s">
        <v>7</v>
      </c>
      <c r="K344" t="s">
        <v>892</v>
      </c>
      <c r="L344" t="s">
        <v>893</v>
      </c>
      <c r="M344" t="s">
        <v>546</v>
      </c>
      <c r="N344" t="s">
        <v>8</v>
      </c>
      <c r="O344" t="str">
        <f t="shared" si="6"/>
        <v>FIMATEC</v>
      </c>
      <c r="P344" s="8">
        <v>46050</v>
      </c>
      <c r="Q344" t="s">
        <v>894</v>
      </c>
      <c r="R344" s="8">
        <v>46076</v>
      </c>
      <c r="S344" t="s">
        <v>895</v>
      </c>
      <c r="T344" t="s">
        <v>76</v>
      </c>
      <c r="U344" s="12">
        <v>1</v>
      </c>
      <c r="V344" t="s">
        <v>189</v>
      </c>
      <c r="W344" t="s">
        <v>189</v>
      </c>
      <c r="X344" t="s">
        <v>172</v>
      </c>
      <c r="Y344" t="s">
        <v>424</v>
      </c>
    </row>
    <row r="345" spans="1:25" outlineLevel="2" x14ac:dyDescent="0.25">
      <c r="A345" t="s">
        <v>885</v>
      </c>
      <c r="B345" s="8">
        <v>46076</v>
      </c>
      <c r="C345" t="s">
        <v>6</v>
      </c>
      <c r="D345" t="s">
        <v>1</v>
      </c>
      <c r="E345" t="s">
        <v>2</v>
      </c>
      <c r="F345" t="s">
        <v>722</v>
      </c>
      <c r="G345" t="s">
        <v>723</v>
      </c>
      <c r="H345" s="9">
        <v>2766.32</v>
      </c>
      <c r="I345" t="s">
        <v>896</v>
      </c>
      <c r="J345" t="s">
        <v>7</v>
      </c>
      <c r="K345" t="s">
        <v>897</v>
      </c>
      <c r="L345" t="s">
        <v>898</v>
      </c>
      <c r="M345" t="s">
        <v>546</v>
      </c>
      <c r="N345" t="s">
        <v>8</v>
      </c>
      <c r="O345" t="str">
        <f t="shared" si="6"/>
        <v>FIMATEC</v>
      </c>
      <c r="P345" s="8">
        <v>46050</v>
      </c>
      <c r="Q345" t="s">
        <v>899</v>
      </c>
      <c r="R345" s="8">
        <v>46076</v>
      </c>
      <c r="S345" t="s">
        <v>900</v>
      </c>
      <c r="T345" t="s">
        <v>76</v>
      </c>
      <c r="U345" s="12">
        <v>1</v>
      </c>
      <c r="V345" t="s">
        <v>189</v>
      </c>
      <c r="W345" t="s">
        <v>189</v>
      </c>
      <c r="X345" t="s">
        <v>722</v>
      </c>
      <c r="Y345" t="s">
        <v>424</v>
      </c>
    </row>
    <row r="346" spans="1:25" outlineLevel="2" x14ac:dyDescent="0.25">
      <c r="A346" t="s">
        <v>885</v>
      </c>
      <c r="B346" s="8">
        <v>46076</v>
      </c>
      <c r="C346" t="s">
        <v>6</v>
      </c>
      <c r="D346" t="s">
        <v>1</v>
      </c>
      <c r="E346" t="s">
        <v>2</v>
      </c>
      <c r="F346" t="s">
        <v>172</v>
      </c>
      <c r="G346" t="s">
        <v>173</v>
      </c>
      <c r="H346" s="9">
        <v>61473.87</v>
      </c>
      <c r="I346" t="s">
        <v>901</v>
      </c>
      <c r="J346" t="s">
        <v>7</v>
      </c>
      <c r="K346" t="s">
        <v>902</v>
      </c>
      <c r="L346" t="s">
        <v>903</v>
      </c>
      <c r="M346" t="s">
        <v>546</v>
      </c>
      <c r="N346" t="s">
        <v>8</v>
      </c>
      <c r="O346" t="str">
        <f t="shared" si="6"/>
        <v>FIMATEC</v>
      </c>
      <c r="P346" s="8">
        <v>46050</v>
      </c>
      <c r="Q346" t="s">
        <v>904</v>
      </c>
      <c r="R346" s="8">
        <v>46076</v>
      </c>
      <c r="S346" t="s">
        <v>905</v>
      </c>
      <c r="T346" t="s">
        <v>71</v>
      </c>
      <c r="U346" s="12">
        <v>1</v>
      </c>
      <c r="V346" t="s">
        <v>189</v>
      </c>
      <c r="W346" t="s">
        <v>189</v>
      </c>
      <c r="X346" t="s">
        <v>172</v>
      </c>
      <c r="Y346" t="s">
        <v>424</v>
      </c>
    </row>
    <row r="347" spans="1:25" outlineLevel="2" x14ac:dyDescent="0.25">
      <c r="A347" t="s">
        <v>885</v>
      </c>
      <c r="B347" s="8">
        <v>46097</v>
      </c>
      <c r="C347" t="s">
        <v>0</v>
      </c>
      <c r="D347" t="s">
        <v>1</v>
      </c>
      <c r="E347" t="s">
        <v>2</v>
      </c>
      <c r="F347" t="s">
        <v>172</v>
      </c>
      <c r="G347" t="s">
        <v>173</v>
      </c>
      <c r="H347" s="9">
        <v>15241.45</v>
      </c>
      <c r="I347" t="s">
        <v>906</v>
      </c>
      <c r="J347" t="s">
        <v>7</v>
      </c>
      <c r="K347" t="s">
        <v>907</v>
      </c>
      <c r="L347" t="s">
        <v>908</v>
      </c>
      <c r="M347" t="s">
        <v>9</v>
      </c>
      <c r="N347" t="s">
        <v>8</v>
      </c>
      <c r="O347" t="str">
        <f t="shared" si="6"/>
        <v>FIMATEC</v>
      </c>
      <c r="P347" s="8">
        <v>46076</v>
      </c>
      <c r="Q347" t="s">
        <v>909</v>
      </c>
      <c r="R347" s="8">
        <v>46097</v>
      </c>
      <c r="S347" t="s">
        <v>910</v>
      </c>
      <c r="T347" t="s">
        <v>76</v>
      </c>
      <c r="U347" s="12">
        <v>1</v>
      </c>
      <c r="V347" t="s">
        <v>189</v>
      </c>
      <c r="W347" t="s">
        <v>189</v>
      </c>
      <c r="X347" t="s">
        <v>172</v>
      </c>
      <c r="Y347" t="s">
        <v>424</v>
      </c>
    </row>
    <row r="348" spans="1:25" outlineLevel="2" x14ac:dyDescent="0.25">
      <c r="A348" t="s">
        <v>885</v>
      </c>
      <c r="B348" s="8">
        <v>46097</v>
      </c>
      <c r="C348" t="s">
        <v>0</v>
      </c>
      <c r="D348" t="s">
        <v>1</v>
      </c>
      <c r="E348" t="s">
        <v>2</v>
      </c>
      <c r="F348" t="s">
        <v>172</v>
      </c>
      <c r="G348" t="s">
        <v>173</v>
      </c>
      <c r="H348" s="9">
        <v>67739.8</v>
      </c>
      <c r="I348" t="s">
        <v>911</v>
      </c>
      <c r="J348" t="s">
        <v>7</v>
      </c>
      <c r="K348" t="s">
        <v>912</v>
      </c>
      <c r="L348" t="s">
        <v>913</v>
      </c>
      <c r="M348" t="s">
        <v>9</v>
      </c>
      <c r="N348" t="s">
        <v>8</v>
      </c>
      <c r="O348" t="str">
        <f t="shared" si="6"/>
        <v>FIMATEC</v>
      </c>
      <c r="P348" s="8">
        <v>46076</v>
      </c>
      <c r="Q348" t="s">
        <v>914</v>
      </c>
      <c r="R348" s="8">
        <v>46097</v>
      </c>
      <c r="S348" t="s">
        <v>915</v>
      </c>
      <c r="T348" t="s">
        <v>71</v>
      </c>
      <c r="U348" s="12">
        <v>1</v>
      </c>
      <c r="V348" t="s">
        <v>189</v>
      </c>
      <c r="W348" t="s">
        <v>189</v>
      </c>
      <c r="X348" t="s">
        <v>172</v>
      </c>
      <c r="Y348" t="s">
        <v>424</v>
      </c>
    </row>
    <row r="349" spans="1:25" outlineLevel="2" x14ac:dyDescent="0.25">
      <c r="A349" t="s">
        <v>885</v>
      </c>
      <c r="B349" s="8">
        <v>46097</v>
      </c>
      <c r="C349" t="s">
        <v>0</v>
      </c>
      <c r="D349" t="s">
        <v>1</v>
      </c>
      <c r="E349" t="s">
        <v>2</v>
      </c>
      <c r="F349" t="s">
        <v>172</v>
      </c>
      <c r="G349" t="s">
        <v>173</v>
      </c>
      <c r="H349" s="9">
        <v>21012.86</v>
      </c>
      <c r="I349" t="s">
        <v>916</v>
      </c>
      <c r="J349" t="s">
        <v>7</v>
      </c>
      <c r="K349" t="s">
        <v>917</v>
      </c>
      <c r="L349" t="s">
        <v>918</v>
      </c>
      <c r="M349" t="s">
        <v>9</v>
      </c>
      <c r="N349" t="s">
        <v>8</v>
      </c>
      <c r="O349" t="str">
        <f t="shared" si="6"/>
        <v>FIMATEC</v>
      </c>
      <c r="P349" s="8">
        <v>46076</v>
      </c>
      <c r="Q349" t="s">
        <v>919</v>
      </c>
      <c r="R349" s="8">
        <v>46097</v>
      </c>
      <c r="S349" t="s">
        <v>920</v>
      </c>
      <c r="T349" t="s">
        <v>81</v>
      </c>
      <c r="U349" s="12">
        <v>1</v>
      </c>
      <c r="V349" t="s">
        <v>189</v>
      </c>
      <c r="W349" t="s">
        <v>189</v>
      </c>
      <c r="X349" t="s">
        <v>172</v>
      </c>
      <c r="Y349" t="s">
        <v>424</v>
      </c>
    </row>
    <row r="350" spans="1:25" outlineLevel="2" x14ac:dyDescent="0.25">
      <c r="A350" t="s">
        <v>885</v>
      </c>
      <c r="B350" s="8">
        <v>46110</v>
      </c>
      <c r="C350" t="s">
        <v>0</v>
      </c>
      <c r="D350" t="s">
        <v>1</v>
      </c>
      <c r="E350" t="s">
        <v>2</v>
      </c>
      <c r="F350" t="s">
        <v>172</v>
      </c>
      <c r="G350" t="s">
        <v>173</v>
      </c>
      <c r="H350" s="9">
        <v>21012.86</v>
      </c>
      <c r="I350" t="s">
        <v>921</v>
      </c>
      <c r="J350" t="s">
        <v>7</v>
      </c>
      <c r="K350" t="s">
        <v>922</v>
      </c>
      <c r="L350" t="s">
        <v>923</v>
      </c>
      <c r="M350" t="s">
        <v>95</v>
      </c>
      <c r="N350" t="s">
        <v>8</v>
      </c>
      <c r="O350" t="str">
        <f t="shared" si="6"/>
        <v>FIMATEC</v>
      </c>
      <c r="P350" s="8">
        <v>46091</v>
      </c>
      <c r="Q350" t="s">
        <v>924</v>
      </c>
      <c r="R350" s="8">
        <v>46110</v>
      </c>
      <c r="S350" t="s">
        <v>925</v>
      </c>
      <c r="T350" t="s">
        <v>81</v>
      </c>
      <c r="U350" s="12">
        <v>1</v>
      </c>
      <c r="V350" t="s">
        <v>189</v>
      </c>
      <c r="W350" t="s">
        <v>189</v>
      </c>
      <c r="X350" t="s">
        <v>172</v>
      </c>
      <c r="Y350" t="s">
        <v>424</v>
      </c>
    </row>
    <row r="351" spans="1:25" outlineLevel="2" x14ac:dyDescent="0.25">
      <c r="A351" t="s">
        <v>885</v>
      </c>
      <c r="B351" s="8">
        <v>46110</v>
      </c>
      <c r="C351" t="s">
        <v>0</v>
      </c>
      <c r="D351" t="s">
        <v>1</v>
      </c>
      <c r="E351" t="s">
        <v>2</v>
      </c>
      <c r="F351" t="s">
        <v>172</v>
      </c>
      <c r="G351" t="s">
        <v>173</v>
      </c>
      <c r="H351" s="9">
        <v>15241.45</v>
      </c>
      <c r="I351" t="s">
        <v>926</v>
      </c>
      <c r="J351" t="s">
        <v>7</v>
      </c>
      <c r="K351" t="s">
        <v>927</v>
      </c>
      <c r="L351" t="s">
        <v>928</v>
      </c>
      <c r="M351" t="s">
        <v>95</v>
      </c>
      <c r="N351" t="s">
        <v>8</v>
      </c>
      <c r="O351" t="str">
        <f t="shared" si="6"/>
        <v>FIMATEC</v>
      </c>
      <c r="P351" s="8">
        <v>46091</v>
      </c>
      <c r="Q351" t="s">
        <v>929</v>
      </c>
      <c r="R351" s="8">
        <v>46110</v>
      </c>
      <c r="S351" t="s">
        <v>930</v>
      </c>
      <c r="T351" t="s">
        <v>76</v>
      </c>
      <c r="U351" s="12">
        <v>1</v>
      </c>
      <c r="V351" t="s">
        <v>189</v>
      </c>
      <c r="W351" t="s">
        <v>189</v>
      </c>
      <c r="X351" t="s">
        <v>172</v>
      </c>
      <c r="Y351" t="s">
        <v>424</v>
      </c>
    </row>
    <row r="352" spans="1:25" outlineLevel="2" x14ac:dyDescent="0.25">
      <c r="A352" t="s">
        <v>885</v>
      </c>
      <c r="B352" s="8">
        <v>46110</v>
      </c>
      <c r="C352" t="s">
        <v>0</v>
      </c>
      <c r="D352" t="s">
        <v>1</v>
      </c>
      <c r="E352" t="s">
        <v>2</v>
      </c>
      <c r="F352" t="s">
        <v>172</v>
      </c>
      <c r="G352" t="s">
        <v>173</v>
      </c>
      <c r="H352" s="9">
        <v>67739.8</v>
      </c>
      <c r="I352" t="s">
        <v>931</v>
      </c>
      <c r="J352" t="s">
        <v>7</v>
      </c>
      <c r="K352" t="s">
        <v>932</v>
      </c>
      <c r="L352" t="s">
        <v>933</v>
      </c>
      <c r="M352" t="s">
        <v>95</v>
      </c>
      <c r="N352" t="s">
        <v>8</v>
      </c>
      <c r="O352" t="str">
        <f t="shared" si="6"/>
        <v>FIMATEC</v>
      </c>
      <c r="P352" s="8">
        <v>46091</v>
      </c>
      <c r="Q352" t="s">
        <v>934</v>
      </c>
      <c r="R352" s="8">
        <v>46110</v>
      </c>
      <c r="S352" t="s">
        <v>935</v>
      </c>
      <c r="T352" t="s">
        <v>71</v>
      </c>
      <c r="U352" s="12">
        <v>1</v>
      </c>
      <c r="V352" t="s">
        <v>189</v>
      </c>
      <c r="W352" t="s">
        <v>189</v>
      </c>
      <c r="X352" t="s">
        <v>172</v>
      </c>
      <c r="Y352" t="s">
        <v>424</v>
      </c>
    </row>
    <row r="353" spans="1:26" x14ac:dyDescent="0.25">
      <c r="A353" t="s">
        <v>885</v>
      </c>
      <c r="B353" s="7">
        <v>46113</v>
      </c>
      <c r="C353" t="s">
        <v>5</v>
      </c>
      <c r="D353" t="s">
        <v>1</v>
      </c>
      <c r="E353" t="s">
        <v>2</v>
      </c>
      <c r="F353" t="s">
        <v>172</v>
      </c>
      <c r="G353" t="s">
        <v>173</v>
      </c>
      <c r="H353">
        <v>1020</v>
      </c>
      <c r="I353" t="s">
        <v>936</v>
      </c>
      <c r="J353" t="s">
        <v>7</v>
      </c>
      <c r="K353" t="s">
        <v>189</v>
      </c>
      <c r="L353" t="s">
        <v>937</v>
      </c>
      <c r="M353" t="s">
        <v>546</v>
      </c>
      <c r="N353" t="s">
        <v>8</v>
      </c>
      <c r="O353" t="str">
        <f t="shared" si="6"/>
        <v>FIMATEC</v>
      </c>
      <c r="P353" s="7">
        <v>46098</v>
      </c>
      <c r="Q353" t="s">
        <v>938</v>
      </c>
      <c r="R353" s="7">
        <v>46113</v>
      </c>
      <c r="S353" t="s">
        <v>939</v>
      </c>
      <c r="T353" t="s">
        <v>189</v>
      </c>
      <c r="U353">
        <v>0</v>
      </c>
      <c r="V353" t="s">
        <v>189</v>
      </c>
      <c r="W353" t="s">
        <v>189</v>
      </c>
      <c r="X353" t="s">
        <v>172</v>
      </c>
      <c r="Y353" t="s">
        <v>424</v>
      </c>
    </row>
    <row r="354" spans="1:26" x14ac:dyDescent="0.25">
      <c r="A354" t="s">
        <v>885</v>
      </c>
      <c r="B354" s="7">
        <v>46113</v>
      </c>
      <c r="C354" t="s">
        <v>5</v>
      </c>
      <c r="D354" t="s">
        <v>1</v>
      </c>
      <c r="E354" t="s">
        <v>2</v>
      </c>
      <c r="F354" t="s">
        <v>172</v>
      </c>
      <c r="G354" t="s">
        <v>173</v>
      </c>
      <c r="H354">
        <v>19069.169999999998</v>
      </c>
      <c r="I354" t="s">
        <v>940</v>
      </c>
      <c r="J354" t="s">
        <v>7</v>
      </c>
      <c r="K354" t="s">
        <v>941</v>
      </c>
      <c r="L354" t="s">
        <v>942</v>
      </c>
      <c r="M354" t="s">
        <v>546</v>
      </c>
      <c r="N354" t="s">
        <v>8</v>
      </c>
      <c r="O354" t="str">
        <f t="shared" si="6"/>
        <v>FIMATEC</v>
      </c>
      <c r="P354" s="7">
        <v>46050</v>
      </c>
      <c r="Q354" t="s">
        <v>943</v>
      </c>
      <c r="R354" s="7">
        <v>46113</v>
      </c>
      <c r="S354" t="s">
        <v>944</v>
      </c>
      <c r="T354" t="s">
        <v>81</v>
      </c>
      <c r="U354">
        <v>1</v>
      </c>
      <c r="V354" t="s">
        <v>189</v>
      </c>
      <c r="W354" t="s">
        <v>189</v>
      </c>
      <c r="X354" t="s">
        <v>172</v>
      </c>
      <c r="Y354" t="s">
        <v>424</v>
      </c>
    </row>
    <row r="355" spans="1:26" x14ac:dyDescent="0.25">
      <c r="A355" t="s">
        <v>885</v>
      </c>
      <c r="B355" s="7">
        <v>46165</v>
      </c>
      <c r="C355" t="s">
        <v>92</v>
      </c>
      <c r="D355" t="s">
        <v>1</v>
      </c>
      <c r="E355" t="s">
        <v>2</v>
      </c>
      <c r="F355" t="s">
        <v>172</v>
      </c>
      <c r="G355" t="s">
        <v>173</v>
      </c>
      <c r="H355">
        <v>70861.600000000006</v>
      </c>
      <c r="I355" t="s">
        <v>945</v>
      </c>
      <c r="J355" t="s">
        <v>7</v>
      </c>
      <c r="K355" t="s">
        <v>946</v>
      </c>
      <c r="L355" t="s">
        <v>947</v>
      </c>
      <c r="M355" t="s">
        <v>862</v>
      </c>
      <c r="N355" t="s">
        <v>8</v>
      </c>
      <c r="O355" t="str">
        <f t="shared" si="6"/>
        <v>FIMATEC</v>
      </c>
      <c r="P355" s="7">
        <v>46136</v>
      </c>
      <c r="Q355" t="s">
        <v>948</v>
      </c>
      <c r="R355" s="7">
        <v>46165</v>
      </c>
      <c r="S355" t="s">
        <v>949</v>
      </c>
      <c r="T355" t="s">
        <v>71</v>
      </c>
      <c r="U355">
        <v>1</v>
      </c>
      <c r="V355" t="s">
        <v>189</v>
      </c>
      <c r="W355" t="s">
        <v>189</v>
      </c>
      <c r="X355" t="s">
        <v>172</v>
      </c>
      <c r="Y355" t="s">
        <v>424</v>
      </c>
    </row>
    <row r="356" spans="1:26" x14ac:dyDescent="0.25">
      <c r="A356" t="s">
        <v>885</v>
      </c>
      <c r="B356" s="7">
        <v>46165</v>
      </c>
      <c r="C356" t="s">
        <v>92</v>
      </c>
      <c r="D356" t="s">
        <v>1</v>
      </c>
      <c r="E356" t="s">
        <v>2</v>
      </c>
      <c r="F356" t="s">
        <v>172</v>
      </c>
      <c r="G356" t="s">
        <v>173</v>
      </c>
      <c r="H356">
        <v>19947.93</v>
      </c>
      <c r="I356" t="s">
        <v>950</v>
      </c>
      <c r="J356" t="s">
        <v>7</v>
      </c>
      <c r="K356" t="s">
        <v>951</v>
      </c>
      <c r="L356" t="s">
        <v>952</v>
      </c>
      <c r="M356" t="s">
        <v>862</v>
      </c>
      <c r="N356" t="s">
        <v>8</v>
      </c>
      <c r="O356" t="str">
        <f t="shared" si="6"/>
        <v>FIMATEC</v>
      </c>
      <c r="P356" s="7">
        <v>46136</v>
      </c>
      <c r="Q356" t="s">
        <v>953</v>
      </c>
      <c r="R356" s="7">
        <v>46165</v>
      </c>
      <c r="S356" t="s">
        <v>954</v>
      </c>
      <c r="T356" t="s">
        <v>81</v>
      </c>
      <c r="U356">
        <v>1</v>
      </c>
      <c r="V356" t="s">
        <v>189</v>
      </c>
      <c r="W356" t="s">
        <v>189</v>
      </c>
      <c r="X356" t="s">
        <v>172</v>
      </c>
      <c r="Y356" t="s">
        <v>424</v>
      </c>
    </row>
    <row r="357" spans="1:26" x14ac:dyDescent="0.25">
      <c r="A357" t="s">
        <v>885</v>
      </c>
      <c r="B357" s="7">
        <v>46165</v>
      </c>
      <c r="C357" t="s">
        <v>92</v>
      </c>
      <c r="D357" t="s">
        <v>1</v>
      </c>
      <c r="E357" t="s">
        <v>2</v>
      </c>
      <c r="F357" t="s">
        <v>172</v>
      </c>
      <c r="G357" t="s">
        <v>173</v>
      </c>
      <c r="H357">
        <v>14469.05</v>
      </c>
      <c r="I357" t="s">
        <v>955</v>
      </c>
      <c r="J357" t="s">
        <v>7</v>
      </c>
      <c r="K357" t="s">
        <v>956</v>
      </c>
      <c r="L357" t="s">
        <v>957</v>
      </c>
      <c r="M357" t="s">
        <v>862</v>
      </c>
      <c r="N357" t="s">
        <v>8</v>
      </c>
      <c r="O357" t="str">
        <f t="shared" si="6"/>
        <v>FIMATEC</v>
      </c>
      <c r="P357" s="7">
        <v>46136</v>
      </c>
      <c r="Q357" t="s">
        <v>958</v>
      </c>
      <c r="R357" s="7">
        <v>46165</v>
      </c>
      <c r="S357" t="s">
        <v>959</v>
      </c>
      <c r="T357" t="s">
        <v>76</v>
      </c>
      <c r="U357">
        <v>1</v>
      </c>
      <c r="V357" t="s">
        <v>189</v>
      </c>
      <c r="W357" t="s">
        <v>189</v>
      </c>
      <c r="X357" t="s">
        <v>172</v>
      </c>
      <c r="Y357" t="s">
        <v>424</v>
      </c>
    </row>
    <row r="358" spans="1:26" x14ac:dyDescent="0.25">
      <c r="A358" t="s">
        <v>885</v>
      </c>
      <c r="B358" s="7">
        <v>46167</v>
      </c>
      <c r="C358" t="s">
        <v>92</v>
      </c>
      <c r="D358" t="s">
        <v>1</v>
      </c>
      <c r="E358" t="s">
        <v>2</v>
      </c>
      <c r="F358" t="s">
        <v>172</v>
      </c>
      <c r="G358" t="s">
        <v>173</v>
      </c>
      <c r="H358">
        <v>64306.9</v>
      </c>
      <c r="I358" t="s">
        <v>960</v>
      </c>
      <c r="J358" t="s">
        <v>7</v>
      </c>
      <c r="K358" t="s">
        <v>961</v>
      </c>
      <c r="L358" t="s">
        <v>962</v>
      </c>
      <c r="M358" t="s">
        <v>862</v>
      </c>
      <c r="N358" t="s">
        <v>8</v>
      </c>
      <c r="O358" t="str">
        <f t="shared" si="6"/>
        <v>FIMATEC</v>
      </c>
      <c r="P358" s="7">
        <v>46161</v>
      </c>
      <c r="Q358" t="s">
        <v>963</v>
      </c>
      <c r="R358" s="7">
        <v>46167</v>
      </c>
      <c r="S358" t="s">
        <v>964</v>
      </c>
      <c r="T358" t="s">
        <v>71</v>
      </c>
      <c r="U358">
        <v>1</v>
      </c>
      <c r="V358" t="s">
        <v>189</v>
      </c>
      <c r="W358" t="s">
        <v>189</v>
      </c>
      <c r="X358" t="s">
        <v>172</v>
      </c>
      <c r="Y358" t="s">
        <v>424</v>
      </c>
    </row>
    <row r="359" spans="1:26" x14ac:dyDescent="0.25">
      <c r="A359" t="s">
        <v>885</v>
      </c>
      <c r="B359" s="7">
        <v>46198</v>
      </c>
      <c r="C359" t="s">
        <v>116</v>
      </c>
      <c r="D359" t="s">
        <v>1</v>
      </c>
      <c r="E359" t="s">
        <v>2</v>
      </c>
      <c r="F359" t="s">
        <v>172</v>
      </c>
      <c r="G359" t="s">
        <v>173</v>
      </c>
      <c r="H359">
        <v>21981.19</v>
      </c>
      <c r="I359" t="s">
        <v>965</v>
      </c>
      <c r="J359" t="s">
        <v>7</v>
      </c>
      <c r="K359" t="s">
        <v>966</v>
      </c>
      <c r="L359" t="s">
        <v>967</v>
      </c>
      <c r="M359" t="s">
        <v>862</v>
      </c>
      <c r="N359" t="s">
        <v>8</v>
      </c>
      <c r="O359" t="str">
        <f t="shared" si="6"/>
        <v>FIMATEC</v>
      </c>
      <c r="P359" s="7">
        <v>46161</v>
      </c>
      <c r="Q359" s="7" t="s">
        <v>971</v>
      </c>
      <c r="R359" s="7">
        <v>46198</v>
      </c>
      <c r="S359" s="7" t="s">
        <v>972</v>
      </c>
      <c r="T359" t="s">
        <v>81</v>
      </c>
      <c r="U359">
        <v>1</v>
      </c>
      <c r="V359" t="s">
        <v>189</v>
      </c>
      <c r="W359" t="s">
        <v>189</v>
      </c>
      <c r="X359" t="s">
        <v>172</v>
      </c>
      <c r="Y359" t="s">
        <v>424</v>
      </c>
      <c r="Z359" t="s">
        <v>424</v>
      </c>
    </row>
    <row r="360" spans="1:26" x14ac:dyDescent="0.25">
      <c r="A360" t="s">
        <v>885</v>
      </c>
      <c r="B360" s="7">
        <v>46198</v>
      </c>
      <c r="C360" t="s">
        <v>116</v>
      </c>
      <c r="D360" t="s">
        <v>1</v>
      </c>
      <c r="E360" t="s">
        <v>2</v>
      </c>
      <c r="F360" t="s">
        <v>172</v>
      </c>
      <c r="G360" t="s">
        <v>173</v>
      </c>
      <c r="H360">
        <v>15943.85</v>
      </c>
      <c r="I360" t="s">
        <v>968</v>
      </c>
      <c r="J360" t="s">
        <v>7</v>
      </c>
      <c r="K360" t="s">
        <v>969</v>
      </c>
      <c r="L360" t="s">
        <v>970</v>
      </c>
      <c r="M360" t="s">
        <v>862</v>
      </c>
      <c r="N360" t="s">
        <v>8</v>
      </c>
      <c r="O360" t="str">
        <f t="shared" si="6"/>
        <v>FIMATEC</v>
      </c>
      <c r="P360" s="7">
        <v>46161</v>
      </c>
      <c r="Q360" s="7" t="s">
        <v>973</v>
      </c>
      <c r="R360" s="7">
        <v>46198</v>
      </c>
      <c r="S360" s="7" t="s">
        <v>974</v>
      </c>
      <c r="T360" t="s">
        <v>76</v>
      </c>
      <c r="U360">
        <v>1</v>
      </c>
      <c r="V360" t="s">
        <v>189</v>
      </c>
      <c r="W360" t="s">
        <v>189</v>
      </c>
      <c r="X360" t="s">
        <v>172</v>
      </c>
      <c r="Y360" t="s">
        <v>424</v>
      </c>
      <c r="Z360" t="s">
        <v>424</v>
      </c>
    </row>
    <row r="361" spans="1:26" x14ac:dyDescent="0.25">
      <c r="A361" t="s">
        <v>885</v>
      </c>
      <c r="B361" s="7">
        <v>46211</v>
      </c>
      <c r="C361" t="s">
        <v>138</v>
      </c>
      <c r="D361" t="s">
        <v>1</v>
      </c>
      <c r="E361" t="s">
        <v>2</v>
      </c>
      <c r="F361" t="s">
        <v>172</v>
      </c>
      <c r="G361" t="s">
        <v>173</v>
      </c>
      <c r="H361">
        <v>15943.85</v>
      </c>
      <c r="I361" t="s">
        <v>975</v>
      </c>
      <c r="J361" t="s">
        <v>7</v>
      </c>
      <c r="K361" t="s">
        <v>976</v>
      </c>
      <c r="L361" t="s">
        <v>977</v>
      </c>
      <c r="M361" t="s">
        <v>862</v>
      </c>
      <c r="N361" t="s">
        <v>8</v>
      </c>
      <c r="O361" t="str">
        <f t="shared" si="6"/>
        <v>FIMATEC</v>
      </c>
      <c r="P361" s="7">
        <v>46203</v>
      </c>
      <c r="Q361" s="7" t="s">
        <v>978</v>
      </c>
      <c r="R361" s="7">
        <v>46211</v>
      </c>
      <c r="S361" s="7" t="s">
        <v>979</v>
      </c>
      <c r="T361" t="s">
        <v>76</v>
      </c>
      <c r="U361">
        <v>1</v>
      </c>
      <c r="V361" t="s">
        <v>189</v>
      </c>
      <c r="W361" t="s">
        <v>189</v>
      </c>
      <c r="X361" t="s">
        <v>172</v>
      </c>
      <c r="Y361" t="s">
        <v>424</v>
      </c>
      <c r="Z361" t="s">
        <v>424</v>
      </c>
    </row>
    <row r="362" spans="1:26" x14ac:dyDescent="0.25">
      <c r="A362" t="s">
        <v>885</v>
      </c>
      <c r="B362" s="7">
        <v>46211</v>
      </c>
      <c r="C362" t="s">
        <v>138</v>
      </c>
      <c r="D362" t="s">
        <v>1</v>
      </c>
      <c r="E362" t="s">
        <v>2</v>
      </c>
      <c r="F362" t="s">
        <v>172</v>
      </c>
      <c r="G362" t="s">
        <v>173</v>
      </c>
      <c r="H362">
        <v>21981.19</v>
      </c>
      <c r="I362" t="s">
        <v>980</v>
      </c>
      <c r="J362" t="s">
        <v>7</v>
      </c>
      <c r="K362" t="s">
        <v>981</v>
      </c>
      <c r="L362" t="s">
        <v>982</v>
      </c>
      <c r="M362" t="s">
        <v>862</v>
      </c>
      <c r="N362" t="s">
        <v>8</v>
      </c>
      <c r="O362" t="str">
        <f t="shared" si="6"/>
        <v>FIMATEC</v>
      </c>
      <c r="P362" s="7">
        <v>46203</v>
      </c>
      <c r="Q362" s="7" t="s">
        <v>983</v>
      </c>
      <c r="R362" s="7">
        <v>46211</v>
      </c>
      <c r="S362" s="7" t="s">
        <v>984</v>
      </c>
      <c r="T362" t="s">
        <v>81</v>
      </c>
      <c r="U362">
        <v>1</v>
      </c>
      <c r="V362" t="s">
        <v>189</v>
      </c>
      <c r="W362" t="s">
        <v>189</v>
      </c>
      <c r="X362" t="s">
        <v>172</v>
      </c>
      <c r="Y362" t="s">
        <v>424</v>
      </c>
      <c r="Z362" t="s">
        <v>424</v>
      </c>
    </row>
    <row r="363" spans="1:26" x14ac:dyDescent="0.25">
      <c r="A363" t="s">
        <v>885</v>
      </c>
      <c r="B363" s="7">
        <v>46211</v>
      </c>
      <c r="C363" t="s">
        <v>138</v>
      </c>
      <c r="D363" t="s">
        <v>1</v>
      </c>
      <c r="E363" t="s">
        <v>2</v>
      </c>
      <c r="F363" t="s">
        <v>172</v>
      </c>
      <c r="G363" t="s">
        <v>173</v>
      </c>
      <c r="H363">
        <v>70861.600000000006</v>
      </c>
      <c r="I363" t="s">
        <v>985</v>
      </c>
      <c r="J363" t="s">
        <v>7</v>
      </c>
      <c r="K363" t="s">
        <v>986</v>
      </c>
      <c r="L363" t="s">
        <v>987</v>
      </c>
      <c r="M363" t="s">
        <v>862</v>
      </c>
      <c r="N363" t="s">
        <v>8</v>
      </c>
      <c r="O363" t="str">
        <f t="shared" si="6"/>
        <v>FIMATEC</v>
      </c>
      <c r="P363" s="7">
        <v>46203</v>
      </c>
      <c r="Q363" s="7" t="s">
        <v>988</v>
      </c>
      <c r="R363" s="7">
        <v>46211</v>
      </c>
      <c r="S363" s="7" t="s">
        <v>989</v>
      </c>
      <c r="T363" t="s">
        <v>71</v>
      </c>
      <c r="U363">
        <v>1</v>
      </c>
      <c r="V363" t="s">
        <v>189</v>
      </c>
      <c r="W363" t="s">
        <v>189</v>
      </c>
      <c r="X363" t="s">
        <v>172</v>
      </c>
      <c r="Y363" t="s">
        <v>424</v>
      </c>
      <c r="Z363" t="s">
        <v>424</v>
      </c>
    </row>
    <row r="364" spans="1:26" x14ac:dyDescent="0.25">
      <c r="A364" t="s">
        <v>885</v>
      </c>
      <c r="B364" s="7">
        <v>46232</v>
      </c>
      <c r="C364" t="s">
        <v>138</v>
      </c>
      <c r="D364" t="s">
        <v>1</v>
      </c>
      <c r="E364" t="s">
        <v>2</v>
      </c>
      <c r="F364" t="s">
        <v>172</v>
      </c>
      <c r="G364" t="s">
        <v>173</v>
      </c>
      <c r="H364">
        <v>21981.19</v>
      </c>
      <c r="I364" t="s">
        <v>990</v>
      </c>
      <c r="J364" t="s">
        <v>7</v>
      </c>
      <c r="K364" t="s">
        <v>991</v>
      </c>
      <c r="L364" t="s">
        <v>992</v>
      </c>
      <c r="M364" t="s">
        <v>862</v>
      </c>
      <c r="N364" t="s">
        <v>8</v>
      </c>
      <c r="O364" t="str">
        <f t="shared" si="6"/>
        <v>FIMATEC</v>
      </c>
      <c r="P364" s="7">
        <v>46219</v>
      </c>
      <c r="Q364" t="s">
        <v>993</v>
      </c>
      <c r="R364" s="7">
        <v>46232</v>
      </c>
      <c r="S364" t="s">
        <v>994</v>
      </c>
      <c r="T364" t="s">
        <v>81</v>
      </c>
      <c r="U364">
        <v>1</v>
      </c>
      <c r="V364" t="s">
        <v>189</v>
      </c>
      <c r="W364" t="s">
        <v>189</v>
      </c>
      <c r="X364" t="s">
        <v>172</v>
      </c>
      <c r="Y364" t="s">
        <v>424</v>
      </c>
    </row>
    <row r="365" spans="1:26" x14ac:dyDescent="0.25">
      <c r="A365" t="s">
        <v>885</v>
      </c>
      <c r="B365" s="7">
        <v>46232</v>
      </c>
      <c r="C365" t="s">
        <v>138</v>
      </c>
      <c r="D365" t="s">
        <v>1</v>
      </c>
      <c r="E365" t="s">
        <v>2</v>
      </c>
      <c r="F365" t="s">
        <v>172</v>
      </c>
      <c r="G365" t="s">
        <v>173</v>
      </c>
      <c r="H365">
        <v>64306.9</v>
      </c>
      <c r="I365" t="s">
        <v>995</v>
      </c>
      <c r="J365" t="s">
        <v>7</v>
      </c>
      <c r="K365" t="s">
        <v>996</v>
      </c>
      <c r="L365" t="s">
        <v>997</v>
      </c>
      <c r="M365" t="s">
        <v>862</v>
      </c>
      <c r="N365" t="s">
        <v>8</v>
      </c>
      <c r="O365" t="str">
        <f t="shared" si="6"/>
        <v>FIMATEC</v>
      </c>
      <c r="P365" s="7">
        <v>46219</v>
      </c>
      <c r="Q365" t="s">
        <v>998</v>
      </c>
      <c r="R365" s="7">
        <v>46232</v>
      </c>
      <c r="S365" t="s">
        <v>999</v>
      </c>
      <c r="T365" t="s">
        <v>71</v>
      </c>
      <c r="U365">
        <v>1</v>
      </c>
      <c r="V365" t="s">
        <v>189</v>
      </c>
      <c r="W365" t="s">
        <v>189</v>
      </c>
      <c r="X365" t="s">
        <v>172</v>
      </c>
      <c r="Y365" t="s">
        <v>424</v>
      </c>
    </row>
    <row r="366" spans="1:26" x14ac:dyDescent="0.25">
      <c r="A366" t="s">
        <v>885</v>
      </c>
      <c r="B366" s="7">
        <v>46232</v>
      </c>
      <c r="C366" t="s">
        <v>138</v>
      </c>
      <c r="D366" t="s">
        <v>1</v>
      </c>
      <c r="E366" t="s">
        <v>2</v>
      </c>
      <c r="F366" t="s">
        <v>172</v>
      </c>
      <c r="G366" t="s">
        <v>173</v>
      </c>
      <c r="H366">
        <v>14469.05</v>
      </c>
      <c r="I366" t="s">
        <v>1000</v>
      </c>
      <c r="J366" t="s">
        <v>7</v>
      </c>
      <c r="K366" t="s">
        <v>1001</v>
      </c>
      <c r="L366" t="s">
        <v>1002</v>
      </c>
      <c r="M366" t="s">
        <v>862</v>
      </c>
      <c r="N366" t="s">
        <v>8</v>
      </c>
      <c r="O366" t="str">
        <f t="shared" si="6"/>
        <v>FIMATEC</v>
      </c>
      <c r="P366" s="7">
        <v>46219</v>
      </c>
      <c r="Q366" t="s">
        <v>1003</v>
      </c>
      <c r="R366" s="7">
        <v>46232</v>
      </c>
      <c r="S366" t="s">
        <v>1004</v>
      </c>
      <c r="T366" t="s">
        <v>76</v>
      </c>
      <c r="U366">
        <v>1</v>
      </c>
      <c r="V366" t="s">
        <v>189</v>
      </c>
      <c r="W366" t="s">
        <v>189</v>
      </c>
      <c r="X366" t="s">
        <v>172</v>
      </c>
      <c r="Y366" t="s">
        <v>424</v>
      </c>
    </row>
    <row r="367" spans="1:26" x14ac:dyDescent="0.25">
      <c r="A367" t="s">
        <v>885</v>
      </c>
      <c r="B367" s="7">
        <v>46244</v>
      </c>
      <c r="C367" t="s">
        <v>184</v>
      </c>
      <c r="D367" t="s">
        <v>1</v>
      </c>
      <c r="E367" t="s">
        <v>2</v>
      </c>
      <c r="F367" t="s">
        <v>172</v>
      </c>
      <c r="G367" t="s">
        <v>173</v>
      </c>
      <c r="H367">
        <v>80</v>
      </c>
      <c r="I367" t="s">
        <v>1005</v>
      </c>
      <c r="J367" t="s">
        <v>7</v>
      </c>
      <c r="K367" t="s">
        <v>1006</v>
      </c>
      <c r="L367" t="s">
        <v>1007</v>
      </c>
      <c r="M367" t="s">
        <v>546</v>
      </c>
      <c r="N367" t="s">
        <v>8</v>
      </c>
      <c r="O367" t="str">
        <f t="shared" si="6"/>
        <v>FIMATEC</v>
      </c>
      <c r="P367" s="7">
        <v>46240</v>
      </c>
      <c r="Q367" t="s">
        <v>1008</v>
      </c>
      <c r="R367" s="7">
        <v>46244</v>
      </c>
      <c r="S367" t="s">
        <v>1009</v>
      </c>
      <c r="T367" t="s">
        <v>115</v>
      </c>
      <c r="U367">
        <v>1</v>
      </c>
      <c r="V367" t="s">
        <v>189</v>
      </c>
      <c r="W367" t="s">
        <v>189</v>
      </c>
      <c r="X367" t="s">
        <v>172</v>
      </c>
      <c r="Y367" t="s">
        <v>424</v>
      </c>
    </row>
    <row r="368" spans="1:26" x14ac:dyDescent="0.25">
      <c r="A368" t="s">
        <v>885</v>
      </c>
      <c r="B368" s="7">
        <v>46248</v>
      </c>
      <c r="C368" t="s">
        <v>184</v>
      </c>
      <c r="D368" t="s">
        <v>1</v>
      </c>
      <c r="E368" t="s">
        <v>2</v>
      </c>
      <c r="F368" t="s">
        <v>172</v>
      </c>
      <c r="G368" t="s">
        <v>173</v>
      </c>
      <c r="H368">
        <v>1553.64</v>
      </c>
      <c r="I368" t="s">
        <v>1010</v>
      </c>
      <c r="J368" t="s">
        <v>7</v>
      </c>
      <c r="K368" t="s">
        <v>1011</v>
      </c>
      <c r="L368" t="s">
        <v>1012</v>
      </c>
      <c r="M368" t="s">
        <v>862</v>
      </c>
      <c r="N368" t="s">
        <v>8</v>
      </c>
      <c r="O368" t="str">
        <f t="shared" si="6"/>
        <v>FIMATEC</v>
      </c>
      <c r="P368" s="7">
        <v>46224</v>
      </c>
      <c r="Q368" t="s">
        <v>1013</v>
      </c>
      <c r="R368" s="7">
        <v>46248</v>
      </c>
      <c r="S368" t="s">
        <v>1014</v>
      </c>
      <c r="T368" t="s">
        <v>115</v>
      </c>
      <c r="U368">
        <v>1</v>
      </c>
      <c r="V368" t="s">
        <v>189</v>
      </c>
      <c r="W368" t="s">
        <v>189</v>
      </c>
      <c r="X368" t="s">
        <v>172</v>
      </c>
      <c r="Y368" t="s">
        <v>424</v>
      </c>
    </row>
    <row r="369" spans="1:25" x14ac:dyDescent="0.25">
      <c r="A369" t="s">
        <v>885</v>
      </c>
      <c r="B369" s="7">
        <v>46248</v>
      </c>
      <c r="C369" t="s">
        <v>184</v>
      </c>
      <c r="D369" t="s">
        <v>1</v>
      </c>
      <c r="E369" t="s">
        <v>2</v>
      </c>
      <c r="F369" t="s">
        <v>172</v>
      </c>
      <c r="G369" t="s">
        <v>173</v>
      </c>
      <c r="H369">
        <v>235.05</v>
      </c>
      <c r="I369" t="s">
        <v>1015</v>
      </c>
      <c r="J369" t="s">
        <v>7</v>
      </c>
      <c r="K369" t="s">
        <v>1016</v>
      </c>
      <c r="L369" t="s">
        <v>1017</v>
      </c>
      <c r="M369" t="s">
        <v>862</v>
      </c>
      <c r="N369" t="s">
        <v>8</v>
      </c>
      <c r="O369" t="str">
        <f t="shared" si="6"/>
        <v>FIMATEC</v>
      </c>
      <c r="P369" s="7">
        <v>46224</v>
      </c>
      <c r="Q369" t="s">
        <v>1018</v>
      </c>
      <c r="R369" s="7">
        <v>46248</v>
      </c>
      <c r="S369" t="s">
        <v>1019</v>
      </c>
      <c r="T369" t="s">
        <v>115</v>
      </c>
      <c r="U369">
        <v>1</v>
      </c>
      <c r="V369" t="s">
        <v>189</v>
      </c>
      <c r="W369" t="s">
        <v>189</v>
      </c>
      <c r="X369" t="s">
        <v>172</v>
      </c>
      <c r="Y369" t="s">
        <v>424</v>
      </c>
    </row>
    <row r="370" spans="1:25" x14ac:dyDescent="0.25">
      <c r="A370" t="s">
        <v>885</v>
      </c>
      <c r="B370" s="7">
        <v>46248</v>
      </c>
      <c r="C370" t="s">
        <v>184</v>
      </c>
      <c r="D370" t="s">
        <v>1</v>
      </c>
      <c r="E370" t="s">
        <v>2</v>
      </c>
      <c r="F370" t="s">
        <v>172</v>
      </c>
      <c r="G370" t="s">
        <v>173</v>
      </c>
      <c r="H370">
        <v>104.36</v>
      </c>
      <c r="I370" t="s">
        <v>1020</v>
      </c>
      <c r="J370" t="s">
        <v>7</v>
      </c>
      <c r="K370" t="s">
        <v>1021</v>
      </c>
      <c r="L370" t="s">
        <v>1022</v>
      </c>
      <c r="M370" t="s">
        <v>862</v>
      </c>
      <c r="N370" t="s">
        <v>8</v>
      </c>
      <c r="O370" t="str">
        <f t="shared" si="6"/>
        <v>FIMATEC</v>
      </c>
      <c r="P370" s="7">
        <v>46224</v>
      </c>
      <c r="Q370" t="s">
        <v>1023</v>
      </c>
      <c r="R370" s="7">
        <v>46248</v>
      </c>
      <c r="S370" t="s">
        <v>1024</v>
      </c>
      <c r="T370" t="s">
        <v>115</v>
      </c>
      <c r="U370">
        <v>1</v>
      </c>
      <c r="V370" t="s">
        <v>189</v>
      </c>
      <c r="W370" t="s">
        <v>189</v>
      </c>
      <c r="X370" t="s">
        <v>172</v>
      </c>
      <c r="Y370" t="s">
        <v>424</v>
      </c>
    </row>
    <row r="371" spans="1:25" x14ac:dyDescent="0.25">
      <c r="A371" t="s">
        <v>885</v>
      </c>
      <c r="B371" s="7">
        <v>46251</v>
      </c>
      <c r="C371" t="s">
        <v>184</v>
      </c>
      <c r="D371" t="s">
        <v>170</v>
      </c>
      <c r="E371" t="s">
        <v>171</v>
      </c>
      <c r="F371" t="s">
        <v>172</v>
      </c>
      <c r="G371" t="s">
        <v>173</v>
      </c>
      <c r="H371">
        <v>70861.600000000006</v>
      </c>
      <c r="I371" t="s">
        <v>1025</v>
      </c>
      <c r="J371" t="s">
        <v>7</v>
      </c>
      <c r="K371" t="s">
        <v>1026</v>
      </c>
      <c r="L371" t="s">
        <v>1027</v>
      </c>
      <c r="M371" t="s">
        <v>286</v>
      </c>
      <c r="N371" t="s">
        <v>8</v>
      </c>
      <c r="O371" t="str">
        <f t="shared" si="6"/>
        <v>FIMATEC</v>
      </c>
      <c r="P371" s="7">
        <v>46244</v>
      </c>
      <c r="Q371" t="s">
        <v>1028</v>
      </c>
      <c r="R371" s="7">
        <v>46251</v>
      </c>
      <c r="S371" t="s">
        <v>1029</v>
      </c>
      <c r="T371" t="s">
        <v>81</v>
      </c>
      <c r="U371">
        <v>1</v>
      </c>
      <c r="V371" t="s">
        <v>189</v>
      </c>
      <c r="W371" t="s">
        <v>189</v>
      </c>
      <c r="X371" t="s">
        <v>172</v>
      </c>
      <c r="Y371" t="s">
        <v>171</v>
      </c>
    </row>
    <row r="372" spans="1:25" x14ac:dyDescent="0.25">
      <c r="A372" t="s">
        <v>885</v>
      </c>
      <c r="B372" s="7">
        <v>46251</v>
      </c>
      <c r="C372" t="s">
        <v>184</v>
      </c>
      <c r="D372" t="s">
        <v>1</v>
      </c>
      <c r="E372" t="s">
        <v>2</v>
      </c>
      <c r="F372" t="s">
        <v>172</v>
      </c>
      <c r="G372" t="s">
        <v>173</v>
      </c>
      <c r="H372">
        <v>15943.85</v>
      </c>
      <c r="I372" t="s">
        <v>1030</v>
      </c>
      <c r="J372" t="s">
        <v>7</v>
      </c>
      <c r="K372" t="s">
        <v>1031</v>
      </c>
      <c r="L372" t="s">
        <v>1032</v>
      </c>
      <c r="M372" t="s">
        <v>286</v>
      </c>
      <c r="N372" t="s">
        <v>8</v>
      </c>
      <c r="O372" t="str">
        <f t="shared" si="6"/>
        <v>FIMATEC</v>
      </c>
      <c r="P372" s="7">
        <v>46244</v>
      </c>
      <c r="Q372" t="s">
        <v>1033</v>
      </c>
      <c r="R372" s="7">
        <v>46251</v>
      </c>
      <c r="S372" t="s">
        <v>1034</v>
      </c>
      <c r="T372" t="s">
        <v>76</v>
      </c>
      <c r="U372">
        <v>1</v>
      </c>
      <c r="V372" t="s">
        <v>189</v>
      </c>
      <c r="W372" t="s">
        <v>189</v>
      </c>
      <c r="X372" t="s">
        <v>172</v>
      </c>
      <c r="Y372" t="s">
        <v>424</v>
      </c>
    </row>
    <row r="373" spans="1:25" x14ac:dyDescent="0.25">
      <c r="A373" t="s">
        <v>885</v>
      </c>
      <c r="B373" s="7">
        <v>46265</v>
      </c>
      <c r="C373" t="s">
        <v>184</v>
      </c>
      <c r="D373" t="s">
        <v>1</v>
      </c>
      <c r="E373" t="s">
        <v>2</v>
      </c>
      <c r="F373" t="s">
        <v>172</v>
      </c>
      <c r="G373" t="s">
        <v>173</v>
      </c>
      <c r="H373">
        <v>21981.19</v>
      </c>
      <c r="I373" t="s">
        <v>1035</v>
      </c>
      <c r="J373" t="s">
        <v>7</v>
      </c>
      <c r="K373" t="s">
        <v>1036</v>
      </c>
      <c r="L373" t="s">
        <v>1037</v>
      </c>
      <c r="M373" t="s">
        <v>260</v>
      </c>
      <c r="N373" t="s">
        <v>8</v>
      </c>
      <c r="O373" t="str">
        <f t="shared" si="6"/>
        <v>FIMATEC</v>
      </c>
      <c r="P373" s="7">
        <v>46254</v>
      </c>
      <c r="Q373" t="s">
        <v>1038</v>
      </c>
      <c r="R373" s="7">
        <v>46265</v>
      </c>
      <c r="S373" t="s">
        <v>1039</v>
      </c>
      <c r="T373" t="s">
        <v>76</v>
      </c>
      <c r="U373">
        <v>1</v>
      </c>
      <c r="V373" t="s">
        <v>189</v>
      </c>
      <c r="W373" t="s">
        <v>189</v>
      </c>
      <c r="X373" t="s">
        <v>172</v>
      </c>
      <c r="Y373" t="s">
        <v>424</v>
      </c>
    </row>
  </sheetData>
  <autoFilter ref="A1:O1" xr:uid="{00000000-0001-0000-0000-000000000000}"/>
  <phoneticPr fontId="0" type="noConversion"/>
  <pageMargins left="0.75" right="0.75" top="1" bottom="1" header="0.5" footer="0.5"/>
  <pageSetup paperSize="9" orientation="portrait" horizontalDpi="90" verticalDpi="90" r:id="rId1"/>
  <headerFooter alignWithMargins="0">
    <oddFooter>&amp;R&amp;1#&amp;"Calibri"&amp;22&amp;KFF8939RESTRICTED</oddFooter>
  </headerFooter>
  <customProperties>
    <customPr name="_pios_id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KSB1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Vitor Pinheiro</cp:lastModifiedBy>
  <cp:revision>1</cp:revision>
  <dcterms:created xsi:type="dcterms:W3CDTF">2023-02-13T13:05:37Z</dcterms:created>
  <dcterms:modified xsi:type="dcterms:W3CDTF">2026-09-02T11:48:42Z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c76c141-ac86-40e5-abf2-c6f60e474cee_Enabled">
    <vt:lpwstr>true</vt:lpwstr>
  </property>
  <property fmtid="{D5CDD505-2E9C-101B-9397-08002B2CF9AE}" pid="3" name="MSIP_Label_2c76c141-ac86-40e5-abf2-c6f60e474cee_SetDate">
    <vt:lpwstr>2023-03-15T12:05:24Z</vt:lpwstr>
  </property>
  <property fmtid="{D5CDD505-2E9C-101B-9397-08002B2CF9AE}" pid="4" name="MSIP_Label_2c76c141-ac86-40e5-abf2-c6f60e474cee_Method">
    <vt:lpwstr>Standard</vt:lpwstr>
  </property>
  <property fmtid="{D5CDD505-2E9C-101B-9397-08002B2CF9AE}" pid="5" name="MSIP_Label_2c76c141-ac86-40e5-abf2-c6f60e474cee_Name">
    <vt:lpwstr>2c76c141-ac86-40e5-abf2-c6f60e474cee</vt:lpwstr>
  </property>
  <property fmtid="{D5CDD505-2E9C-101B-9397-08002B2CF9AE}" pid="6" name="MSIP_Label_2c76c141-ac86-40e5-abf2-c6f60e474cee_SiteId">
    <vt:lpwstr>fcb2b37b-5da0-466b-9b83-0014b67a7c78</vt:lpwstr>
  </property>
  <property fmtid="{D5CDD505-2E9C-101B-9397-08002B2CF9AE}" pid="7" name="MSIP_Label_2c76c141-ac86-40e5-abf2-c6f60e474cee_ActionId">
    <vt:lpwstr>79835ead-bae6-49fd-a6a4-910a5ad22e4c</vt:lpwstr>
  </property>
  <property fmtid="{D5CDD505-2E9C-101B-9397-08002B2CF9AE}" pid="8" name="MSIP_Label_2c76c141-ac86-40e5-abf2-c6f60e474cee_ContentBits">
    <vt:lpwstr>2</vt:lpwstr>
  </property>
</Properties>
</file>