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\\abrblfs0001\BCS\CONTROLLING\02. CONTROLLING PROCESS\CONTROLLING 2026\00 Manufacturing Analysis\02 TSOC\01 Fixed Analysis\01 Contracts\02 KSB1\03 Segurança Industrial\"/>
    </mc:Choice>
  </mc:AlternateContent>
  <xr:revisionPtr revIDLastSave="0" documentId="13_ncr:1_{130C5B25-997C-47BC-B40E-17EA28980DFF}" xr6:coauthVersionLast="47" xr6:coauthVersionMax="47" xr10:uidLastSave="{00000000-0000-0000-0000-000000000000}"/>
  <bookViews>
    <workbookView xWindow="-110" yWindow="-110" windowWidth="19420" windowHeight="11500" tabRatio="729" firstSheet="1" activeTab="1" xr2:uid="{00000000-000D-0000-FFFF-FFFF00000000}"/>
  </bookViews>
  <sheets>
    <sheet name="Detalhes1" sheetId="9" state="hidden" r:id="rId1"/>
    <sheet name="RESUMO" sheetId="7" r:id="rId2"/>
    <sheet name="Arprotec" sheetId="5" r:id="rId3"/>
    <sheet name="SEGURPRO" sheetId="2" r:id="rId4"/>
    <sheet name="G4S" sheetId="3" r:id="rId5"/>
    <sheet name="GSS" sheetId="4" r:id="rId6"/>
    <sheet name="CM Couto" sheetId="6" r:id="rId7"/>
    <sheet name="Códigos Fornecedores" sheetId="8" r:id="rId8"/>
  </sheets>
  <definedNames>
    <definedName name="_xlnm._FilterDatabase" localSheetId="2" hidden="1">Arprotec!$A$1:$N$16</definedName>
    <definedName name="_xlnm._FilterDatabase" localSheetId="6" hidden="1">'CM Couto'!$A$1:$P$1593</definedName>
    <definedName name="_xlnm._FilterDatabase" localSheetId="4" hidden="1">G4S!$A$1:$P$8</definedName>
    <definedName name="_xlnm._FilterDatabase" localSheetId="5" hidden="1">GSS!$A$1:$O$19</definedName>
    <definedName name="_xlnm._FilterDatabase" localSheetId="3" hidden="1">SEGURPRO!$A$1:$Y$45</definedName>
  </definedNames>
  <calcPr calcId="191029" concurrentManualCount="14"/>
  <pivotCaches>
    <pivotCache cacheId="59" r:id="rId9"/>
    <pivotCache cacheId="60" r:id="rId10"/>
    <pivotCache cacheId="62" r:id="rId11"/>
    <pivotCache cacheId="69" r:id="rId12"/>
    <pivotCache cacheId="75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8" l="1"/>
  <c r="A1" i="8"/>
  <c r="G2" i="8" l="1"/>
</calcChain>
</file>

<file path=xl/sharedStrings.xml><?xml version="1.0" encoding="utf-8"?>
<sst xmlns="http://schemas.openxmlformats.org/spreadsheetml/2006/main" count="34571" uniqueCount="4191">
  <si>
    <t>2022</t>
  </si>
  <si>
    <t>1</t>
  </si>
  <si>
    <t>6711000</t>
  </si>
  <si>
    <t>Security Service</t>
  </si>
  <si>
    <t>MW09C21028</t>
  </si>
  <si>
    <t>Segurança Industrial</t>
  </si>
  <si>
    <t>Valor Security Service ref  Docto Nr  8349</t>
  </si>
  <si>
    <t>SEGURPRO VIGILANCIA PATRIMONIAL SA</t>
  </si>
  <si>
    <t/>
  </si>
  <si>
    <t>660404467</t>
  </si>
  <si>
    <t>4008045316</t>
  </si>
  <si>
    <t>GLRPZ</t>
  </si>
  <si>
    <t>2</t>
  </si>
  <si>
    <t>Valor Security Service ref  Docto Nr  8451</t>
  </si>
  <si>
    <t>660417446</t>
  </si>
  <si>
    <t>4008093280</t>
  </si>
  <si>
    <t>GMGNH</t>
  </si>
  <si>
    <t>3</t>
  </si>
  <si>
    <t>Valor Security Service ref  Docto Nr  8666</t>
  </si>
  <si>
    <t>660435669</t>
  </si>
  <si>
    <t>4008176869</t>
  </si>
  <si>
    <t>GNEDA</t>
  </si>
  <si>
    <t>6</t>
  </si>
  <si>
    <t>Valor Security Service ref  Docto Nr  8887</t>
  </si>
  <si>
    <t>660469447</t>
  </si>
  <si>
    <t>4008278952</t>
  </si>
  <si>
    <t>SERV. VIGILÂNCIA- Site BFR</t>
  </si>
  <si>
    <t>660486831</t>
  </si>
  <si>
    <t>4008292705</t>
  </si>
  <si>
    <t>GNEPP</t>
  </si>
  <si>
    <t>10</t>
  </si>
  <si>
    <t>Valor Security Service ref  Docto Nr  9266</t>
  </si>
  <si>
    <t>660515314</t>
  </si>
  <si>
    <t>4008568255</t>
  </si>
  <si>
    <t>GNLUA</t>
  </si>
  <si>
    <t>Valor Security Service ref  Docto Nr  9439</t>
  </si>
  <si>
    <t>660531592</t>
  </si>
  <si>
    <t>4008568302</t>
  </si>
  <si>
    <t>Valor Security Service ref  Docto Nr  9175</t>
  </si>
  <si>
    <t>660500530</t>
  </si>
  <si>
    <t>4008574907</t>
  </si>
  <si>
    <t>660540019</t>
  </si>
  <si>
    <t>4008595319</t>
  </si>
  <si>
    <t>4</t>
  </si>
  <si>
    <t>Valor Security Service ref  Docto Nr  8716</t>
  </si>
  <si>
    <t>660452572</t>
  </si>
  <si>
    <t>4008201971</t>
  </si>
  <si>
    <t>6280000</t>
  </si>
  <si>
    <t>Technic. spare parts</t>
  </si>
  <si>
    <t>Transferencia entre contas</t>
  </si>
  <si>
    <t>4008074495</t>
  </si>
  <si>
    <t>GMDWD</t>
  </si>
  <si>
    <t>6033000</t>
  </si>
  <si>
    <t>Contract settlement</t>
  </si>
  <si>
    <t>37OC/37U/Indenização Especial - Acordo Coletivo</t>
  </si>
  <si>
    <t>Receiv fr employees</t>
  </si>
  <si>
    <t>4008321793</t>
  </si>
  <si>
    <t>WWCAST1_HR</t>
  </si>
  <si>
    <t>917</t>
  </si>
  <si>
    <t>6020220</t>
  </si>
  <si>
    <t>Unemployment fund</t>
  </si>
  <si>
    <t>37OF/37U/Desp.FGTS Diferença 10% C/Liminar</t>
  </si>
  <si>
    <t>833</t>
  </si>
  <si>
    <t>6011000</t>
  </si>
  <si>
    <t>Salaries</t>
  </si>
  <si>
    <t>37NA/37U/Salários</t>
  </si>
  <si>
    <t>Acd Sal/Wages</t>
  </si>
  <si>
    <t>4008215962</t>
  </si>
  <si>
    <t>903</t>
  </si>
  <si>
    <t>4008624810</t>
  </si>
  <si>
    <t>889</t>
  </si>
  <si>
    <t>911</t>
  </si>
  <si>
    <t>7</t>
  </si>
  <si>
    <t>4008398351</t>
  </si>
  <si>
    <t>909</t>
  </si>
  <si>
    <t>4008177618</t>
  </si>
  <si>
    <t>840</t>
  </si>
  <si>
    <t>5</t>
  </si>
  <si>
    <t>4008266606</t>
  </si>
  <si>
    <t>896</t>
  </si>
  <si>
    <t>4008120308</t>
  </si>
  <si>
    <t>820</t>
  </si>
  <si>
    <t>8</t>
  </si>
  <si>
    <t>4008462668</t>
  </si>
  <si>
    <t>843</t>
  </si>
  <si>
    <t>4008067883</t>
  </si>
  <si>
    <t>789</t>
  </si>
  <si>
    <t>9</t>
  </si>
  <si>
    <t>4008548587</t>
  </si>
  <si>
    <t>868</t>
  </si>
  <si>
    <t>6622400</t>
  </si>
  <si>
    <t>Depr Infrastructure</t>
  </si>
  <si>
    <t>AFB30202200901 0000000072</t>
  </si>
  <si>
    <t>AccD Mach/tech Pdn</t>
  </si>
  <si>
    <t>4008556460</t>
  </si>
  <si>
    <t>SXFTMRB0</t>
  </si>
  <si>
    <t>AFB30202200701 0000000054</t>
  </si>
  <si>
    <t>4008401456</t>
  </si>
  <si>
    <t>AFB30202200401 0000000029</t>
  </si>
  <si>
    <t>4008216922</t>
  </si>
  <si>
    <t>AFB30202200601 0000000045</t>
  </si>
  <si>
    <t>4008322948</t>
  </si>
  <si>
    <t>AFB30202201001 0000000082</t>
  </si>
  <si>
    <t>4008634955</t>
  </si>
  <si>
    <t>AFB30202200501 0000000037</t>
  </si>
  <si>
    <t>4008272138</t>
  </si>
  <si>
    <t>AFB30202200801 0000000063</t>
  </si>
  <si>
    <t>4008464820</t>
  </si>
  <si>
    <t>6021550</t>
  </si>
  <si>
    <t>Health ben sal</t>
  </si>
  <si>
    <t>Lancamento Amil   Janeiro</t>
  </si>
  <si>
    <t>4008077190</t>
  </si>
  <si>
    <t>GMEYG</t>
  </si>
  <si>
    <t>269</t>
  </si>
  <si>
    <t>37NC/37U/Salarios Outros</t>
  </si>
  <si>
    <t>910</t>
  </si>
  <si>
    <t>Lancamento Amil   Outubro</t>
  </si>
  <si>
    <t>4008636189</t>
  </si>
  <si>
    <t>318</t>
  </si>
  <si>
    <t>Lancamento Amil   Marco</t>
  </si>
  <si>
    <t>4008184553</t>
  </si>
  <si>
    <t>GMDWF</t>
  </si>
  <si>
    <t>6020300</t>
  </si>
  <si>
    <t>Soc sec cont-severan</t>
  </si>
  <si>
    <t>37NP/37U/Contribuição Inst.de Previdência</t>
  </si>
  <si>
    <t>837</t>
  </si>
  <si>
    <t>Lancamento Amil   Junho</t>
  </si>
  <si>
    <t>4008325777</t>
  </si>
  <si>
    <t>319</t>
  </si>
  <si>
    <t>Lancamento Amil   Agosto</t>
  </si>
  <si>
    <t>4008469246</t>
  </si>
  <si>
    <t>Lancamento Amil   Setembro</t>
  </si>
  <si>
    <t>4008559273</t>
  </si>
  <si>
    <t>320</t>
  </si>
  <si>
    <t>Lançamento Amil - Maio</t>
  </si>
  <si>
    <t>4008273539</t>
  </si>
  <si>
    <t>GMDGB</t>
  </si>
  <si>
    <t>Lancamento Amil   Fevereiro</t>
  </si>
  <si>
    <t>4008131937</t>
  </si>
  <si>
    <t>Lançamento Amil - Julho</t>
  </si>
  <si>
    <t>4008404306</t>
  </si>
  <si>
    <t>902</t>
  </si>
  <si>
    <t>819</t>
  </si>
  <si>
    <t>Lançamento Amil - Abril</t>
  </si>
  <si>
    <t>4008221813</t>
  </si>
  <si>
    <t>888</t>
  </si>
  <si>
    <t>788</t>
  </si>
  <si>
    <t>895</t>
  </si>
  <si>
    <t>908</t>
  </si>
  <si>
    <t>839</t>
  </si>
  <si>
    <t>842</t>
  </si>
  <si>
    <t>867</t>
  </si>
  <si>
    <t>6831400</t>
  </si>
  <si>
    <t>Catering</t>
  </si>
  <si>
    <t>Lançamento Ticket - Maio</t>
  </si>
  <si>
    <t>643</t>
  </si>
  <si>
    <t>AFB30202200201 0000000013</t>
  </si>
  <si>
    <t>4008127004</t>
  </si>
  <si>
    <t>AFB30202200101 0000000004</t>
  </si>
  <si>
    <t>4008070834</t>
  </si>
  <si>
    <t>AFB30202200301 0000000021</t>
  </si>
  <si>
    <t>4008179888</t>
  </si>
  <si>
    <t>782</t>
  </si>
  <si>
    <t>812</t>
  </si>
  <si>
    <t>855</t>
  </si>
  <si>
    <t>832</t>
  </si>
  <si>
    <t>848</t>
  </si>
  <si>
    <t>835</t>
  </si>
  <si>
    <t>860</t>
  </si>
  <si>
    <t>6011700</t>
  </si>
  <si>
    <t>Overtime Premium-sal</t>
  </si>
  <si>
    <t>37NF/37U/Horas Extras</t>
  </si>
  <si>
    <t>745</t>
  </si>
  <si>
    <t>6011100</t>
  </si>
  <si>
    <t>Vacation Comp-Sal</t>
  </si>
  <si>
    <t>37NN/37U/Provisão Pagto Férias DL 1730/79</t>
  </si>
  <si>
    <t>893</t>
  </si>
  <si>
    <t>779</t>
  </si>
  <si>
    <t>826</t>
  </si>
  <si>
    <t>Lançamento Ticket - Julho</t>
  </si>
  <si>
    <t>644</t>
  </si>
  <si>
    <t>787</t>
  </si>
  <si>
    <t>Lancamento Ticket   Fevereiro</t>
  </si>
  <si>
    <t>834</t>
  </si>
  <si>
    <t>817</t>
  </si>
  <si>
    <t>6622000</t>
  </si>
  <si>
    <t>Depr Buildings</t>
  </si>
  <si>
    <t>AFB30202200101 0000000003</t>
  </si>
  <si>
    <t>AccD Buildings</t>
  </si>
  <si>
    <t>4008070833</t>
  </si>
  <si>
    <t>34</t>
  </si>
  <si>
    <t>AFB30202200501 0000000036</t>
  </si>
  <si>
    <t>4008272137</t>
  </si>
  <si>
    <t>35</t>
  </si>
  <si>
    <t>AFB30202200701 0000000053</t>
  </si>
  <si>
    <t>4008401455</t>
  </si>
  <si>
    <t>AFB30202200901 0000000071</t>
  </si>
  <si>
    <t>4008556459</t>
  </si>
  <si>
    <t>32</t>
  </si>
  <si>
    <t>AFB30202200301 0000000020</t>
  </si>
  <si>
    <t>4008179887</t>
  </si>
  <si>
    <t>AFB30202200601 0000000044</t>
  </si>
  <si>
    <t>4008322947</t>
  </si>
  <si>
    <t>AFB30202201001 0000000081</t>
  </si>
  <si>
    <t>4008634954</t>
  </si>
  <si>
    <t>AFB30202200201 0000000012</t>
  </si>
  <si>
    <t>4008127003</t>
  </si>
  <si>
    <t>AFB30202200401 0000000028</t>
  </si>
  <si>
    <t>4008216921</t>
  </si>
  <si>
    <t>AFB30202200801 0000000062</t>
  </si>
  <si>
    <t>4008464819</t>
  </si>
  <si>
    <t>33</t>
  </si>
  <si>
    <t>Lancamento Ticket   Marco</t>
  </si>
  <si>
    <t>37NG/37U/Horas Extras Revezamento</t>
  </si>
  <si>
    <t>905</t>
  </si>
  <si>
    <t>791</t>
  </si>
  <si>
    <t>6121001</t>
  </si>
  <si>
    <t>Electricity fix</t>
  </si>
  <si>
    <t>MW4A010014MW09C21027 Energia Eletrica Fi</t>
  </si>
  <si>
    <t>Alocações Periódicas</t>
  </si>
  <si>
    <t>Cost center</t>
  </si>
  <si>
    <t>4400017100</t>
  </si>
  <si>
    <t>235</t>
  </si>
  <si>
    <t>886</t>
  </si>
  <si>
    <t>4400016800</t>
  </si>
  <si>
    <t>211</t>
  </si>
  <si>
    <t>906</t>
  </si>
  <si>
    <t>865</t>
  </si>
  <si>
    <t>829</t>
  </si>
  <si>
    <t>6012500</t>
  </si>
  <si>
    <t>Bonuses workers</t>
  </si>
  <si>
    <t>Lancto RH Bonuses workers</t>
  </si>
  <si>
    <t>ST:Pr CB mESTI a/i</t>
  </si>
  <si>
    <t>4008074601</t>
  </si>
  <si>
    <t>BRZFX_HR</t>
  </si>
  <si>
    <t>103</t>
  </si>
  <si>
    <t>Lançamento Ticket - Abril</t>
  </si>
  <si>
    <t>4008177291</t>
  </si>
  <si>
    <t>105</t>
  </si>
  <si>
    <t>4008216490</t>
  </si>
  <si>
    <t>65</t>
  </si>
  <si>
    <t>6624030</t>
  </si>
  <si>
    <t>Depr Transp.</t>
  </si>
  <si>
    <t>AFB30202200901 0000000074</t>
  </si>
  <si>
    <t>AccD RoU F/Fix</t>
  </si>
  <si>
    <t>4008556462</t>
  </si>
  <si>
    <t>12</t>
  </si>
  <si>
    <t>AFB30202201001 0000000083</t>
  </si>
  <si>
    <t>AccD Funit./Fix.</t>
  </si>
  <si>
    <t>4008634956</t>
  </si>
  <si>
    <t>75</t>
  </si>
  <si>
    <t>GL_STI_100</t>
  </si>
  <si>
    <t>4008272289</t>
  </si>
  <si>
    <t>99</t>
  </si>
  <si>
    <t>4008634854</t>
  </si>
  <si>
    <t>147</t>
  </si>
  <si>
    <t>4008325210</t>
  </si>
  <si>
    <t>57</t>
  </si>
  <si>
    <t>4400016300</t>
  </si>
  <si>
    <t>239</t>
  </si>
  <si>
    <t>4008557745</t>
  </si>
  <si>
    <t>151</t>
  </si>
  <si>
    <t>4008468083</t>
  </si>
  <si>
    <t>59</t>
  </si>
  <si>
    <t>4008403228</t>
  </si>
  <si>
    <t>144</t>
  </si>
  <si>
    <t>8261000</t>
  </si>
  <si>
    <t>FAM Settl Prim Mat</t>
  </si>
  <si>
    <t>CTR H353/MW09C21028</t>
  </si>
  <si>
    <t>IE MW09C21028 SEG INDUSTRIAL - 2022</t>
  </si>
  <si>
    <t>Order</t>
  </si>
  <si>
    <t>4600131265</t>
  </si>
  <si>
    <t>SXFTM000</t>
  </si>
  <si>
    <t>6011530</t>
  </si>
  <si>
    <t>13th month rem sal</t>
  </si>
  <si>
    <t>37NI/37U/13º Salário</t>
  </si>
  <si>
    <t>884</t>
  </si>
  <si>
    <t>4600139966</t>
  </si>
  <si>
    <t>4008126879</t>
  </si>
  <si>
    <t>96</t>
  </si>
  <si>
    <t>AFB30202200701 0000000056</t>
  </si>
  <si>
    <t>4008401458</t>
  </si>
  <si>
    <t>30</t>
  </si>
  <si>
    <t>AFB30202200501 0000000039</t>
  </si>
  <si>
    <t>4008272140</t>
  </si>
  <si>
    <t>AFB30202200601 0000000047</t>
  </si>
  <si>
    <t>4008322950</t>
  </si>
  <si>
    <t>AFB30202200801 0000000065</t>
  </si>
  <si>
    <t>4008464823</t>
  </si>
  <si>
    <t>11</t>
  </si>
  <si>
    <t>Reparos acidene tubul Incendio</t>
  </si>
  <si>
    <t>4600139968</t>
  </si>
  <si>
    <t>4400016501</t>
  </si>
  <si>
    <t>237</t>
  </si>
  <si>
    <t>6890000</t>
  </si>
  <si>
    <t>3d party pers</t>
  </si>
  <si>
    <t>Valor 3d party pers ref  Docto Nr  43000</t>
  </si>
  <si>
    <t>META RECRUTAMENTO E SELECAO DE</t>
  </si>
  <si>
    <t>660414428</t>
  </si>
  <si>
    <t>4008069583</t>
  </si>
  <si>
    <t>EIMOH</t>
  </si>
  <si>
    <t>8262000</t>
  </si>
  <si>
    <t>FAM Settl Serv (Ext)</t>
  </si>
  <si>
    <t>4600138390</t>
  </si>
  <si>
    <t>863</t>
  </si>
  <si>
    <t>4400015806</t>
  </si>
  <si>
    <t>213</t>
  </si>
  <si>
    <t>838</t>
  </si>
  <si>
    <t>4600136642</t>
  </si>
  <si>
    <t>825</t>
  </si>
  <si>
    <t>871</t>
  </si>
  <si>
    <t>891</t>
  </si>
  <si>
    <t>900</t>
  </si>
  <si>
    <t>746</t>
  </si>
  <si>
    <t>4600134811</t>
  </si>
  <si>
    <t>898</t>
  </si>
  <si>
    <t>6011540</t>
  </si>
  <si>
    <t>Oth premium sal</t>
  </si>
  <si>
    <t>37NM/37U/Gratificação Ajustada Espontânea</t>
  </si>
  <si>
    <t>794</t>
  </si>
  <si>
    <t>744</t>
  </si>
  <si>
    <t>Lancamento Ticket   Outubro</t>
  </si>
  <si>
    <t>Clg Cross System-gen</t>
  </si>
  <si>
    <t>4008636191</t>
  </si>
  <si>
    <t>48</t>
  </si>
  <si>
    <t>818</t>
  </si>
  <si>
    <t>828</t>
  </si>
  <si>
    <t>811</t>
  </si>
  <si>
    <t>767</t>
  </si>
  <si>
    <t>831</t>
  </si>
  <si>
    <t>790</t>
  </si>
  <si>
    <t>4600138389</t>
  </si>
  <si>
    <t>815</t>
  </si>
  <si>
    <t>6624010</t>
  </si>
  <si>
    <t>Depr IT-Hardware</t>
  </si>
  <si>
    <t>AFB30202200201 0000000014</t>
  </si>
  <si>
    <t>4008127005</t>
  </si>
  <si>
    <t>36</t>
  </si>
  <si>
    <t>AFB30202200401 0000000030</t>
  </si>
  <si>
    <t>4008216923</t>
  </si>
  <si>
    <t>AFB30202200701 0000000055</t>
  </si>
  <si>
    <t>4008401457</t>
  </si>
  <si>
    <t>40</t>
  </si>
  <si>
    <t>39</t>
  </si>
  <si>
    <t>AFB30202200101 0000000005</t>
  </si>
  <si>
    <t>4008070835</t>
  </si>
  <si>
    <t>38</t>
  </si>
  <si>
    <t>AFB30202200301 0000000022</t>
  </si>
  <si>
    <t>4008179889</t>
  </si>
  <si>
    <t>AFB30202200501 0000000038</t>
  </si>
  <si>
    <t>4008272139</t>
  </si>
  <si>
    <t>47</t>
  </si>
  <si>
    <t>AFB30202200601 0000000046</t>
  </si>
  <si>
    <t>4008322949</t>
  </si>
  <si>
    <t>AFB30202200801 0000000064</t>
  </si>
  <si>
    <t>4008464821</t>
  </si>
  <si>
    <t>AFB30202200901 0000000073</t>
  </si>
  <si>
    <t>4008556461</t>
  </si>
  <si>
    <t>AFB30202200101 0000000006</t>
  </si>
  <si>
    <t>AccDDemo equip LsdOT</t>
  </si>
  <si>
    <t>4008070836</t>
  </si>
  <si>
    <t>17</t>
  </si>
  <si>
    <t>AFB30202200301 0000000023</t>
  </si>
  <si>
    <t>4008179890</t>
  </si>
  <si>
    <t>25</t>
  </si>
  <si>
    <t>AFB30202200401 0000000031</t>
  </si>
  <si>
    <t>4008216924</t>
  </si>
  <si>
    <t>44</t>
  </si>
  <si>
    <t>AFB30202200201 0000000015</t>
  </si>
  <si>
    <t>4008127006</t>
  </si>
  <si>
    <t>16</t>
  </si>
  <si>
    <t>785</t>
  </si>
  <si>
    <t>4600135122</t>
  </si>
  <si>
    <t>6876000</t>
  </si>
  <si>
    <t>Municip+regional tax</t>
  </si>
  <si>
    <t>URG DOC 302572</t>
  </si>
  <si>
    <t>PREFEITURA MUNICIPAL BELFORD ROXO</t>
  </si>
  <si>
    <t>4008085112</t>
  </si>
  <si>
    <t>MAN 2021 REDE DE INCENDIO BR</t>
  </si>
  <si>
    <t>4600131264</t>
  </si>
  <si>
    <t>6021130</t>
  </si>
  <si>
    <t>Pay Ins Accid sal</t>
  </si>
  <si>
    <t>37NY/37U/Seguro Contra Acidentes de Trabalho</t>
  </si>
  <si>
    <t>904</t>
  </si>
  <si>
    <t>6829990</t>
  </si>
  <si>
    <t>Other travel cost</t>
  </si>
  <si>
    <t>Manutenção corretiva/06169225/58107958A9DE4101BDDD</t>
  </si>
  <si>
    <t>Weverson Farias</t>
  </si>
  <si>
    <t>4008153049</t>
  </si>
  <si>
    <t>SXIDOCXI</t>
  </si>
  <si>
    <t>6200000</t>
  </si>
  <si>
    <t>Maint &amp; Leg/Co.Compl</t>
  </si>
  <si>
    <t>M-0805 CABO OPTICO DE 6 VIAS</t>
  </si>
  <si>
    <t>GR/IR Clg NI MM</t>
  </si>
  <si>
    <t>614456068</t>
  </si>
  <si>
    <t>4008193333</t>
  </si>
  <si>
    <t>BRMNJ</t>
  </si>
  <si>
    <t>37NX/37U/Salário Educação LEI 4440/64</t>
  </si>
  <si>
    <t>6121000</t>
  </si>
  <si>
    <t>Electricity var</t>
  </si>
  <si>
    <t>MW4A010010MW09C21027 Energia Eletrica Va</t>
  </si>
  <si>
    <t>4400017800</t>
  </si>
  <si>
    <t>139</t>
  </si>
  <si>
    <t>6879990</t>
  </si>
  <si>
    <t>Other taxes</t>
  </si>
  <si>
    <t>Credito de PIS e COFINS sobre a depreciacao MAI 20</t>
  </si>
  <si>
    <t>Inp Tax COFINS (BR)</t>
  </si>
  <si>
    <t>4008237712</t>
  </si>
  <si>
    <t>GMGLN</t>
  </si>
  <si>
    <t>42</t>
  </si>
  <si>
    <t>6715000</t>
  </si>
  <si>
    <t>Fire prevent serv.</t>
  </si>
  <si>
    <t>Valor Fire prevent serv  ref  Docto Nr  36300</t>
  </si>
  <si>
    <t>C M COUTO SIST CONTRA INCENDIO L</t>
  </si>
  <si>
    <t>660401816</t>
  </si>
  <si>
    <t>4008034721</t>
  </si>
  <si>
    <t>Inspeção e Manutenção de Rede Incêndio</t>
  </si>
  <si>
    <t>660417439</t>
  </si>
  <si>
    <t>4008090765</t>
  </si>
  <si>
    <t>Valor Fire prevent serv  ref  Docto Nr  36614</t>
  </si>
  <si>
    <t>660435028</t>
  </si>
  <si>
    <t>4008150432</t>
  </si>
  <si>
    <t>Valor Fire prevent serv  ref  Docto Nr  36890</t>
  </si>
  <si>
    <t>660452568</t>
  </si>
  <si>
    <t>4008206138</t>
  </si>
  <si>
    <t>Valor Fire prevent serv  ref  Docto Nr  36963</t>
  </si>
  <si>
    <t>660469035</t>
  </si>
  <si>
    <t>4008242458</t>
  </si>
  <si>
    <t>Valor Fire prevent serv  ref  Docto Nr  37268</t>
  </si>
  <si>
    <t>660485007</t>
  </si>
  <si>
    <t>4008318381</t>
  </si>
  <si>
    <t>Valor Fire prevent serv  ref  Docto Nr  37355</t>
  </si>
  <si>
    <t>660500562</t>
  </si>
  <si>
    <t>4008347664</t>
  </si>
  <si>
    <t>Valor Fire prevent serv  ref  Docto Nr  37521</t>
  </si>
  <si>
    <t>660515481</t>
  </si>
  <si>
    <t>4008414637</t>
  </si>
  <si>
    <t>660532978</t>
  </si>
  <si>
    <t>4008495670</t>
  </si>
  <si>
    <t>660540611</t>
  </si>
  <si>
    <t>4008579510</t>
  </si>
  <si>
    <t>Valor Fire prevent serv  ref  Docto Nr  38154</t>
  </si>
  <si>
    <t>660564473</t>
  </si>
  <si>
    <t>4008655760</t>
  </si>
  <si>
    <t>URG IPTU 35135</t>
  </si>
  <si>
    <t>4008091834</t>
  </si>
  <si>
    <t>GNEDC</t>
  </si>
  <si>
    <t>Valor do documento Nr  26537 1</t>
  </si>
  <si>
    <t>660469816</t>
  </si>
  <si>
    <t>4008410962</t>
  </si>
  <si>
    <t>GMGNT</t>
  </si>
  <si>
    <t>Reparo em linha de incêndio próxima ao p</t>
  </si>
  <si>
    <t>4600134474</t>
  </si>
  <si>
    <t>6873000</t>
  </si>
  <si>
    <t>Automobile Tax</t>
  </si>
  <si>
    <t>Reclassif. IPVA 2022</t>
  </si>
  <si>
    <t>4008070196</t>
  </si>
  <si>
    <t>4600133430</t>
  </si>
  <si>
    <t>821</t>
  </si>
  <si>
    <t>Valor Security Service ref  Docto Nr  413</t>
  </si>
  <si>
    <t>GSS SEGURANCA LTDA</t>
  </si>
  <si>
    <t>660452560</t>
  </si>
  <si>
    <t>4008199345</t>
  </si>
  <si>
    <t>Valor Security Service ref  Docto Nr  414</t>
  </si>
  <si>
    <t>660444383</t>
  </si>
  <si>
    <t>4008199346</t>
  </si>
  <si>
    <t>Valor Security Service ref  Docto Nr  423</t>
  </si>
  <si>
    <t>660469033</t>
  </si>
  <si>
    <t>4008253829</t>
  </si>
  <si>
    <t>SEGURANÇA PATRIMONIAL - BELFORD ROXO</t>
  </si>
  <si>
    <t>660485001</t>
  </si>
  <si>
    <t>4008292056</t>
  </si>
  <si>
    <t>660500557</t>
  </si>
  <si>
    <t>4008342156</t>
  </si>
  <si>
    <t>Valor Security Service ref  Docto Nr  441</t>
  </si>
  <si>
    <t>660515476</t>
  </si>
  <si>
    <t>4008422564</t>
  </si>
  <si>
    <t>660532976</t>
  </si>
  <si>
    <t>4008495809</t>
  </si>
  <si>
    <t>660540609</t>
  </si>
  <si>
    <t>4008579599</t>
  </si>
  <si>
    <t>Valor Security Service ref  Docto Nr  464</t>
  </si>
  <si>
    <t>660564444</t>
  </si>
  <si>
    <t>4008664168</t>
  </si>
  <si>
    <t>Lancamento Ticket   Agosto</t>
  </si>
  <si>
    <t>4008469248</t>
  </si>
  <si>
    <t>Valor Security Service ref  Docto Nr  15687</t>
  </si>
  <si>
    <t>G4S ENGENHARIA E SISTEMAS LTDA</t>
  </si>
  <si>
    <t>660402547</t>
  </si>
  <si>
    <t>4008048892</t>
  </si>
  <si>
    <t>Valor Security Service ref  Docto Nr  16162</t>
  </si>
  <si>
    <t>660417440</t>
  </si>
  <si>
    <t>4008162375</t>
  </si>
  <si>
    <t>Valor Security Service ref  Docto Nr  16725</t>
  </si>
  <si>
    <t>660435605</t>
  </si>
  <si>
    <t>4008185718</t>
  </si>
  <si>
    <t>Valor Security Service ref  Docto Nr  17151</t>
  </si>
  <si>
    <t>660452562</t>
  </si>
  <si>
    <t>4008212570</t>
  </si>
  <si>
    <t>Valor Security Service ref  Docto Nr  18780</t>
  </si>
  <si>
    <t>660515480</t>
  </si>
  <si>
    <t>4008414510</t>
  </si>
  <si>
    <t>MAN.PREVENTIVA CONTROLE ACESSO BELFORD R</t>
  </si>
  <si>
    <t>660531973</t>
  </si>
  <si>
    <t>4008521936</t>
  </si>
  <si>
    <t>660540610</t>
  </si>
  <si>
    <t>4008588880</t>
  </si>
  <si>
    <t>6020350</t>
  </si>
  <si>
    <t>Accr soc-sec. contr.</t>
  </si>
  <si>
    <t>37OD/37U/Provisão Encargos Sociais S/Férias DL 173</t>
  </si>
  <si>
    <t>713</t>
  </si>
  <si>
    <t>841</t>
  </si>
  <si>
    <t>866</t>
  </si>
  <si>
    <t>870</t>
  </si>
  <si>
    <t>6042050</t>
  </si>
  <si>
    <t>Rem. limited dur.</t>
  </si>
  <si>
    <t>37NA/37W/Salários</t>
  </si>
  <si>
    <t>4008624809</t>
  </si>
  <si>
    <t>102</t>
  </si>
  <si>
    <t>887</t>
  </si>
  <si>
    <t>913</t>
  </si>
  <si>
    <t>Valor Security Service ref  Docto Nr  392</t>
  </si>
  <si>
    <t>660401815</t>
  </si>
  <si>
    <t>4008035625</t>
  </si>
  <si>
    <t>GEMKD</t>
  </si>
  <si>
    <t>Valor Security Service ref  Docto Nr  394</t>
  </si>
  <si>
    <t>660417438</t>
  </si>
  <si>
    <t>4008090051</t>
  </si>
  <si>
    <t>Reparo - Portão Estacionamento</t>
  </si>
  <si>
    <t>4600138165</t>
  </si>
  <si>
    <t>Folha Temporarios BCS-BFR-META 02/2022</t>
  </si>
  <si>
    <t>660428675</t>
  </si>
  <si>
    <t>4008136359</t>
  </si>
  <si>
    <t>85</t>
  </si>
  <si>
    <t>6020320</t>
  </si>
  <si>
    <t>Contingency fund</t>
  </si>
  <si>
    <t>37PE/37U/Encargos sobre 13o salário</t>
  </si>
  <si>
    <t>885</t>
  </si>
  <si>
    <t>4400017600</t>
  </si>
  <si>
    <t>6719990</t>
  </si>
  <si>
    <t>Other site services</t>
  </si>
  <si>
    <t>Locação Uniformes e Toalhas</t>
  </si>
  <si>
    <t>ALSCO TOALHEIRO BRASIL LTDA</t>
  </si>
  <si>
    <t>660452451</t>
  </si>
  <si>
    <t>4008199638</t>
  </si>
  <si>
    <t>660471158</t>
  </si>
  <si>
    <t>4008253524</t>
  </si>
  <si>
    <t>660489033</t>
  </si>
  <si>
    <t>4008296222</t>
  </si>
  <si>
    <t>660501132</t>
  </si>
  <si>
    <t>4008341873</t>
  </si>
  <si>
    <t>660517119</t>
  </si>
  <si>
    <t>4008426855</t>
  </si>
  <si>
    <t>660533691</t>
  </si>
  <si>
    <t>4008499862</t>
  </si>
  <si>
    <t>660551829</t>
  </si>
  <si>
    <t>4008602432</t>
  </si>
  <si>
    <t>Valor Fire prevent serv  ref  Docto Nr  37518</t>
  </si>
  <si>
    <t>660512172</t>
  </si>
  <si>
    <t>4008414638</t>
  </si>
  <si>
    <t>4600128609</t>
  </si>
  <si>
    <t>783</t>
  </si>
  <si>
    <t>813</t>
  </si>
  <si>
    <t>Inspecao e Manutencao de Rede Incendio</t>
  </si>
  <si>
    <t>614091459</t>
  </si>
  <si>
    <t>4008135062</t>
  </si>
  <si>
    <t>GGUDG</t>
  </si>
  <si>
    <t>4400018100</t>
  </si>
  <si>
    <t>61</t>
  </si>
  <si>
    <t>4400018201</t>
  </si>
  <si>
    <t>907</t>
  </si>
  <si>
    <t>Manutenção Preventiva/06169225/8AC2D051328F4702A38</t>
  </si>
  <si>
    <t>4008106970</t>
  </si>
  <si>
    <t>897</t>
  </si>
  <si>
    <t>4400017400</t>
  </si>
  <si>
    <t>4400017300</t>
  </si>
  <si>
    <t>864</t>
  </si>
  <si>
    <t>784</t>
  </si>
  <si>
    <t>4008070199</t>
  </si>
  <si>
    <t>31</t>
  </si>
  <si>
    <t>892</t>
  </si>
  <si>
    <t>836</t>
  </si>
  <si>
    <t>660401485</t>
  </si>
  <si>
    <t>4008021898</t>
  </si>
  <si>
    <t>660419939</t>
  </si>
  <si>
    <t>4008090730</t>
  </si>
  <si>
    <t>660436708</t>
  </si>
  <si>
    <t>4008155543</t>
  </si>
  <si>
    <t>4008162344</t>
  </si>
  <si>
    <t>814</t>
  </si>
  <si>
    <t>861</t>
  </si>
  <si>
    <t>6420000</t>
  </si>
  <si>
    <t>Transports</t>
  </si>
  <si>
    <t>Valor Transports ref  Docto Nr  625</t>
  </si>
  <si>
    <t>SEGURPRO TEC SIST SEG ELET INC LTDA</t>
  </si>
  <si>
    <t>4008202970</t>
  </si>
  <si>
    <t>882</t>
  </si>
  <si>
    <t>894</t>
  </si>
  <si>
    <t>890</t>
  </si>
  <si>
    <t>137</t>
  </si>
  <si>
    <t>883</t>
  </si>
  <si>
    <t>792</t>
  </si>
  <si>
    <t>Valor do documento Nr  3630 1</t>
  </si>
  <si>
    <t>HELIO DAISUKE KOBAYASHI INFORM ME</t>
  </si>
  <si>
    <t>660524016</t>
  </si>
  <si>
    <t>4008563461</t>
  </si>
  <si>
    <t>Troca de bateria - partida MB Incendio</t>
  </si>
  <si>
    <t>4600133431</t>
  </si>
  <si>
    <t>899</t>
  </si>
  <si>
    <t>6451000</t>
  </si>
  <si>
    <t>Carrier Fees Voice</t>
  </si>
  <si>
    <t>Troca de equipamqnto IPad/06169225/B6FA768F86C8487</t>
  </si>
  <si>
    <t>4008448789</t>
  </si>
  <si>
    <t>52</t>
  </si>
  <si>
    <t>71</t>
  </si>
  <si>
    <t>847</t>
  </si>
  <si>
    <t>4008177617</t>
  </si>
  <si>
    <t>645</t>
  </si>
  <si>
    <t>862</t>
  </si>
  <si>
    <t>Folha Temporarios BCS-BFR-META 10/2022</t>
  </si>
  <si>
    <t>660561103</t>
  </si>
  <si>
    <t>4008627328</t>
  </si>
  <si>
    <t>4008321792</t>
  </si>
  <si>
    <t>691</t>
  </si>
  <si>
    <t>6032730</t>
  </si>
  <si>
    <t>Exp emp con-ded</t>
  </si>
  <si>
    <t>37PA/37U/Contribuição a Previdencia Privada</t>
  </si>
  <si>
    <t>Remanej.tub.rejeitoETA/AP Qd5600</t>
  </si>
  <si>
    <t>4600133407</t>
  </si>
  <si>
    <t>781</t>
  </si>
  <si>
    <t>747</t>
  </si>
  <si>
    <t>4008120307</t>
  </si>
  <si>
    <t>981</t>
  </si>
  <si>
    <t>Valor Fire prevent serv  ref  Docto Nr  36984</t>
  </si>
  <si>
    <t>660469659</t>
  </si>
  <si>
    <t>4008245327</t>
  </si>
  <si>
    <t>4600138163</t>
  </si>
  <si>
    <t>4008215961</t>
  </si>
  <si>
    <t>629</t>
  </si>
  <si>
    <t>E. Elétrica variável</t>
  </si>
  <si>
    <t>4008635700</t>
  </si>
  <si>
    <t>GNZIM</t>
  </si>
  <si>
    <t>26</t>
  </si>
  <si>
    <t>4600141364</t>
  </si>
  <si>
    <t>6031130</t>
  </si>
  <si>
    <t>Group ins salaries</t>
  </si>
  <si>
    <t>Lancamento Seguro de Vida   Agosto</t>
  </si>
  <si>
    <t>728</t>
  </si>
  <si>
    <t>Valor Fire prevent serv  ref  Docto Nr  37466</t>
  </si>
  <si>
    <t>660509695</t>
  </si>
  <si>
    <t>4008400976</t>
  </si>
  <si>
    <t>6101000</t>
  </si>
  <si>
    <t>Water var</t>
  </si>
  <si>
    <t>MW4A010008MW09C21027 Ág. Processo</t>
  </si>
  <si>
    <t>816</t>
  </si>
  <si>
    <t>901</t>
  </si>
  <si>
    <t>Valor do documento NF 439</t>
  </si>
  <si>
    <t>4008383911</t>
  </si>
  <si>
    <t>4008045317</t>
  </si>
  <si>
    <t>Valor Security Service ref  Docto Nr  468</t>
  </si>
  <si>
    <t>4008093241</t>
  </si>
  <si>
    <t>Valor Security Service ref  Docto Nr  750</t>
  </si>
  <si>
    <t>4008278950</t>
  </si>
  <si>
    <t>VALOR DOCUMENTO 768</t>
  </si>
  <si>
    <t>4008292610</t>
  </si>
  <si>
    <t>Valor Security Service ref  Docto Nr  1069</t>
  </si>
  <si>
    <t>4008568046</t>
  </si>
  <si>
    <t>Valor Security Service ref  Docto Nr  1009</t>
  </si>
  <si>
    <t>4008568426</t>
  </si>
  <si>
    <t>Valor Security Service ref  Docto Nr  972</t>
  </si>
  <si>
    <t>4008573306</t>
  </si>
  <si>
    <t>Valor do documento Nr  1137</t>
  </si>
  <si>
    <t>4008597875</t>
  </si>
  <si>
    <t>6320000</t>
  </si>
  <si>
    <t>Supplies</t>
  </si>
  <si>
    <t>MATERIAIS (outros)</t>
  </si>
  <si>
    <t>GEFORME VENDA S DE M E E LTDA</t>
  </si>
  <si>
    <t>660515265</t>
  </si>
  <si>
    <t>4008494044</t>
  </si>
  <si>
    <t>Manutenção de Veículos Emergenciais Segurança Indu</t>
  </si>
  <si>
    <t>Mauricio Martins De Souza</t>
  </si>
  <si>
    <t>4008029940</t>
  </si>
  <si>
    <t>Valor Transports ref  Docto Nr  594</t>
  </si>
  <si>
    <t>4008176763</t>
  </si>
  <si>
    <t>Valor 3d party pers ref  Docto Nr  44945</t>
  </si>
  <si>
    <t>660543966</t>
  </si>
  <si>
    <t>4008555869</t>
  </si>
  <si>
    <t>Valor Fire prevent serv  ref  Docto Nr  37532</t>
  </si>
  <si>
    <t>660512171</t>
  </si>
  <si>
    <t>4008414640</t>
  </si>
  <si>
    <t>Valor 3d party pers ref  Docto Nr  44396</t>
  </si>
  <si>
    <t>660509620</t>
  </si>
  <si>
    <t>4008395566</t>
  </si>
  <si>
    <t>Valor 3d party pers ref  Docto Nr  44724</t>
  </si>
  <si>
    <t>660526172</t>
  </si>
  <si>
    <t>4008468490</t>
  </si>
  <si>
    <t>786</t>
  </si>
  <si>
    <t>6542000</t>
  </si>
  <si>
    <t>Environmental serv</t>
  </si>
  <si>
    <t>Valor Environmental serv ref  Docto Nr  390</t>
  </si>
  <si>
    <t>ARPROTEC COM SERV EIRELI EPP</t>
  </si>
  <si>
    <t>660417442</t>
  </si>
  <si>
    <t>4008155177</t>
  </si>
  <si>
    <t>Valor Environmental serv ref  Docto Nr  393</t>
  </si>
  <si>
    <t>660434911</t>
  </si>
  <si>
    <t>4008155212</t>
  </si>
  <si>
    <t>Valor Environmental serv ref  Docto Nr  395</t>
  </si>
  <si>
    <t>660452561</t>
  </si>
  <si>
    <t>4008195986</t>
  </si>
  <si>
    <t>Valor Environmental serv ref  Docto Nr  400</t>
  </si>
  <si>
    <t>660469034</t>
  </si>
  <si>
    <t>4008242504</t>
  </si>
  <si>
    <t>Valor Environmental serv ref  Docto Nr  402</t>
  </si>
  <si>
    <t>660485004</t>
  </si>
  <si>
    <t>4008287059</t>
  </si>
  <si>
    <t>Valor Environmental serv ref  Docto Nr  404</t>
  </si>
  <si>
    <t>660500559</t>
  </si>
  <si>
    <t>4008349695</t>
  </si>
  <si>
    <t>Valor Environmental serv ref  Docto Nr  407</t>
  </si>
  <si>
    <t>660515478</t>
  </si>
  <si>
    <t>4008414474</t>
  </si>
  <si>
    <t>Valor Environmental serv ref  Docto Nr  411</t>
  </si>
  <si>
    <t>660532977</t>
  </si>
  <si>
    <t>4008487457</t>
  </si>
  <si>
    <t>MANUT.PREVENTIVA COMPRESSORES AR</t>
  </si>
  <si>
    <t>660540608</t>
  </si>
  <si>
    <t>4008579440</t>
  </si>
  <si>
    <t>Valor Environmental serv ref  Docto Nr  418</t>
  </si>
  <si>
    <t>660564443</t>
  </si>
  <si>
    <t>4008652566</t>
  </si>
  <si>
    <t>Lançamento Seguro de Vida - Abril</t>
  </si>
  <si>
    <t>135</t>
  </si>
  <si>
    <t>4008070200</t>
  </si>
  <si>
    <t>28</t>
  </si>
  <si>
    <t>Politica Bayphone/07615008/A0350EAD9C5A44EBB43C/Re</t>
  </si>
  <si>
    <t>Jean Santos</t>
  </si>
  <si>
    <t>4008577739</t>
  </si>
  <si>
    <t>Manutenção Veículo Executivo Segurança Industrial/</t>
  </si>
  <si>
    <t>4008376311</t>
  </si>
  <si>
    <t>Valor Environmental serv ref  Docto Nr  382</t>
  </si>
  <si>
    <t>660388002</t>
  </si>
  <si>
    <t>4008016081</t>
  </si>
  <si>
    <t>Valor Environmental serv ref  Docto Nr  387</t>
  </si>
  <si>
    <t>660401793</t>
  </si>
  <si>
    <t>4008021617</t>
  </si>
  <si>
    <t>4008067882</t>
  </si>
  <si>
    <t>920</t>
  </si>
  <si>
    <t>37</t>
  </si>
  <si>
    <t>845</t>
  </si>
  <si>
    <t>Valor do documento Nr  24534 2</t>
  </si>
  <si>
    <t>AUTOSERVICE LOGISTICA LTDA</t>
  </si>
  <si>
    <t>660489877</t>
  </si>
  <si>
    <t>4008397869</t>
  </si>
  <si>
    <t>6109990</t>
  </si>
  <si>
    <t>Water - Other</t>
  </si>
  <si>
    <t>MW4A010009MW09C21027 Ág. Potavel</t>
  </si>
  <si>
    <t>83</t>
  </si>
  <si>
    <t>Valor Security Service ref  Docto Nr  454</t>
  </si>
  <si>
    <t>4008633962</t>
  </si>
  <si>
    <t>I 0114 INSTALACAO DE CABO OPTICO CFOA</t>
  </si>
  <si>
    <t>614456067</t>
  </si>
  <si>
    <t>4008227225</t>
  </si>
  <si>
    <t>Manutenção corretiva/06169225/28342DDA476740E995C9</t>
  </si>
  <si>
    <t>4008212127</t>
  </si>
  <si>
    <t>Abastecimento/06169225/4F949979E14345D3A5B5/RDVV F</t>
  </si>
  <si>
    <t>4008581059</t>
  </si>
  <si>
    <t>Manutenção corretiva/06169225/8AC2D051328F4702A38D</t>
  </si>
  <si>
    <t>IE MAN REDE DE INCÊNDIO 2022 (21028)</t>
  </si>
  <si>
    <t>4600138164</t>
  </si>
  <si>
    <t>6061000</t>
  </si>
  <si>
    <t>Allow for prec. Job</t>
  </si>
  <si>
    <t>37NC/37W/Salarios Outros</t>
  </si>
  <si>
    <t>84</t>
  </si>
  <si>
    <t>Lancamento Ticket   Junho</t>
  </si>
  <si>
    <t>Lançamento Seguro de Vida - Julho</t>
  </si>
  <si>
    <t>Valor Other site services ref  Docto Nr  21877</t>
  </si>
  <si>
    <t>660452510</t>
  </si>
  <si>
    <t>4008199384</t>
  </si>
  <si>
    <t>Valor Other site services ref  Docto Nr  21955</t>
  </si>
  <si>
    <t>660471159</t>
  </si>
  <si>
    <t>4008253537</t>
  </si>
  <si>
    <t>Serv. Administração Rouparia</t>
  </si>
  <si>
    <t>660489048</t>
  </si>
  <si>
    <t>4008293105</t>
  </si>
  <si>
    <t>Valor Other site services ref  Docto Nr  22083</t>
  </si>
  <si>
    <t>660501511</t>
  </si>
  <si>
    <t>4008347961</t>
  </si>
  <si>
    <t>Valor Other site services ref  Docto Nr  22150</t>
  </si>
  <si>
    <t>660517087</t>
  </si>
  <si>
    <t>4008425412</t>
  </si>
  <si>
    <t>660533775</t>
  </si>
  <si>
    <t>4008521925</t>
  </si>
  <si>
    <t>660551876</t>
  </si>
  <si>
    <t>4008602085</t>
  </si>
  <si>
    <t>6011500</t>
  </si>
  <si>
    <t>Bonuses</t>
  </si>
  <si>
    <t>Lancto RH Bonuses</t>
  </si>
  <si>
    <t>157</t>
  </si>
  <si>
    <t>63</t>
  </si>
  <si>
    <t>150</t>
  </si>
  <si>
    <t>19</t>
  </si>
  <si>
    <t>153</t>
  </si>
  <si>
    <t>Valor do documento Nr  77774 1</t>
  </si>
  <si>
    <t>SEGURPRO TEC SIS SEG EL IN LTDA</t>
  </si>
  <si>
    <t>660354556</t>
  </si>
  <si>
    <t>4008149692</t>
  </si>
  <si>
    <t>GMLYE</t>
  </si>
  <si>
    <t>70</t>
  </si>
  <si>
    <t>SISTEMA TRONCALIZADO TETRA DAMM (2 repet</t>
  </si>
  <si>
    <t>ABIX TECNOLOGIA LTDA</t>
  </si>
  <si>
    <t>660475056</t>
  </si>
  <si>
    <t>4008261151</t>
  </si>
  <si>
    <t>660540809</t>
  </si>
  <si>
    <t>4008557949</t>
  </si>
  <si>
    <t>982</t>
  </si>
  <si>
    <t>660496494</t>
  </si>
  <si>
    <t>4008322195</t>
  </si>
  <si>
    <t>660508931</t>
  </si>
  <si>
    <t>4008388817</t>
  </si>
  <si>
    <t>Valor Fire prevent serv  ref  Docto Nr  36993</t>
  </si>
  <si>
    <t>660469654</t>
  </si>
  <si>
    <t>4008245330</t>
  </si>
  <si>
    <t>6020360</t>
  </si>
  <si>
    <t>Employer cont pens p</t>
  </si>
  <si>
    <t>37NP/37W/Contribuição Inst.de Previdência</t>
  </si>
  <si>
    <t>77</t>
  </si>
  <si>
    <t>IE SERV ELÉTRICA ADMINISTRATIVO 2022</t>
  </si>
  <si>
    <t>4600134348</t>
  </si>
  <si>
    <t>690</t>
  </si>
  <si>
    <t>Abastecimento/06169225/36D2867CABDA416997DE/RDVV F</t>
  </si>
  <si>
    <t>4008298238</t>
  </si>
  <si>
    <t>Valor Other site services ref  Docto Nr  21679</t>
  </si>
  <si>
    <t>660401486</t>
  </si>
  <si>
    <t>4008021192</t>
  </si>
  <si>
    <t>660419959</t>
  </si>
  <si>
    <t>4008090731</t>
  </si>
  <si>
    <t>4008142052</t>
  </si>
  <si>
    <t>Valor Other site services ref  Docto Nr  21749</t>
  </si>
  <si>
    <t>4008142054</t>
  </si>
  <si>
    <t>Valor Other site services ref  Docto Nr  21820</t>
  </si>
  <si>
    <t>660436710</t>
  </si>
  <si>
    <t>4008155366</t>
  </si>
  <si>
    <t>628</t>
  </si>
  <si>
    <t>51</t>
  </si>
  <si>
    <t>4600132342</t>
  </si>
  <si>
    <t>660521948</t>
  </si>
  <si>
    <t>4008441763</t>
  </si>
  <si>
    <t>4600132343</t>
  </si>
  <si>
    <t>4008070202</t>
  </si>
  <si>
    <t>623</t>
  </si>
  <si>
    <t>101</t>
  </si>
  <si>
    <t>4008462667</t>
  </si>
  <si>
    <t>294</t>
  </si>
  <si>
    <t>Valor 3d party pers ref  Docto Nr  43464</t>
  </si>
  <si>
    <t>660443620</t>
  </si>
  <si>
    <t>4008175953</t>
  </si>
  <si>
    <t>Abastecimento/06169225/9E5BE7D291444A51BB15/RDVV F</t>
  </si>
  <si>
    <t>4008049876</t>
  </si>
  <si>
    <t>IE MW09C21028 SEG INDUSTRIAL - 2021</t>
  </si>
  <si>
    <t>4600128469</t>
  </si>
  <si>
    <t>Abastecimento/06169225/B6FA768F86C8487E956A/RDVV F</t>
  </si>
  <si>
    <t>6471200</t>
  </si>
  <si>
    <t>Product literature</t>
  </si>
  <si>
    <t>Valor Product literature ref  Docto Nr  16515</t>
  </si>
  <si>
    <t>UNITY SKILL GESTAO</t>
  </si>
  <si>
    <t>660564174</t>
  </si>
  <si>
    <t>4008652813</t>
  </si>
  <si>
    <t>6821400</t>
  </si>
  <si>
    <t>Lodging</t>
  </si>
  <si>
    <t>Reunião Corporate Security/06169225/14751A63FB4D4C</t>
  </si>
  <si>
    <t>4008581060</t>
  </si>
  <si>
    <t>Abastecimento Veículo Emergencial Segurança Indust</t>
  </si>
  <si>
    <t>4008588989</t>
  </si>
  <si>
    <t>637</t>
  </si>
  <si>
    <t>683</t>
  </si>
  <si>
    <t>Abastecimento/06169225/28342DDA476740E995C9/RDVV F</t>
  </si>
  <si>
    <t>Ensaio da qualidade do ar/máquina</t>
  </si>
  <si>
    <t>660419943</t>
  </si>
  <si>
    <t>4008091169</t>
  </si>
  <si>
    <t>4008398350</t>
  </si>
  <si>
    <t>694</t>
  </si>
  <si>
    <t>6039300</t>
  </si>
  <si>
    <t>Oth emp benefits</t>
  </si>
  <si>
    <t>Lancamento Outros Beneficios   Setembro</t>
  </si>
  <si>
    <t>136</t>
  </si>
  <si>
    <t>6321000</t>
  </si>
  <si>
    <t>General supplies</t>
  </si>
  <si>
    <t>MW4A010015MW09C21027 Energia Eletrica Fi</t>
  </si>
  <si>
    <t>279</t>
  </si>
  <si>
    <t>37NF/37W/Horas Extras</t>
  </si>
  <si>
    <t>IE SERV HIDRAULICA ADMINISTRATIVO 2022</t>
  </si>
  <si>
    <t>4600134347</t>
  </si>
  <si>
    <t>6861900</t>
  </si>
  <si>
    <t>Automobile insurance</t>
  </si>
  <si>
    <t>Apolice Frota Bayer 2022 1 12</t>
  </si>
  <si>
    <t>4008143215</t>
  </si>
  <si>
    <t>Apolice Frota Bayer 2022 2 12</t>
  </si>
  <si>
    <t>4008143220</t>
  </si>
  <si>
    <t>Apolice Frota Bayer 2022 3 12</t>
  </si>
  <si>
    <t>4008178222</t>
  </si>
  <si>
    <t>Lancamento Seguro de Vida   Fevereiro</t>
  </si>
  <si>
    <t>Lancamento Seguro de Vida   Junho</t>
  </si>
  <si>
    <t>Valor Security Service ref  Docto Nr  418</t>
  </si>
  <si>
    <t>4008249874</t>
  </si>
  <si>
    <t>Abastecimento/06169225/91C8740EB1584D2591E1/RDVV F</t>
  </si>
  <si>
    <t>4008254692</t>
  </si>
  <si>
    <t>979</t>
  </si>
  <si>
    <t>640</t>
  </si>
  <si>
    <t>37NH/37U/13º Salário</t>
  </si>
  <si>
    <t>916</t>
  </si>
  <si>
    <t>Lançamento Outros Benefícios - Abril</t>
  </si>
  <si>
    <t>134</t>
  </si>
  <si>
    <t>Claudio Gilla</t>
  </si>
  <si>
    <t>4008293124</t>
  </si>
  <si>
    <t>Manutenção preventiva/06169225/8AC2D051328F4702A38</t>
  </si>
  <si>
    <t>6712000</t>
  </si>
  <si>
    <t>Infrastructure serv</t>
  </si>
  <si>
    <t>LOC REPETIDORA MOTOROLA MTS3 C/ LINK</t>
  </si>
  <si>
    <t>660427643</t>
  </si>
  <si>
    <t>4008126353</t>
  </si>
  <si>
    <t>660427451</t>
  </si>
  <si>
    <t>4008126365</t>
  </si>
  <si>
    <t>6340000</t>
  </si>
  <si>
    <t>IT - office supplies</t>
  </si>
  <si>
    <t>660450009</t>
  </si>
  <si>
    <t>4008195991</t>
  </si>
  <si>
    <t>277</t>
  </si>
  <si>
    <t>M-0318 EXTENSÃO OPTICA</t>
  </si>
  <si>
    <t>66</t>
  </si>
  <si>
    <t>Lançamento Outros Benefícios - Julho</t>
  </si>
  <si>
    <t>Valor Security Service ref  Docto Nr  440</t>
  </si>
  <si>
    <t>4008401423</t>
  </si>
  <si>
    <t>2022 SERVIÇOS DE LUBRIFICAÇÃO SEGURANÇA</t>
  </si>
  <si>
    <t>4600138388</t>
  </si>
  <si>
    <t>4600139965</t>
  </si>
  <si>
    <t>Abastecimento Veículo Executivo Segurança Industri</t>
  </si>
  <si>
    <t>6741000</t>
  </si>
  <si>
    <t>Chemical Analysis</t>
  </si>
  <si>
    <t>Valor Chemical Analysis ref  Docto Nr  81052</t>
  </si>
  <si>
    <t>DIMAGEM DIAGNOSTICO POR IMAGEM LTDA</t>
  </si>
  <si>
    <t>4008075077</t>
  </si>
  <si>
    <t>Lancamento Outros Beneficios   Junho</t>
  </si>
  <si>
    <t>Saida de Material por Consumo</t>
  </si>
  <si>
    <t>Supplies inventory</t>
  </si>
  <si>
    <t>4008344527</t>
  </si>
  <si>
    <t>ERUCD</t>
  </si>
  <si>
    <t>275</t>
  </si>
  <si>
    <t>660460846</t>
  </si>
  <si>
    <t>4008242501</t>
  </si>
  <si>
    <t>Abastecimento/06169225/58107958A9DE4101BDDD/RDVV F</t>
  </si>
  <si>
    <t>680</t>
  </si>
  <si>
    <t>6052340</t>
  </si>
  <si>
    <t>Soc. security contr.</t>
  </si>
  <si>
    <t>37NN/37W/Provisão Pagto Férias DL 1730/79</t>
  </si>
  <si>
    <t>6043100</t>
  </si>
  <si>
    <t>Pay apprenticeship</t>
  </si>
  <si>
    <t>37OU/37W/Serviço de Estagiário-PF</t>
  </si>
  <si>
    <t>359</t>
  </si>
  <si>
    <t>546</t>
  </si>
  <si>
    <t>4008266605</t>
  </si>
  <si>
    <t>580</t>
  </si>
  <si>
    <t>536</t>
  </si>
  <si>
    <t>179</t>
  </si>
  <si>
    <t>81</t>
  </si>
  <si>
    <t>4008548586</t>
  </si>
  <si>
    <t>278</t>
  </si>
  <si>
    <t>305</t>
  </si>
  <si>
    <t>4600141365</t>
  </si>
  <si>
    <t>Lancamento Outros Beneficios   Janeiro</t>
  </si>
  <si>
    <t>6032003</t>
  </si>
  <si>
    <t>Pension Accrual.</t>
  </si>
  <si>
    <t>Prov Fundo de Pensao BCS 2022 01</t>
  </si>
  <si>
    <t>Pr:Pension fund-a/i</t>
  </si>
  <si>
    <t>4008077139</t>
  </si>
  <si>
    <t>GMLHA</t>
  </si>
  <si>
    <t>Prov Fundo de Pensao BCS 2022 02</t>
  </si>
  <si>
    <t>4008127177</t>
  </si>
  <si>
    <t>251</t>
  </si>
  <si>
    <t>Prov Pension Ebit Effect BCS 2022 01</t>
  </si>
  <si>
    <t>4008181077</t>
  </si>
  <si>
    <t>Prov Pension Ebit Effect BCS 2022 02</t>
  </si>
  <si>
    <t>4008181080</t>
  </si>
  <si>
    <t>Prov Pension Ebit Effect BCS 2022 03</t>
  </si>
  <si>
    <t>4008181081</t>
  </si>
  <si>
    <t>Prov Pension DBO Active BCS 2022.04</t>
  </si>
  <si>
    <t>4008218071</t>
  </si>
  <si>
    <t>Prov Pl  Pensao Ativos BCS 2022</t>
  </si>
  <si>
    <t>4008262956</t>
  </si>
  <si>
    <t>Prov Pl. Pensão Ativos BCS 2022</t>
  </si>
  <si>
    <t>4008295230</t>
  </si>
  <si>
    <t>EHJNK_FF</t>
  </si>
  <si>
    <t>4008376433</t>
  </si>
  <si>
    <t>EHFYM_FF</t>
  </si>
  <si>
    <t>4008435271</t>
  </si>
  <si>
    <t>4008516284</t>
  </si>
  <si>
    <t>ELVLS_FF</t>
  </si>
  <si>
    <t>4008672731</t>
  </si>
  <si>
    <t>EHKHM_FF</t>
  </si>
  <si>
    <t>4600136144</t>
  </si>
  <si>
    <t>Lancamento Outros Beneficios   Outubro</t>
  </si>
  <si>
    <t>4600134812</t>
  </si>
  <si>
    <t>Lançamento Outros Benefícios - Maio</t>
  </si>
  <si>
    <t>4008094134</t>
  </si>
  <si>
    <t>6623000</t>
  </si>
  <si>
    <t>Depr Mach/tech Prod</t>
  </si>
  <si>
    <t>50</t>
  </si>
  <si>
    <t>Valor Fire prevent serv  ref  Docto Nr  36992</t>
  </si>
  <si>
    <t>660469079</t>
  </si>
  <si>
    <t>4008245329</t>
  </si>
  <si>
    <t>4600133429</t>
  </si>
  <si>
    <t>Valor Technic  spare parts ref  Docto Nr  25106</t>
  </si>
  <si>
    <t>Toledo do Brasil Industria</t>
  </si>
  <si>
    <t>660405641</t>
  </si>
  <si>
    <t>4008034901</t>
  </si>
  <si>
    <t>Valor Technic  spare parts ref  Docto Nr  25543</t>
  </si>
  <si>
    <t>660452570</t>
  </si>
  <si>
    <t>4008204235</t>
  </si>
  <si>
    <t>Valor Technic  spare parts ref  Docto Nr  25776</t>
  </si>
  <si>
    <t>660468958</t>
  </si>
  <si>
    <t>4008257428</t>
  </si>
  <si>
    <t>Valor Technic  spare parts ref  Docto Nr  25391</t>
  </si>
  <si>
    <t>660434873</t>
  </si>
  <si>
    <t>4008283613</t>
  </si>
  <si>
    <t>Valor Technic  spare parts ref  Docto Nr  25910</t>
  </si>
  <si>
    <t>660484961</t>
  </si>
  <si>
    <t>4008286080</t>
  </si>
  <si>
    <t>Valor Technic  spare parts ref  Docto Nr  26041</t>
  </si>
  <si>
    <t>660500525</t>
  </si>
  <si>
    <t>4008340387</t>
  </si>
  <si>
    <t>Valor Technic  spare parts ref  Docto Nr  25195</t>
  </si>
  <si>
    <t>660417430</t>
  </si>
  <si>
    <t>4008344087</t>
  </si>
  <si>
    <t>Valor Technic  spare parts ref  Docto Nr  26181</t>
  </si>
  <si>
    <t>660515306</t>
  </si>
  <si>
    <t>4008413105</t>
  </si>
  <si>
    <t>Valor Technic  spare parts ref  Docto Nr  26400</t>
  </si>
  <si>
    <t>660531480</t>
  </si>
  <si>
    <t>4008487038</t>
  </si>
  <si>
    <t>Valor Technic  spare parts ref  Docto Nr  26500</t>
  </si>
  <si>
    <t>660540275</t>
  </si>
  <si>
    <t>4008574568</t>
  </si>
  <si>
    <t>Valor Technic  spare parts ref  Docto Nr  26636</t>
  </si>
  <si>
    <t>660564441</t>
  </si>
  <si>
    <t>4008652811</t>
  </si>
  <si>
    <t>4600134792</t>
  </si>
  <si>
    <t>6701000</t>
  </si>
  <si>
    <t>Training</t>
  </si>
  <si>
    <t>MUDANÇA DE CATEGORIA CNH/10356980/83C17AE97C284131</t>
  </si>
  <si>
    <t>Anderson Paranhos</t>
  </si>
  <si>
    <t>4008251155</t>
  </si>
  <si>
    <t>6779000</t>
  </si>
  <si>
    <t>Serv. cust. &amp; excise</t>
  </si>
  <si>
    <t>Reclassif. Despachante 75283</t>
  </si>
  <si>
    <t>4008220670</t>
  </si>
  <si>
    <t>GNPRP</t>
  </si>
  <si>
    <t>4600139967</t>
  </si>
  <si>
    <t>Abastecimento/06169225/14751A63FB4D4CCBA676/RDVV F</t>
  </si>
  <si>
    <t>Lancamento Seguro de Vida   Marco</t>
  </si>
  <si>
    <t>Lancamento Outros Beneficios   Fevereiro</t>
  </si>
  <si>
    <t>URG DOC 300677</t>
  </si>
  <si>
    <t>4008108079</t>
  </si>
  <si>
    <t>6821110</t>
  </si>
  <si>
    <t>Train Tickets</t>
  </si>
  <si>
    <t>FARIAS/WEVERSON</t>
  </si>
  <si>
    <t>4008635649</t>
  </si>
  <si>
    <t>37OR/37U/Outras Despesas Sociais</t>
  </si>
  <si>
    <t>4600134810</t>
  </si>
  <si>
    <t>4600128321</t>
  </si>
  <si>
    <t>4600132923</t>
  </si>
  <si>
    <t>4600136159</t>
  </si>
  <si>
    <t>4600139423</t>
  </si>
  <si>
    <t>4600140790</t>
  </si>
  <si>
    <t>4600139337</t>
  </si>
  <si>
    <t>6726000</t>
  </si>
  <si>
    <t>Industry cleaning</t>
  </si>
  <si>
    <t>Valor Industry cleaning ref  Docto Nr  14967</t>
  </si>
  <si>
    <t>DESENTUPIDORA GUANABARA LTDA EPP</t>
  </si>
  <si>
    <t>660449326</t>
  </si>
  <si>
    <t>4008197775</t>
  </si>
  <si>
    <t>Valor Maint &amp; Leg Co Compl ref  Docto Nr  15224</t>
  </si>
  <si>
    <t>660477983</t>
  </si>
  <si>
    <t>4008278464</t>
  </si>
  <si>
    <t>LIMPEZA CAIXAS E FOSSAS - PÁTIO DE CARGA</t>
  </si>
  <si>
    <t>660506214</t>
  </si>
  <si>
    <t>4008383494</t>
  </si>
  <si>
    <t>660537476</t>
  </si>
  <si>
    <t>4008506981</t>
  </si>
  <si>
    <t>660556810</t>
  </si>
  <si>
    <t>4008612751</t>
  </si>
  <si>
    <t>4600130650</t>
  </si>
  <si>
    <t>273</t>
  </si>
  <si>
    <t>249</t>
  </si>
  <si>
    <t>Reunião Time Security/06169225/8AC2D051328F4702A38</t>
  </si>
  <si>
    <t>Valor NF 424</t>
  </si>
  <si>
    <t>4008304253</t>
  </si>
  <si>
    <t>Gestão de documentos legais</t>
  </si>
  <si>
    <t>UNITY GDL GESTAO DOCUM LEGAIS LTDA</t>
  </si>
  <si>
    <t>660491354</t>
  </si>
  <si>
    <t>4008308013</t>
  </si>
  <si>
    <t>976</t>
  </si>
  <si>
    <t>Lancamento Odontoprev   Janeiro</t>
  </si>
  <si>
    <t>440</t>
  </si>
  <si>
    <t>4600129564</t>
  </si>
  <si>
    <t>68</t>
  </si>
  <si>
    <t>Francisco Amorim</t>
  </si>
  <si>
    <t>4008430501</t>
  </si>
  <si>
    <t>Lancamento Outros Beneficios   Agosto</t>
  </si>
  <si>
    <t>Valor Training ref  Docto Nr  2774</t>
  </si>
  <si>
    <t>STAR SEC CURSO DE FORM DE VIG LTDA</t>
  </si>
  <si>
    <t>4008202406</t>
  </si>
  <si>
    <t>Abastecimento/06169225/8AC2D051328F4702A38D/RDVV F</t>
  </si>
  <si>
    <t>Vr recup Refeicoes Colaboradores   Jan</t>
  </si>
  <si>
    <t>4008116229</t>
  </si>
  <si>
    <t>15</t>
  </si>
  <si>
    <t>Valor Industry cleaning ref  Docto Nr  14700</t>
  </si>
  <si>
    <t>660408737</t>
  </si>
  <si>
    <t>4008055367</t>
  </si>
  <si>
    <t>Lancamento Odontoprev   Setembro</t>
  </si>
  <si>
    <t>507</t>
  </si>
  <si>
    <t>79</t>
  </si>
  <si>
    <t>M-0220 CORDAO OPTICO DUPLEX</t>
  </si>
  <si>
    <t>Lancamento Odontoprev   Outubro</t>
  </si>
  <si>
    <t>505</t>
  </si>
  <si>
    <t>851</t>
  </si>
  <si>
    <t>Lancamento Outros Beneficios   Marco</t>
  </si>
  <si>
    <t>Lançamento Odontoprev - Julho</t>
  </si>
  <si>
    <t>506</t>
  </si>
  <si>
    <t>Lancamento Odontoprev   Fevereiro</t>
  </si>
  <si>
    <t>Lancamento Odontoprev   Junho</t>
  </si>
  <si>
    <t>Lançamento Odontoprev - Abril</t>
  </si>
  <si>
    <t>Lancamento Odontoprev   Marco</t>
  </si>
  <si>
    <t>Lançamento Odontoprev - Maio</t>
  </si>
  <si>
    <t>49</t>
  </si>
  <si>
    <t>Uniforme Missao Executiva/06168326/7EBF28FF649C43F</t>
  </si>
  <si>
    <t>4008060677</t>
  </si>
  <si>
    <t>Valor Supplies ref  Docto Nr  432</t>
  </si>
  <si>
    <t>660410919</t>
  </si>
  <si>
    <t>4008060987</t>
  </si>
  <si>
    <t>UTIL-Trocar Estator da Bomba PA065</t>
  </si>
  <si>
    <t>4600128470</t>
  </si>
  <si>
    <t>Lancamento Odontoprev   Agosto</t>
  </si>
  <si>
    <t>688</t>
  </si>
  <si>
    <t>Manutenção Veículo Emergencial Segurança Industria</t>
  </si>
  <si>
    <t>4600128320</t>
  </si>
  <si>
    <t>18</t>
  </si>
  <si>
    <t>4600132922</t>
  </si>
  <si>
    <t>4600136158</t>
  </si>
  <si>
    <t>4600139422</t>
  </si>
  <si>
    <t>4600140789</t>
  </si>
  <si>
    <t>4600139336</t>
  </si>
  <si>
    <t>4600130649</t>
  </si>
  <si>
    <t>875</t>
  </si>
  <si>
    <t>Vr recup Serv Restaur Visitantes   Jul</t>
  </si>
  <si>
    <t>4008444058</t>
  </si>
  <si>
    <t>29</t>
  </si>
  <si>
    <t>6845000</t>
  </si>
  <si>
    <t>Legal costs</t>
  </si>
  <si>
    <t>valor documento 300535</t>
  </si>
  <si>
    <t>13 CARTORIO DE NOTAS DA CAPITAL</t>
  </si>
  <si>
    <t>4008400943</t>
  </si>
  <si>
    <t>Valor Supplies ref  Docto Nr  431</t>
  </si>
  <si>
    <t>660410903</t>
  </si>
  <si>
    <t>4008060999</t>
  </si>
  <si>
    <t>Lancamento Seguro de Vida   Setembro</t>
  </si>
  <si>
    <t>729</t>
  </si>
  <si>
    <t>MAN 2021 SÓ ACUMULADORES</t>
  </si>
  <si>
    <t>4600128472</t>
  </si>
  <si>
    <t>MAN 2022 SÓ ACUMULADORES</t>
  </si>
  <si>
    <t>4600131268</t>
  </si>
  <si>
    <t>4600132345</t>
  </si>
  <si>
    <t>4600133434</t>
  </si>
  <si>
    <t>4600134815</t>
  </si>
  <si>
    <t>4600136149</t>
  </si>
  <si>
    <t>4600138167</t>
  </si>
  <si>
    <t>4600139971</t>
  </si>
  <si>
    <t>4600141370</t>
  </si>
  <si>
    <t>4600129523</t>
  </si>
  <si>
    <t>4600135124</t>
  </si>
  <si>
    <t>37OF/37W/Desp.FGTS Diferença 10% C/Liminar</t>
  </si>
  <si>
    <t>622</t>
  </si>
  <si>
    <t>Valor Maint &amp; Leg Co Compl ref  Docto Nr  137810</t>
  </si>
  <si>
    <t>INSETISAN SERVITOX INSETICIDAS</t>
  </si>
  <si>
    <t>660419511</t>
  </si>
  <si>
    <t>4008102433</t>
  </si>
  <si>
    <t>6042100</t>
  </si>
  <si>
    <t>RemTM yearly premium</t>
  </si>
  <si>
    <t>37NI/37W/13º Salário</t>
  </si>
  <si>
    <t>80</t>
  </si>
  <si>
    <t>Valor Maint &amp; Leg Co Compl ref  Docto Nr  141406</t>
  </si>
  <si>
    <t>660497624</t>
  </si>
  <si>
    <t>4008347663</t>
  </si>
  <si>
    <t>IE SERV MARCENARIA ADMINISTRATIVO 2022</t>
  </si>
  <si>
    <t>4600134334</t>
  </si>
  <si>
    <t>Lancamento Seguro de Vida   Outubro</t>
  </si>
  <si>
    <t>727</t>
  </si>
  <si>
    <t>297</t>
  </si>
  <si>
    <t>Vr recup Serv Restaur Visitantes - Set</t>
  </si>
  <si>
    <t>4008548425</t>
  </si>
  <si>
    <t>Vr recup Serv Restaur Visitantes   Jan</t>
  </si>
  <si>
    <t>4008074445</t>
  </si>
  <si>
    <t>GMZQL</t>
  </si>
  <si>
    <t>6822200</t>
  </si>
  <si>
    <t>Milage allowance</t>
  </si>
  <si>
    <t>Utilização de Veículo Particular/08547685/3ABBE367</t>
  </si>
  <si>
    <t>Erasmo Ribeiro</t>
  </si>
  <si>
    <t>4008448801</t>
  </si>
  <si>
    <t>4600128607</t>
  </si>
  <si>
    <t>6822300</t>
  </si>
  <si>
    <t>Coll transp staff</t>
  </si>
  <si>
    <t>Recup Transporte Colaboradores   Jan</t>
  </si>
  <si>
    <t>400</t>
  </si>
  <si>
    <t>642</t>
  </si>
  <si>
    <t>Utilização de Veículo Particular/08547685/6D8A6B1F</t>
  </si>
  <si>
    <t>4008049820</t>
  </si>
  <si>
    <t>620</t>
  </si>
  <si>
    <t>BFR - Reembolso Ergonomia/09598445/D0C0EF3B0D5947E</t>
  </si>
  <si>
    <t>Carolini Lago</t>
  </si>
  <si>
    <t>4008184596</t>
  </si>
  <si>
    <t>Retirada de Cães Complexo Industrial Belford Roxo/</t>
  </si>
  <si>
    <t>4008430502</t>
  </si>
  <si>
    <t>37NG/37W/Horas Extras Revezamento</t>
  </si>
  <si>
    <t>4008351702</t>
  </si>
  <si>
    <t>977</t>
  </si>
  <si>
    <t>289</t>
  </si>
  <si>
    <t>686</t>
  </si>
  <si>
    <t>Vr recup Serv Restaur Visitantes - Fev</t>
  </si>
  <si>
    <t>4008125725</t>
  </si>
  <si>
    <t>Valor do documento Nr  11880 1</t>
  </si>
  <si>
    <t>660489040</t>
  </si>
  <si>
    <t>4008349055</t>
  </si>
  <si>
    <t>Vr recup Refeicoes Colaboradores   Abr</t>
  </si>
  <si>
    <t>4008261702</t>
  </si>
  <si>
    <t>CO2 06 Kg</t>
  </si>
  <si>
    <t>660352730</t>
  </si>
  <si>
    <t>4008126280</t>
  </si>
  <si>
    <t>4600136643</t>
  </si>
  <si>
    <t>Recup Transporte Colaboradores   Dez</t>
  </si>
  <si>
    <t>4008043675</t>
  </si>
  <si>
    <t>633</t>
  </si>
  <si>
    <t>678</t>
  </si>
  <si>
    <t>Locação de plataforma 2022</t>
  </si>
  <si>
    <t>4600137932</t>
  </si>
  <si>
    <t>Altivo Aguiar</t>
  </si>
  <si>
    <t>4008245921</t>
  </si>
  <si>
    <t>6772000</t>
  </si>
  <si>
    <t>MGT Consultancy</t>
  </si>
  <si>
    <t>Valor MGT Consultancy ref  Docto Nr  1349</t>
  </si>
  <si>
    <t>L S MELLO CONSULT , ASSE E SERVICOS</t>
  </si>
  <si>
    <t>660401234</t>
  </si>
  <si>
    <t>4008021200</t>
  </si>
  <si>
    <t>Valor MGT Consultancy ref  Docto Nr  1371</t>
  </si>
  <si>
    <t>660417420</t>
  </si>
  <si>
    <t>4008084490</t>
  </si>
  <si>
    <t>Valor MGT Consultancy ref  Docto Nr  1401</t>
  </si>
  <si>
    <t>660434859</t>
  </si>
  <si>
    <t>4008155474</t>
  </si>
  <si>
    <t>Valor MGT Consultancy ref  Docto Nr  715</t>
  </si>
  <si>
    <t>LSMELLO C D CONSULTORIA EIRELI</t>
  </si>
  <si>
    <t>4008252073</t>
  </si>
  <si>
    <t>Valor MGT Consultancy ref  Docto Nr  776</t>
  </si>
  <si>
    <t>4008252189</t>
  </si>
  <si>
    <t>valor documento 834</t>
  </si>
  <si>
    <t>4008294255</t>
  </si>
  <si>
    <t>Manutenção preventiva/06169225/36D2867CABDA416997D</t>
  </si>
  <si>
    <t>valor documento 896</t>
  </si>
  <si>
    <t>4008340364</t>
  </si>
  <si>
    <t>6773000</t>
  </si>
  <si>
    <t>Expertise fees</t>
  </si>
  <si>
    <t>Valor Expertise fees ref  Docto Nr  955</t>
  </si>
  <si>
    <t>4008414726</t>
  </si>
  <si>
    <t>Manutenção da Rede de Incêndio/06168326/693EECAE0A</t>
  </si>
  <si>
    <t>Valor MGT Consultancy ref  Docto Nr  1002</t>
  </si>
  <si>
    <t>4008487476</t>
  </si>
  <si>
    <t>Valor MGT Consultancy ref  Docto Nr  1055</t>
  </si>
  <si>
    <t>4008583709</t>
  </si>
  <si>
    <t>Valor MGT Consultancy ref  Docto Nr  1090</t>
  </si>
  <si>
    <t>4008663647</t>
  </si>
  <si>
    <t>Instalação de acessório de segurança./06169225/B6F</t>
  </si>
  <si>
    <t>4600134457</t>
  </si>
  <si>
    <t>4600135388</t>
  </si>
  <si>
    <t>4600139470</t>
  </si>
  <si>
    <t>689</t>
  </si>
  <si>
    <t>Recup Transporte Colaboradores   Mar</t>
  </si>
  <si>
    <t>4008202860</t>
  </si>
  <si>
    <t>626</t>
  </si>
  <si>
    <t>4008049874</t>
  </si>
  <si>
    <t>S 0009 EMENDA POR FUSAO</t>
  </si>
  <si>
    <t>Vr recup Refeicoes Colaboradores   Jul</t>
  </si>
  <si>
    <t>4008444054</t>
  </si>
  <si>
    <t>Vr recup Serv Restaur Visitantes - Jun</t>
  </si>
  <si>
    <t>4008321781</t>
  </si>
  <si>
    <t>4008150327</t>
  </si>
  <si>
    <t>Valor Municip+regional tax ref  Docto Nr  45565</t>
  </si>
  <si>
    <t>SERPAC SERVICOS PARALEGAIS LTDA</t>
  </si>
  <si>
    <t>660483550</t>
  </si>
  <si>
    <t>4008318382</t>
  </si>
  <si>
    <t>Vr recup Refeições Colaboradores - Set</t>
  </si>
  <si>
    <t>4008634418</t>
  </si>
  <si>
    <t>636</t>
  </si>
  <si>
    <t>Vr recup Refeicoes Colaboradores   Jun</t>
  </si>
  <si>
    <t>4008395854</t>
  </si>
  <si>
    <t>Seguranca Industrial</t>
  </si>
  <si>
    <t>Def charges-op-OT</t>
  </si>
  <si>
    <t>4008179766</t>
  </si>
  <si>
    <t>13</t>
  </si>
  <si>
    <t>4008191987</t>
  </si>
  <si>
    <t>4008248483</t>
  </si>
  <si>
    <t>EUPNO_FF</t>
  </si>
  <si>
    <t>4008295228</t>
  </si>
  <si>
    <t>4008376431</t>
  </si>
  <si>
    <t>4008435269</t>
  </si>
  <si>
    <t>4008516282</t>
  </si>
  <si>
    <t>4008593867</t>
  </si>
  <si>
    <t>4008672729</t>
  </si>
  <si>
    <t>2021 SERVIÇOS DE LUBRIFICAÇÃO SEGURANÇA</t>
  </si>
  <si>
    <t>4600133428</t>
  </si>
  <si>
    <t>Valor Product literature ref  Docto Nr  2554</t>
  </si>
  <si>
    <t>CLEAN AIR AMBIENTAL LTDA</t>
  </si>
  <si>
    <t>660399260</t>
  </si>
  <si>
    <t>4008107801</t>
  </si>
  <si>
    <t>Medição Procon Fumaça Preta</t>
  </si>
  <si>
    <t>660473655</t>
  </si>
  <si>
    <t>4008307940</t>
  </si>
  <si>
    <t>Valor Product literature ref  Docto Nr  2686</t>
  </si>
  <si>
    <t>660530443</t>
  </si>
  <si>
    <t>4008584313</t>
  </si>
  <si>
    <t>CONSUMO JUL 2022</t>
  </si>
  <si>
    <t>4008464342</t>
  </si>
  <si>
    <t>BRMCF</t>
  </si>
  <si>
    <t>Vr recup Refeicoes Colaboradores   Ago</t>
  </si>
  <si>
    <t>4008543327</t>
  </si>
  <si>
    <t>6829000</t>
  </si>
  <si>
    <t>Taxi/publ.transp.</t>
  </si>
  <si>
    <t>Valor Taxi publ transp  ref  Docto Nr  50860</t>
  </si>
  <si>
    <t>COOPTRI COOP TRAB IGUACU RADIO TAXI</t>
  </si>
  <si>
    <t>660434840</t>
  </si>
  <si>
    <t>4008244941</t>
  </si>
  <si>
    <t>4008428243</t>
  </si>
  <si>
    <t>Compra de cadeira veicular para Bebê./06169225/F6C</t>
  </si>
  <si>
    <t>4008062265</t>
  </si>
  <si>
    <t>6572000</t>
  </si>
  <si>
    <t>Occup. safety serv</t>
  </si>
  <si>
    <t>Exames médicos colaboradores</t>
  </si>
  <si>
    <t>ELIEL FIG DIAG MED APOIO LTDA</t>
  </si>
  <si>
    <t>660505269</t>
  </si>
  <si>
    <t>4008521942</t>
  </si>
  <si>
    <t>4008245925</t>
  </si>
  <si>
    <t>4600131629</t>
  </si>
  <si>
    <t>locação de plataforma eletrica</t>
  </si>
  <si>
    <t>4600128336</t>
  </si>
  <si>
    <t>4600129400</t>
  </si>
  <si>
    <t>14</t>
  </si>
  <si>
    <t>4600130911</t>
  </si>
  <si>
    <t>4600132955</t>
  </si>
  <si>
    <t>Vr recup Refeicoes Colaboradores   Mai</t>
  </si>
  <si>
    <t>4008320247</t>
  </si>
  <si>
    <t>GNVLO</t>
  </si>
  <si>
    <t>Recup Transporte Colaboradores  Jul</t>
  </si>
  <si>
    <t>4008623313</t>
  </si>
  <si>
    <t>37OD/37W/Provisão Encargos Sociais S/Férias DL 173</t>
  </si>
  <si>
    <t>646</t>
  </si>
  <si>
    <t>Vr recup Serv Restaur Visitantes   Mai</t>
  </si>
  <si>
    <t>4008263431</t>
  </si>
  <si>
    <t>GNPJH</t>
  </si>
  <si>
    <t>4008245924</t>
  </si>
  <si>
    <t>4600128610</t>
  </si>
  <si>
    <t>Valor Technic  spare parts ref  Docto Nr  389</t>
  </si>
  <si>
    <t>4008083843</t>
  </si>
  <si>
    <t>Recup Transporte Colaboradores  Jun</t>
  </si>
  <si>
    <t>Recup Transporte Colaboradores   Abr</t>
  </si>
  <si>
    <t>4008293125</t>
  </si>
  <si>
    <t>Retirada de Cães do Complexo Industrial/06165327/E</t>
  </si>
  <si>
    <t>4008150326</t>
  </si>
  <si>
    <t>6822100</t>
  </si>
  <si>
    <t>Transp cost staff</t>
  </si>
  <si>
    <t>Reciclagem Curso Vigilante Starsec/06166412/E3D444</t>
  </si>
  <si>
    <t>Agenor Neto</t>
  </si>
  <si>
    <t>4008445139</t>
  </si>
  <si>
    <t>6324000</t>
  </si>
  <si>
    <t>Working/safety cloth</t>
  </si>
  <si>
    <t>Valor Working safety cloth ref  Docto Nr  279</t>
  </si>
  <si>
    <t>RIO SCREEN B ROXO A LETR LTDA</t>
  </si>
  <si>
    <t>660428037</t>
  </si>
  <si>
    <t>4008179319</t>
  </si>
  <si>
    <t>Vr recup Refeicoes Colaboradores   Mar</t>
  </si>
  <si>
    <t>Vr recup Serv Restaur Visitantes   Mar</t>
  </si>
  <si>
    <t>4008178977</t>
  </si>
  <si>
    <t>Vr recup Serv Restaur Visitantes - Abr</t>
  </si>
  <si>
    <t>4008220688</t>
  </si>
  <si>
    <t>Recup Transporte Colaboradores   Mai</t>
  </si>
  <si>
    <t>4600141363</t>
  </si>
  <si>
    <t>4008351699</t>
  </si>
  <si>
    <t>Valor Training ref  Docto Nr  2869</t>
  </si>
  <si>
    <t>4008434746</t>
  </si>
  <si>
    <t>Recup Transporte Colaboradores   Fev</t>
  </si>
  <si>
    <t>4008162972</t>
  </si>
  <si>
    <t>Valor Taxi publ transp  ref  Docto Nr  50857</t>
  </si>
  <si>
    <t>660419129</t>
  </si>
  <si>
    <t>4008089771</t>
  </si>
  <si>
    <t>4008147142</t>
  </si>
  <si>
    <t>Vr recup Serv Restaur Visitantes - Out</t>
  </si>
  <si>
    <t>4008635697</t>
  </si>
  <si>
    <t>4008673416</t>
  </si>
  <si>
    <t>Utilização de Veículo Particular/08547685/A8A3DE56</t>
  </si>
  <si>
    <t>4008094150</t>
  </si>
  <si>
    <t>4008200339</t>
  </si>
  <si>
    <t>Folha Temporarios BCS-BFR-META 05/2022</t>
  </si>
  <si>
    <t>660480272</t>
  </si>
  <si>
    <t>4008279868</t>
  </si>
  <si>
    <t>Recup Transporte Colaboradores  Ago</t>
  </si>
  <si>
    <t>4008493138</t>
  </si>
  <si>
    <t>4008147141</t>
  </si>
  <si>
    <t>4008200337</t>
  </si>
  <si>
    <t>Utilização de Veículo Particular/06168296/4201D5C2</t>
  </si>
  <si>
    <t>Eloy Costa Fernandes</t>
  </si>
  <si>
    <t>4008435390</t>
  </si>
  <si>
    <t>Retirada de Cães Complexo Industrial/06168326/7EBF</t>
  </si>
  <si>
    <t>Sergio Correia</t>
  </si>
  <si>
    <t>4008293123</t>
  </si>
  <si>
    <t>Recup Transporte Colaboradores -Set</t>
  </si>
  <si>
    <t>Valor 3d party pers ref  Docto Nr  44250</t>
  </si>
  <si>
    <t>660498179</t>
  </si>
  <si>
    <t>4008326702</t>
  </si>
  <si>
    <t>Vr recup Refeicoes Colaboradores   Dez</t>
  </si>
  <si>
    <t>Valor 3d party pers ref  Docto Nr  43732</t>
  </si>
  <si>
    <t>660465500</t>
  </si>
  <si>
    <t>4008227153</t>
  </si>
  <si>
    <t>Reclassif. FEE 368054</t>
  </si>
  <si>
    <t>4008400573</t>
  </si>
  <si>
    <t>Reclassif. Manutenção 369515</t>
  </si>
  <si>
    <t>4008634435</t>
  </si>
  <si>
    <t>43</t>
  </si>
  <si>
    <t>4600135121</t>
  </si>
  <si>
    <t>Valor do documento Nr  5567387 0</t>
  </si>
  <si>
    <t>SUPRICORP SUPRIMENTOS LTDA</t>
  </si>
  <si>
    <t>660479675</t>
  </si>
  <si>
    <t>4008271386</t>
  </si>
  <si>
    <t>Valor Occup  safety serv ref  Docto Nr  22736</t>
  </si>
  <si>
    <t>660518972</t>
  </si>
  <si>
    <t>4008428554</t>
  </si>
  <si>
    <t>Reclassif. FEE 368786</t>
  </si>
  <si>
    <t>4008463656</t>
  </si>
  <si>
    <t>Reclassif. FEE 370264</t>
  </si>
  <si>
    <t>4008634439</t>
  </si>
  <si>
    <t>4600128310</t>
  </si>
  <si>
    <t>24</t>
  </si>
  <si>
    <t>4600132912</t>
  </si>
  <si>
    <t>4600136156</t>
  </si>
  <si>
    <t>4600139402</t>
  </si>
  <si>
    <t>4600140775</t>
  </si>
  <si>
    <t>4008672307</t>
  </si>
  <si>
    <t>Vr recup Refeições Estagiários - Jun</t>
  </si>
  <si>
    <t>4600139334</t>
  </si>
  <si>
    <t>4600130637</t>
  </si>
  <si>
    <t>6861300</t>
  </si>
  <si>
    <t>Oper Liab ins</t>
  </si>
  <si>
    <t>Apolice Respons. Civil  - Jan 22</t>
  </si>
  <si>
    <t>4008069663</t>
  </si>
  <si>
    <t>128</t>
  </si>
  <si>
    <t>Apolice Respons  Civil    Fev 22</t>
  </si>
  <si>
    <t>4008115456</t>
  </si>
  <si>
    <t>Apolice Respons  Civil    Mar 22</t>
  </si>
  <si>
    <t>4008157262</t>
  </si>
  <si>
    <t>100</t>
  </si>
  <si>
    <t>I 0318 INST EXTENSAO OPTICA</t>
  </si>
  <si>
    <t>Reclassif  FEE 366570</t>
  </si>
  <si>
    <t>4008271914</t>
  </si>
  <si>
    <t>69</t>
  </si>
  <si>
    <t>Utilização de Veículo Particular/08547685/5704CCCF</t>
  </si>
  <si>
    <t>4008501502</t>
  </si>
  <si>
    <t>Reclassif  FEE 365839</t>
  </si>
  <si>
    <t>4008271904</t>
  </si>
  <si>
    <t>4008673417</t>
  </si>
  <si>
    <t>Material Escritório Segurança Industrial/06168407/</t>
  </si>
  <si>
    <t>972</t>
  </si>
  <si>
    <t>4600135102</t>
  </si>
  <si>
    <t>Retirada de Certidões Negativas/06169225/28342DDA4</t>
  </si>
  <si>
    <t>6042600</t>
  </si>
  <si>
    <t>Vol. Bonus ltd dur.</t>
  </si>
  <si>
    <t>37NM/37W/Gratificação Ajustada Espontânea</t>
  </si>
  <si>
    <t>630</t>
  </si>
  <si>
    <t>4008321644</t>
  </si>
  <si>
    <t>Prov Assist Medica BCS 2022 01</t>
  </si>
  <si>
    <t>LT:Pr OPEB-ufpl-a/i</t>
  </si>
  <si>
    <t>4008077136</t>
  </si>
  <si>
    <t>127</t>
  </si>
  <si>
    <t>290</t>
  </si>
  <si>
    <t>Missão Executiva/06168407/7D86FB20A21E40058752/RDV</t>
  </si>
  <si>
    <t>4008200341</t>
  </si>
  <si>
    <t>Utilização de Veículo Particular/06164223/FF90A5D1</t>
  </si>
  <si>
    <t>Marcelo Da Silva Peres</t>
  </si>
  <si>
    <t>4008446966</t>
  </si>
  <si>
    <t>Lancamento UNIMED   Janeiro</t>
  </si>
  <si>
    <t>572</t>
  </si>
  <si>
    <t>4008591405</t>
  </si>
  <si>
    <t>Abastecimento Veículo Emergencial Bayer/06168407/5</t>
  </si>
  <si>
    <t>4008498585</t>
  </si>
  <si>
    <t>Vr recup Refeicoes Colaboradores   Fev</t>
  </si>
  <si>
    <t>Valor Working safety cloth ref  Docto Nr  286</t>
  </si>
  <si>
    <t>660444182</t>
  </si>
  <si>
    <t>4008195701</t>
  </si>
  <si>
    <t>Reclassif  Manutencao 363667</t>
  </si>
  <si>
    <t>4008131588</t>
  </si>
  <si>
    <t>55</t>
  </si>
  <si>
    <t>Reclassif. FEE 367309</t>
  </si>
  <si>
    <t>4008400564</t>
  </si>
  <si>
    <t>6052400</t>
  </si>
  <si>
    <t>Soc Contr 'oth'</t>
  </si>
  <si>
    <t>37NX/37W/Salário Educação LEI 4440/64</t>
  </si>
  <si>
    <t>Reclassif. Despachante 39845</t>
  </si>
  <si>
    <t>4008220674</t>
  </si>
  <si>
    <t>253</t>
  </si>
  <si>
    <t>4008591404</t>
  </si>
  <si>
    <t>SERPAC Reemb Desp P173.021615</t>
  </si>
  <si>
    <t>660484922</t>
  </si>
  <si>
    <t>4008292672</t>
  </si>
  <si>
    <t>Reunião com time de segurança/06169225/8AC2D051328</t>
  </si>
  <si>
    <t>6629004</t>
  </si>
  <si>
    <t>LVA Tangible Exp</t>
  </si>
  <si>
    <t>Valor LVA Tangible Exp ref  Docto Nr  1884</t>
  </si>
  <si>
    <t>SO ACUMULADORES ESTACIONARIOS LT</t>
  </si>
  <si>
    <t>660401797</t>
  </si>
  <si>
    <t>4008024758</t>
  </si>
  <si>
    <t>Valor LVA Tangible Exp ref  Docto Nr  1897</t>
  </si>
  <si>
    <t>660417427</t>
  </si>
  <si>
    <t>4008089780</t>
  </si>
  <si>
    <t>Valor LVA Tangible Exp ref  Docto Nr  1908</t>
  </si>
  <si>
    <t>660434877</t>
  </si>
  <si>
    <t>4008150172</t>
  </si>
  <si>
    <t>Valor LVA Tangible Exp ref  Docto Nr  1927</t>
  </si>
  <si>
    <t>660452569</t>
  </si>
  <si>
    <t>4008197787</t>
  </si>
  <si>
    <t>Valor LVA Tangible Exp ref  Docto Nr  1941</t>
  </si>
  <si>
    <t>660468956</t>
  </si>
  <si>
    <t>4008255088</t>
  </si>
  <si>
    <t>Valor LVA Tangible Exp ref  Docto Nr  1956</t>
  </si>
  <si>
    <t>660484959</t>
  </si>
  <si>
    <t>4008286452</t>
  </si>
  <si>
    <t>Valor LVA Tangible Exp ref  Docto Nr  1964</t>
  </si>
  <si>
    <t>660500523</t>
  </si>
  <si>
    <t>4008347631</t>
  </si>
  <si>
    <t>Valor LVA Tangible Exp ref  Docto Nr  1978</t>
  </si>
  <si>
    <t>660515303</t>
  </si>
  <si>
    <t>4008426716</t>
  </si>
  <si>
    <t>4008468897</t>
  </si>
  <si>
    <t>MANUT.RET E BATERIAS: SEG INDL</t>
  </si>
  <si>
    <t>660531477</t>
  </si>
  <si>
    <t>4008495701</t>
  </si>
  <si>
    <t>Valor LVA Tangible Exp ref  Docto Nr  1997</t>
  </si>
  <si>
    <t>660540273</t>
  </si>
  <si>
    <t>4008572778</t>
  </si>
  <si>
    <t>6831100</t>
  </si>
  <si>
    <t>Bus meals</t>
  </si>
  <si>
    <t>S 0010 CERTIFCACAO DE CABO OPTICO</t>
  </si>
  <si>
    <t>Utilização de Veículo Particular/11050737/573A5FCE</t>
  </si>
  <si>
    <t>Jessica Breda</t>
  </si>
  <si>
    <t>4008673468</t>
  </si>
  <si>
    <t>Valor Product literature ref  Docto Nr  3081</t>
  </si>
  <si>
    <t>ORIZON MEIO AMBIENTE SA</t>
  </si>
  <si>
    <t>660427313</t>
  </si>
  <si>
    <t>4008121549</t>
  </si>
  <si>
    <t>Valor Product literature ref  Docto Nr  3180</t>
  </si>
  <si>
    <t>660475251</t>
  </si>
  <si>
    <t>4008262400</t>
  </si>
  <si>
    <t>Valor Product literature ref  Docto Nr  3181</t>
  </si>
  <si>
    <t>660475243</t>
  </si>
  <si>
    <t>4008262403</t>
  </si>
  <si>
    <t>4008264607</t>
  </si>
  <si>
    <t>Valor Occup  safety serv ref  Docto Nr  50124</t>
  </si>
  <si>
    <t>GUEVARA OTO CLINICA MEDICA LTDA</t>
  </si>
  <si>
    <t>660505274</t>
  </si>
  <si>
    <t>4008352703</t>
  </si>
  <si>
    <t>Prov Assist Medica BCS 2022 02</t>
  </si>
  <si>
    <t>4008127179</t>
  </si>
  <si>
    <t>94</t>
  </si>
  <si>
    <t>Prov OPEB Ebit Effect BCS 2022 03</t>
  </si>
  <si>
    <t>4008184543</t>
  </si>
  <si>
    <t>Prov OPEB Ebit Effect BCS 2022.04</t>
  </si>
  <si>
    <t>4008218066</t>
  </si>
  <si>
    <t>Prov Pl  Medico Efeito Ebit BCS 2022</t>
  </si>
  <si>
    <t>4008262960</t>
  </si>
  <si>
    <t>Prov Pl. Medico Efeito Ebit BCS 2022</t>
  </si>
  <si>
    <t>4008295231</t>
  </si>
  <si>
    <t>4008422385</t>
  </si>
  <si>
    <t>4008435272</t>
  </si>
  <si>
    <t>4008516285</t>
  </si>
  <si>
    <t>4008672732</t>
  </si>
  <si>
    <t>37NY/37W/Seguro Contra Acidentes de Trabalho</t>
  </si>
  <si>
    <t>78</t>
  </si>
  <si>
    <t>Reclassif  Aluguel 364386</t>
  </si>
  <si>
    <t>4008131590</t>
  </si>
  <si>
    <t>54</t>
  </si>
  <si>
    <t>Reclassif. FEE 365115</t>
  </si>
  <si>
    <t>4008220666</t>
  </si>
  <si>
    <t>53</t>
  </si>
  <si>
    <t>4008293122</t>
  </si>
  <si>
    <t>625</t>
  </si>
  <si>
    <t>6821200</t>
  </si>
  <si>
    <t>Food allowance</t>
  </si>
  <si>
    <t>Missão Executiva/06169225/4F949979E14345D3A5B5/RDV</t>
  </si>
  <si>
    <t>4008351701</t>
  </si>
  <si>
    <t>37PE/37W/Encargos sobre 13o salário</t>
  </si>
  <si>
    <t>Missão Administrativa/06169225/36D2867CABDA416997D</t>
  </si>
  <si>
    <t>296</t>
  </si>
  <si>
    <t>Valor Security Service ref  Docto Nr  118850</t>
  </si>
  <si>
    <t>NOGARTEL TELECOMUNICACOES LTDA</t>
  </si>
  <si>
    <t>660550257</t>
  </si>
  <si>
    <t>4008583708</t>
  </si>
  <si>
    <t>67</t>
  </si>
  <si>
    <t>660512843</t>
  </si>
  <si>
    <t>4008435482</t>
  </si>
  <si>
    <t>624</t>
  </si>
  <si>
    <t>Teste Hidrostático em mangueira de 2½"</t>
  </si>
  <si>
    <t>660352718</t>
  </si>
  <si>
    <t>4008126364</t>
  </si>
  <si>
    <t>98</t>
  </si>
  <si>
    <t>Resolução 789 - Curso Transporte Veículo de Emergê</t>
  </si>
  <si>
    <t>Abastecimento Veículo Executivo Bayer/06168407/518</t>
  </si>
  <si>
    <t>Utilização de Veículo Particular/06168407/0BEB56E9</t>
  </si>
  <si>
    <t>Renovação CNH/08855401/F4BD9D288D0140E8AA51/RDVV R</t>
  </si>
  <si>
    <t>Raimundo Santos</t>
  </si>
  <si>
    <t>4008034262</t>
  </si>
  <si>
    <t>Evento MEX Rio/06169225/36D2867CABDA416997DE/RDVV/</t>
  </si>
  <si>
    <t>4008591406</t>
  </si>
  <si>
    <t>88</t>
  </si>
  <si>
    <t>639</t>
  </si>
  <si>
    <t>685</t>
  </si>
  <si>
    <t>Reclassif  Aluguel 362955</t>
  </si>
  <si>
    <t>4008131589</t>
  </si>
  <si>
    <t>Valor Product literature ref  Docto Nr  3047</t>
  </si>
  <si>
    <t>660384003</t>
  </si>
  <si>
    <t>4008063019</t>
  </si>
  <si>
    <t>983</t>
  </si>
  <si>
    <t>295</t>
  </si>
  <si>
    <t>Utilização Veículo Particular/08547685/B0DDC28E5EE</t>
  </si>
  <si>
    <t>4008247600</t>
  </si>
  <si>
    <t>687</t>
  </si>
  <si>
    <t>Valor Security Service ref  Docto Nr  116784</t>
  </si>
  <si>
    <t>660517236</t>
  </si>
  <si>
    <t>4008418154</t>
  </si>
  <si>
    <t>Rateio de Beneficios VA   VEE   Janeiro</t>
  </si>
  <si>
    <t>4008077156</t>
  </si>
  <si>
    <t>Valor Automobile insurance ref  Docto Nr  116784</t>
  </si>
  <si>
    <t>Comunicação mensal</t>
  </si>
  <si>
    <t>660531946</t>
  </si>
  <si>
    <t>4008485578</t>
  </si>
  <si>
    <t>4008293121</t>
  </si>
  <si>
    <t>638</t>
  </si>
  <si>
    <t>684</t>
  </si>
  <si>
    <t>Abastecimento Veículo Frota Bayer/06168350/490B70D</t>
  </si>
  <si>
    <t>4008200340</t>
  </si>
  <si>
    <t>Carimbos para Segurança Industrial/06168326/693EEC</t>
  </si>
  <si>
    <t>Missão Executiva/06168326/53F6150EC484419DA546/RDV</t>
  </si>
  <si>
    <t>4008245923</t>
  </si>
  <si>
    <t>/06169225/4F949979E14345D3A5B5/RDVV FARIAS/Weverso</t>
  </si>
  <si>
    <t>4600131263</t>
  </si>
  <si>
    <t>695</t>
  </si>
  <si>
    <t>4008049803</t>
  </si>
  <si>
    <t>Lançamento Rateio Medei_Homologações</t>
  </si>
  <si>
    <t>4008069659</t>
  </si>
  <si>
    <t>Serv Taxi 2a QUINZ MAI 22</t>
  </si>
  <si>
    <t>660490490</t>
  </si>
  <si>
    <t>4008308054</t>
  </si>
  <si>
    <t>Utilização de Veículo Particular/06168261/4BBB9EFA</t>
  </si>
  <si>
    <t>Leandro Ferreira</t>
  </si>
  <si>
    <t>4008493139</t>
  </si>
  <si>
    <t>Valor Security Service ref  Docto Nr  110000</t>
  </si>
  <si>
    <t>660402457</t>
  </si>
  <si>
    <t>4008055041</t>
  </si>
  <si>
    <t>Valor Security Service ref  Docto Nr  110841</t>
  </si>
  <si>
    <t>660419956</t>
  </si>
  <si>
    <t>4008100179</t>
  </si>
  <si>
    <t>Valor Security Service ref  Docto Nr  111726</t>
  </si>
  <si>
    <t>660440249</t>
  </si>
  <si>
    <t>4008179340</t>
  </si>
  <si>
    <t>Valor Security Service ref  Docto Nr  112662</t>
  </si>
  <si>
    <t>660455324</t>
  </si>
  <si>
    <t>4008215978</t>
  </si>
  <si>
    <t>660486730</t>
  </si>
  <si>
    <t>4008302885</t>
  </si>
  <si>
    <t>Valor Security Service ref  Docto Nr  115733</t>
  </si>
  <si>
    <t>660504634</t>
  </si>
  <si>
    <t>4008352704</t>
  </si>
  <si>
    <t>660569420</t>
  </si>
  <si>
    <t>4008673943</t>
  </si>
  <si>
    <t>Valor Security Service ref  Docto Nr  113735</t>
  </si>
  <si>
    <t>660473393</t>
  </si>
  <si>
    <t>4008257504</t>
  </si>
  <si>
    <t>641</t>
  </si>
  <si>
    <t>Utilização de Veículo Particular/06168407/65C2C124</t>
  </si>
  <si>
    <t>Serv Taxi 1a QUINZ MAI 22</t>
  </si>
  <si>
    <t>660490451</t>
  </si>
  <si>
    <t>4008308062</t>
  </si>
  <si>
    <t>619</t>
  </si>
  <si>
    <t>Utilização de Veículo Particular/07513892/D6B17FB6</t>
  </si>
  <si>
    <t>Alessandro Medeiros</t>
  </si>
  <si>
    <t>4008385346</t>
  </si>
  <si>
    <t>Valor Taxi publ transp  ref  Docto Nr  50855</t>
  </si>
  <si>
    <t>660403262</t>
  </si>
  <si>
    <t>4008026186</t>
  </si>
  <si>
    <t>4600128608</t>
  </si>
  <si>
    <t>Valor Taxi publ transp  ref  Docto Nr  50856</t>
  </si>
  <si>
    <t>660419124</t>
  </si>
  <si>
    <t>4008089768</t>
  </si>
  <si>
    <t>Missão Executiva/06168326/6957AE7ACBB7486EA991/RDV</t>
  </si>
  <si>
    <t>4008501478</t>
  </si>
  <si>
    <t>Exame PCR/06168326/7EBF28FF649C43FDADB5/RDVV AMORI</t>
  </si>
  <si>
    <t>Reciclagem Curso Vigilante - STARSEC/06167303/63CB</t>
  </si>
  <si>
    <t>Wanderley De Almeida</t>
  </si>
  <si>
    <t>4008164618</t>
  </si>
  <si>
    <t>CAIXA DE SOM 3W RMS PRETA USB</t>
  </si>
  <si>
    <t>COMPUTECNICA TECNOLOGIA LTDA</t>
  </si>
  <si>
    <t>660521917</t>
  </si>
  <si>
    <t>4008527441</t>
  </si>
  <si>
    <t>Lancamento Rateio Medei_Homologacoes</t>
  </si>
  <si>
    <t>4008261942</t>
  </si>
  <si>
    <t>4008377320</t>
  </si>
  <si>
    <t>Utilização de Veículo Particular/10356972/B5CC06C0</t>
  </si>
  <si>
    <t>Amauri Moraes</t>
  </si>
  <si>
    <t>4008430555</t>
  </si>
  <si>
    <t>Utilização de Veículo Particular/06168326/9E860770</t>
  </si>
  <si>
    <t>4600135123</t>
  </si>
  <si>
    <t>Utilização de Veículo Executivo Segurança Industri</t>
  </si>
  <si>
    <t>Vr recup Refeicoes Estagiarios   Mar</t>
  </si>
  <si>
    <t>Vr recup Refeições Estagiários - Abr</t>
  </si>
  <si>
    <t>4008672306</t>
  </si>
  <si>
    <t>Cadeados para Utilização Segurança Industrial/0616</t>
  </si>
  <si>
    <t>Utilização de Veículo Particular/06168407/8F808E91</t>
  </si>
  <si>
    <t>4008050148</t>
  </si>
  <si>
    <t>660403718</t>
  </si>
  <si>
    <t>4008034758</t>
  </si>
  <si>
    <t>Missão Executiva/06168407/28A962FAD04B4807B84B/RDV</t>
  </si>
  <si>
    <t>Utilização de Veículo Particular/06164223/139A37A3</t>
  </si>
  <si>
    <t>4008049445</t>
  </si>
  <si>
    <t>Sepultamento de Familiar do Colaborador Bayer/0616</t>
  </si>
  <si>
    <t>Retirada de Cães Complexo Industrial - Belford Rox</t>
  </si>
  <si>
    <t>4008248909</t>
  </si>
  <si>
    <t>Retirada de Cão Complexo Industrial Belford Roxo/0</t>
  </si>
  <si>
    <t>4008673418</t>
  </si>
  <si>
    <t>Missão Executiva/06169225/91C8740EB1584D2591E1/RDV</t>
  </si>
  <si>
    <t>Apoio a Balança Rodoviária/06827311/2FF311E5376940</t>
  </si>
  <si>
    <t>Carlos Pereira da Silva</t>
  </si>
  <si>
    <t>4008245932</t>
  </si>
  <si>
    <t>Utilização de Veículo Particular/06164223/21474C12</t>
  </si>
  <si>
    <t>4008504999</t>
  </si>
  <si>
    <t>Viagem para São Paulo./06169225/14751A63FB4D4CCBA6</t>
  </si>
  <si>
    <t>Missão Executiva/06165327/2D2D47F7396B4C1FAC82/RDV</t>
  </si>
  <si>
    <t>Missão Executiva/06169225/28342DDA476740E995C9/RDV</t>
  </si>
  <si>
    <t>Valor Taxi publ transp  ref  Docto Nr  50870</t>
  </si>
  <si>
    <t>660486862</t>
  </si>
  <si>
    <t>4008289515</t>
  </si>
  <si>
    <t>Vr recup Refeicoes Estagiarios   Mai</t>
  </si>
  <si>
    <t>Vr recup Refeições Estagiários - Set</t>
  </si>
  <si>
    <t>Missão Executiva/06169225/19D190A68F8C4B5786E0/RDV</t>
  </si>
  <si>
    <t>Valor Taxi publ transp  ref  Docto Nr  50877</t>
  </si>
  <si>
    <t>660510555</t>
  </si>
  <si>
    <t>4008398308</t>
  </si>
  <si>
    <t>Utilização Veículo Executivo Segurança Industrial/</t>
  </si>
  <si>
    <t>Renovação de CNH/06168350/45DBB78504CC4B839140/RDV</t>
  </si>
  <si>
    <t>Renovação de CNH/10356972/B5CC06C0E0334D1FA567/RDV</t>
  </si>
  <si>
    <t>Renovação de CNH/06168407/69C85EF4BA3A447A8418/RDV</t>
  </si>
  <si>
    <t>valor do documento 392</t>
  </si>
  <si>
    <t>4008091119</t>
  </si>
  <si>
    <t>Missão Executiva/06168326/BAC429038BDE44EAA85F/RDV</t>
  </si>
  <si>
    <t>4008576747</t>
  </si>
  <si>
    <t>Utilização de Veículo Particular/06169241/1DB60103</t>
  </si>
  <si>
    <t>4008501479</t>
  </si>
  <si>
    <t>M-0324 FITA FLEXIVEL</t>
  </si>
  <si>
    <t>Vr recup Refeicoes Estagiarios   Jul</t>
  </si>
  <si>
    <t>Mensalidade/Pedágios/Estacionamento/06169225/4F949</t>
  </si>
  <si>
    <t>Abastecimento Veículo Frota Bayer/06169241/D5D479F</t>
  </si>
  <si>
    <t>915</t>
  </si>
  <si>
    <t>Itens Uniforme Segurança Industrial/06168407/B903B</t>
  </si>
  <si>
    <t>Mensalidade/Pedagio/Estacionamento/06169225/B6FA76</t>
  </si>
  <si>
    <t>Utilização de Veículo Particular/06164223/65C53E30</t>
  </si>
  <si>
    <t>4008200336</t>
  </si>
  <si>
    <t>Utilização Veículo Diretoria BFR/10356972/BAB11A6B</t>
  </si>
  <si>
    <t>4008101360</t>
  </si>
  <si>
    <t>879</t>
  </si>
  <si>
    <t>Valor Taxi publ transp  ref  Docto Nr  50871</t>
  </si>
  <si>
    <t>660486877</t>
  </si>
  <si>
    <t>4008289514</t>
  </si>
  <si>
    <t>Material de Limpeza e Conservação Veículos Emergen</t>
  </si>
  <si>
    <t>Vr recup Refeições Estagiários -Jul</t>
  </si>
  <si>
    <t>4008404228</t>
  </si>
  <si>
    <t>TAG veículo Segurança/06169225/36D2867CABDA416997D</t>
  </si>
  <si>
    <t>Compra de Material de Escritório Segurança Industr</t>
  </si>
  <si>
    <t>4008094132</t>
  </si>
  <si>
    <t>URG DOC 300675</t>
  </si>
  <si>
    <t>4008108080</t>
  </si>
  <si>
    <t>Utilização de Veículo Particular/10356972/57223A63</t>
  </si>
  <si>
    <t>4008594171</t>
  </si>
  <si>
    <t>914</t>
  </si>
  <si>
    <t>Valor Transports ref  Docto Nr  416</t>
  </si>
  <si>
    <t>4008214287</t>
  </si>
  <si>
    <t>4008201983</t>
  </si>
  <si>
    <t>Utilização de Veículo Particular/06169241/D5D479F3</t>
  </si>
  <si>
    <t>Reciclagem Curso Vigilante Starsec/06168296/4201D5</t>
  </si>
  <si>
    <t>6761610</t>
  </si>
  <si>
    <t>Print-Media prod.</t>
  </si>
  <si>
    <t>Valor NF 14833</t>
  </si>
  <si>
    <t>FRIENDS FOREVER EDITORA LTDA ME</t>
  </si>
  <si>
    <t>4008485517</t>
  </si>
  <si>
    <t>Apoio a Balança Rodoviaria/06827311/A5C986BE40EB42</t>
  </si>
  <si>
    <t>4008351710</t>
  </si>
  <si>
    <t>Renovação CNH/10899445/7429E4D9461144A1B500/RDVV M</t>
  </si>
  <si>
    <t>Monique Moreira</t>
  </si>
  <si>
    <t>4008352216</t>
  </si>
  <si>
    <t>Renovação de CNH/10356972/DF92D98F5F33460C994D/RDV</t>
  </si>
  <si>
    <t>4008376354</t>
  </si>
  <si>
    <t>Renovação de CNH/06168326/693EECAE0ABE418D89C8/RDV</t>
  </si>
  <si>
    <t>Renovação CNH/06168407/5187718009B947FE8147/RDVV G</t>
  </si>
  <si>
    <t>Utilização Veículo Particular/06168407/38A1C94DF42</t>
  </si>
  <si>
    <t>Utilização de Veículo Particular/08547685/256265A4</t>
  </si>
  <si>
    <t>4008594151</t>
  </si>
  <si>
    <t>Mensalidade/Pedagio/Estacionamento/06169225/14751A</t>
  </si>
  <si>
    <t>Lavagem Veículo Emergencial Segurança Industrial/0</t>
  </si>
  <si>
    <t>Abastecimento Veículo Frota SP/06168326/7EBF28FF64</t>
  </si>
  <si>
    <t>Valor Chemical Analysis ref  Docto Nr  22044</t>
  </si>
  <si>
    <t>OPERATOR A E ANALIS AMBIENTAIS LTDA</t>
  </si>
  <si>
    <t>660507914</t>
  </si>
  <si>
    <t>4008620137</t>
  </si>
  <si>
    <t>Utilização de Veículo Particular/06169241/1D8E0029</t>
  </si>
  <si>
    <t>Serviço de Cartório/06169225/58107958A9DE4101BDDD/</t>
  </si>
  <si>
    <t>4600141395</t>
  </si>
  <si>
    <t>4008446967</t>
  </si>
  <si>
    <t>Valor Environmental serv ref  Docto Nr  50884</t>
  </si>
  <si>
    <t>660546700</t>
  </si>
  <si>
    <t>4008568043</t>
  </si>
  <si>
    <t>74</t>
  </si>
  <si>
    <t>Utilização Veículo Particular/06168326/53F6150EC48</t>
  </si>
  <si>
    <t>Valor Environmental serv ref  Docto Nr  50885</t>
  </si>
  <si>
    <t>660546714</t>
  </si>
  <si>
    <t>4008568038</t>
  </si>
  <si>
    <t>Diária por Veículo no Pátio</t>
  </si>
  <si>
    <t>660535177</t>
  </si>
  <si>
    <t>4008518489</t>
  </si>
  <si>
    <t>Vr recup Refeições Estagiários - Out</t>
  </si>
  <si>
    <t>Missão Executiva/06168326/7EBF28FF649C43FDADB5/RDV</t>
  </si>
  <si>
    <t>6624000</t>
  </si>
  <si>
    <t>Depr F/Fix</t>
  </si>
  <si>
    <t>37PA/37W/Contribuição a Previdencia Privada</t>
  </si>
  <si>
    <t>76</t>
  </si>
  <si>
    <t>SERV DESCARTE RESÍDUO ETE-CAJÚ</t>
  </si>
  <si>
    <t>Audiometria Ocupacional- Timpanometria</t>
  </si>
  <si>
    <t>660553033</t>
  </si>
  <si>
    <t>4008602422</t>
  </si>
  <si>
    <t>Utilização de Veículo Particular/10356980/83C17AE9</t>
  </si>
  <si>
    <t>Utilização de Veículo Particular/06164223/A7691279</t>
  </si>
  <si>
    <t>4008293120</t>
  </si>
  <si>
    <t>Reclassif. Despachante 122051215</t>
  </si>
  <si>
    <t>4008322316</t>
  </si>
  <si>
    <t>Compra de Carimbo Segurança Industrial/06168407/69</t>
  </si>
  <si>
    <t>Tag Mensalidade/Pedagio/Estacionamento/06169225/91</t>
  </si>
  <si>
    <t>Lançamento Seguro de Vida - Maio</t>
  </si>
  <si>
    <t>4008445138</t>
  </si>
  <si>
    <t>TAG SEM PARAR/06169225/58107958A9DE4101BDDD/RDVV F</t>
  </si>
  <si>
    <t>Renovação CNH/06168350/45DBB78504CC4B839140/RDVV C</t>
  </si>
  <si>
    <t>4600139345</t>
  </si>
  <si>
    <t>Utilização de Veículo Particular/08547685/7DBDB66A</t>
  </si>
  <si>
    <t>4008200365</t>
  </si>
  <si>
    <t>Utilização de Veículo Particular/08547685/87E66D32</t>
  </si>
  <si>
    <t>4008326333</t>
  </si>
  <si>
    <t>Lancamento Seguro de Vida   Janeiro</t>
  </si>
  <si>
    <t>769</t>
  </si>
  <si>
    <t>660538461</t>
  </si>
  <si>
    <t>4008519007</t>
  </si>
  <si>
    <t>4008094133</t>
  </si>
  <si>
    <t>Renovação CNH/06168326/9E8607702CB8477EA255/RDVV A</t>
  </si>
  <si>
    <t>Pagamento da fatura após o vencimento./06169225/91</t>
  </si>
  <si>
    <t>Valor Transports ref  Docto Nr  12152</t>
  </si>
  <si>
    <t>660551889</t>
  </si>
  <si>
    <t>4008608513</t>
  </si>
  <si>
    <t>EGNJH</t>
  </si>
  <si>
    <t>Apoio a Equipe de Turno/08833742/31849F7051AF4A82A</t>
  </si>
  <si>
    <t>Marcelo Carmo</t>
  </si>
  <si>
    <t>4008099088</t>
  </si>
  <si>
    <t>Material de Limpeza Veículos Emergenciais Seguranç</t>
  </si>
  <si>
    <t>Reclassif. Despachante 1220761</t>
  </si>
  <si>
    <t>4008400568</t>
  </si>
  <si>
    <t>I 0220 INST CORDAO OPTICO DUPLEX</t>
  </si>
  <si>
    <t>I 0324 INST FITA FLEXIVEL</t>
  </si>
  <si>
    <t>Utilização de Veículo Particular/08855401/E99CB8D2</t>
  </si>
  <si>
    <t>4008095295</t>
  </si>
  <si>
    <t>Missão Executiva/06169225/36D2867CABDA416997DE/RDV</t>
  </si>
  <si>
    <t>Reunião com time de Segurança/06169225/8AC2D051328</t>
  </si>
  <si>
    <t>4600128908</t>
  </si>
  <si>
    <t>Valor do documento Nr  481 1</t>
  </si>
  <si>
    <t>660551088</t>
  </si>
  <si>
    <t>4008598994</t>
  </si>
  <si>
    <t>Reciclagem Curso de Vigilante - STARSEC/07513892/D</t>
  </si>
  <si>
    <t>Valor Occup  safety serv ref  Docto Nr  50125</t>
  </si>
  <si>
    <t>660511938</t>
  </si>
  <si>
    <t>4008400543</t>
  </si>
  <si>
    <t>Valor Occup  safety serv ref  Docto Nr  50126</t>
  </si>
  <si>
    <t>660525950</t>
  </si>
  <si>
    <t>4008456244</t>
  </si>
  <si>
    <t>Utilização de Veículo Particular/06164223/258BF97E</t>
  </si>
  <si>
    <t>4008594143</t>
  </si>
  <si>
    <t>Teste Hidrostático em mangueira de 1½"</t>
  </si>
  <si>
    <t>Utilização Veículo Executivo Bayer/06168326/6957AE</t>
  </si>
  <si>
    <t>Utilização Veículo Particular/10356972/DF92D98F5F3</t>
  </si>
  <si>
    <t>FITA ADESIVA DUPLA FACE 19MM X 20M 3M</t>
  </si>
  <si>
    <t>4008526815</t>
  </si>
  <si>
    <t>Compra de Materiais Emergenciais/06168407/B903B432</t>
  </si>
  <si>
    <t>Utilização de Veículo Particular/06827648/1C92644F</t>
  </si>
  <si>
    <t>Robson Soares</t>
  </si>
  <si>
    <t>4008094138</t>
  </si>
  <si>
    <t>292</t>
  </si>
  <si>
    <t>Utilização de Veículo Particular/06169241/CE1AAF34</t>
  </si>
  <si>
    <t>Manutenção Preventiva/06169225/B6FA768F86C8487E956</t>
  </si>
  <si>
    <t>UTIL-Sanar vazamento  na bb diesel</t>
  </si>
  <si>
    <t>4600141366</t>
  </si>
  <si>
    <t>Apoio a Carregamento CS/06827311/302A806216BD415F9</t>
  </si>
  <si>
    <t>4008099086</t>
  </si>
  <si>
    <t>6131000</t>
  </si>
  <si>
    <t>Nitrogen var</t>
  </si>
  <si>
    <t>Valor do documento Nr  386065 200</t>
  </si>
  <si>
    <t>AIR LIQUIDE BRASIL LTDA</t>
  </si>
  <si>
    <t>4008347871</t>
  </si>
  <si>
    <t>Utilização de Veículo Particular/07388982/747E9D6B</t>
  </si>
  <si>
    <t>Jonas Costa</t>
  </si>
  <si>
    <t>4008049772</t>
  </si>
  <si>
    <t>Utilização de Veículo Particular/07388982/E7DFCE3B</t>
  </si>
  <si>
    <t>4008094140</t>
  </si>
  <si>
    <t>Utilização de Veículo Particular/06165408/FA3BA10F</t>
  </si>
  <si>
    <t>Julio Henriques</t>
  </si>
  <si>
    <t>4008200338</t>
  </si>
  <si>
    <t>Utilização Veículo Particular/07388982/CE8B178C6DC</t>
  </si>
  <si>
    <t>4008245934</t>
  </si>
  <si>
    <t>Utilização de Veículo Particular/06164223/B9154935</t>
  </si>
  <si>
    <t>4008049446</t>
  </si>
  <si>
    <t>Utilização Veículo Particular/06164223/C0F9ADB1D0F</t>
  </si>
  <si>
    <t>4008138387</t>
  </si>
  <si>
    <t>Utilização de Veículo Particular/10356980/2FB119AA</t>
  </si>
  <si>
    <t>4008293207</t>
  </si>
  <si>
    <t>Utilização Veículos Executivos Segurança Industria</t>
  </si>
  <si>
    <t>Utilização de Veículo Particular/06164223/D0DF9434</t>
  </si>
  <si>
    <t>4008446965</t>
  </si>
  <si>
    <t>Reclassif. Despachante 40669</t>
  </si>
  <si>
    <t>4008463651</t>
  </si>
  <si>
    <t>4008031250</t>
  </si>
  <si>
    <t>Apoio a Equipe de Turno/06168296/F0EBA0D12B43484F8</t>
  </si>
  <si>
    <t>4008095269</t>
  </si>
  <si>
    <t>Utilização Veículo Particular/08855401/53F3D878B28</t>
  </si>
  <si>
    <t>4008243286</t>
  </si>
  <si>
    <t>635</t>
  </si>
  <si>
    <t>Utilização de Veículo Particular/06168326/693EECAE</t>
  </si>
  <si>
    <t>Utilização de Veículo Particular/06168326/008A69C5</t>
  </si>
  <si>
    <t>Material de Conservação e Limpeza Veículos Emergen</t>
  </si>
  <si>
    <t>Reciclagem Curso Vigilante Starsec/08547685/3ABBE3</t>
  </si>
  <si>
    <t>4008585853</t>
  </si>
  <si>
    <t>Sepultamento de Familiar Colaborador Bayer/0616840</t>
  </si>
  <si>
    <t>I 0407 INST DE PROTETOR DE EMENDA</t>
  </si>
  <si>
    <t>Utilização de Veículo Particular/10356972/71937F39</t>
  </si>
  <si>
    <t>4008201908</t>
  </si>
  <si>
    <t>Utilização de Veículo Particular/06168407/DEC7EFFC</t>
  </si>
  <si>
    <t>Valor Taxi publ transp  ref  Docto Nr  50854</t>
  </si>
  <si>
    <t>660403350</t>
  </si>
  <si>
    <t>4008026185</t>
  </si>
  <si>
    <t>Pgto Estag BCS - 06/2021</t>
  </si>
  <si>
    <t>INSTITUTO EUVALDO LODI</t>
  </si>
  <si>
    <t>614277248</t>
  </si>
  <si>
    <t>4008019513</t>
  </si>
  <si>
    <t>Utilização Veículo Particular/08855401/CF525B1E227</t>
  </si>
  <si>
    <t>4008146013</t>
  </si>
  <si>
    <t>4008337377</t>
  </si>
  <si>
    <t>Lavagem/06169225/B6FA768F86C8487E956A/RDVV FARIAS/</t>
  </si>
  <si>
    <t>Compra Material de Proteção Celular Corporativo/06</t>
  </si>
  <si>
    <t>Manutenção Veículos Segurança Industrial/06168407/</t>
  </si>
  <si>
    <t>Missão Executiva/06169225/8AC2D051328F4702A38D/RDV</t>
  </si>
  <si>
    <t>DESINFETANTE PERFUMADO USO GERAL 20L</t>
  </si>
  <si>
    <t>4008404064</t>
  </si>
  <si>
    <t>M-0407 PROTETOR DE EMENDA OPTICA</t>
  </si>
  <si>
    <t>Devolução do Celular/07615008/41561EEABC5346779EB7</t>
  </si>
  <si>
    <t>4008666796</t>
  </si>
  <si>
    <t>60</t>
  </si>
  <si>
    <t>682</t>
  </si>
  <si>
    <t>693</t>
  </si>
  <si>
    <t>Compra de Ração para Cães Capturados no Complexo I</t>
  </si>
  <si>
    <t>Reciclagem Curso de Vigilante STARSEC/06168261/4BB</t>
  </si>
  <si>
    <t>calçado/07277021/FD4996726F644EC99696/Sapatos/Regi</t>
  </si>
  <si>
    <t>Regina da Silva</t>
  </si>
  <si>
    <t>4008200354</t>
  </si>
  <si>
    <t>Utilização de Veículo Particular/09695459/E56793E9</t>
  </si>
  <si>
    <t>Alex Lima</t>
  </si>
  <si>
    <t>4008094156</t>
  </si>
  <si>
    <t>Apoio a Equipe de Turno/07513892/D55F39B6AF984A91B</t>
  </si>
  <si>
    <t>4008029949</t>
  </si>
  <si>
    <t>660552486</t>
  </si>
  <si>
    <t>4008602411</t>
  </si>
  <si>
    <t>KIT DE TERMINAL FIXO (MESA) - MTM5400</t>
  </si>
  <si>
    <t>6994000</t>
  </si>
  <si>
    <t>Other Inc.In.for Inv</t>
  </si>
  <si>
    <t>660557363</t>
  </si>
  <si>
    <t>4008627926</t>
  </si>
  <si>
    <t>Materiais Limpeza Segurança Industrial/06168407/60</t>
  </si>
  <si>
    <t>M-0392 PLAQUETA DE ACRILICO</t>
  </si>
  <si>
    <t>Utilização Veículo Particular/06169241/A9ACCA9A7B0</t>
  </si>
  <si>
    <t>Missão Executiva/06169225/58107958A9DE4101BDDD/RDV</t>
  </si>
  <si>
    <t>Missão Executiva/06168407/0BEB56E992794670A6C1/RDV</t>
  </si>
  <si>
    <t>Missão Executiva/06169225/B6FA768F86C8487E956A/RDV</t>
  </si>
  <si>
    <t>Mensalidade/Pedagio/06169225/9E5BE7D291444A51BB15/</t>
  </si>
  <si>
    <t>Mensalidade/Pedagio/06169225/8AC2D051328F4702A38D/</t>
  </si>
  <si>
    <t>Mensalidade Sem Parar/06169225/28342DDA476740E995C</t>
  </si>
  <si>
    <t>Apolice Sura Responsabilidade Civil 01 12   Jan</t>
  </si>
  <si>
    <t>4008178938</t>
  </si>
  <si>
    <t>Apolice Sura Responsabilidade Civil 02 12   Fev</t>
  </si>
  <si>
    <t>4008178939</t>
  </si>
  <si>
    <t>Apolice Sura Responsabilidade Civil 03 12   Mar</t>
  </si>
  <si>
    <t>4008178943</t>
  </si>
  <si>
    <t>Valor Maint &amp; Leg Co Compl ref  Docto Nr  402</t>
  </si>
  <si>
    <t>660380640</t>
  </si>
  <si>
    <t>4008021132</t>
  </si>
  <si>
    <t>Utilização de Veículo Particular/09695459/A6CB6574</t>
  </si>
  <si>
    <t>4008352145</t>
  </si>
  <si>
    <t>Utilização de Veículo Particular/08855401/F4BD9D28</t>
  </si>
  <si>
    <t>Utilização de Veículo Particular/08855401/9C0FDD72</t>
  </si>
  <si>
    <t>4008291118</t>
  </si>
  <si>
    <t>Valor Coll transp staff ref  Docto Nr  50119</t>
  </si>
  <si>
    <t>660437418</t>
  </si>
  <si>
    <t>4008154910</t>
  </si>
  <si>
    <t>Material para Segurança Industrial/06168407/7D86FB</t>
  </si>
  <si>
    <t>Valor Supplies ref  Docto Nr  455</t>
  </si>
  <si>
    <t>660458496</t>
  </si>
  <si>
    <t>4008245334</t>
  </si>
  <si>
    <t>Retirada/desinstalação</t>
  </si>
  <si>
    <t>Apoio a Balança Rodoviaria/06827311/7841E326A67C42</t>
  </si>
  <si>
    <t>4008505311</t>
  </si>
  <si>
    <t>Documentação Processo Exército/06169225/B6FA768F86</t>
  </si>
  <si>
    <t>Autenticação de Documentos/06169225/4F949979E14345</t>
  </si>
  <si>
    <t>Utilização Veículo Particular/10356972/6BC64202032</t>
  </si>
  <si>
    <t>4008245977</t>
  </si>
  <si>
    <t>Reunião Time Segurança/06169225/8AC2D051328F4702A3</t>
  </si>
  <si>
    <t>Viagem para São Paulo/06169225/14751A63FB4D4CCBA67</t>
  </si>
  <si>
    <t>Missão Executiva/10356972/6BC64202032741539105/RDV</t>
  </si>
  <si>
    <t>4008197718</t>
  </si>
  <si>
    <t>LIMPA CONTATOS LC-150 SPRAY 300ML</t>
  </si>
  <si>
    <t>4008296007</t>
  </si>
  <si>
    <t>974</t>
  </si>
  <si>
    <t>Valor Transports ref  Docto Nr  11576 0</t>
  </si>
  <si>
    <t>660526458</t>
  </si>
  <si>
    <t>4008456109</t>
  </si>
  <si>
    <t>27</t>
  </si>
  <si>
    <t>Taxa GRU/06169225/28342DDA476740E995C9/RDVV FARIAS</t>
  </si>
  <si>
    <t>4008456032</t>
  </si>
  <si>
    <t>Lancamento Ticket   Setembro</t>
  </si>
  <si>
    <t>4008559274</t>
  </si>
  <si>
    <t>Utilização de Veículo Particular/06164223/957728B2</t>
  </si>
  <si>
    <t>4008147140</t>
  </si>
  <si>
    <t>Utilização Veículo Particular/06164223/B056D84BE57</t>
  </si>
  <si>
    <t>4008293119</t>
  </si>
  <si>
    <t>I 0392 INST DE PALQUETA ACRILICO</t>
  </si>
  <si>
    <t>Apoio a Equipe de Turno/08833742/82FFF04433D94F55A</t>
  </si>
  <si>
    <t>4008050007</t>
  </si>
  <si>
    <t>Apoio a Equipe de Turno/08833742/58FEADF0F52D46AFB</t>
  </si>
  <si>
    <t>4008074077</t>
  </si>
  <si>
    <t>Viagem São Paulo/06169225/14751A63FB4D4CCBA676/RDV</t>
  </si>
  <si>
    <t>6426100</t>
  </si>
  <si>
    <t>Postage</t>
  </si>
  <si>
    <t>Envio de equipamento para São Paulo/06169225/B6FA7</t>
  </si>
  <si>
    <t>Lavagem/06169225/8AC2D051328F4702A38D/RDVV FARIAS/</t>
  </si>
  <si>
    <t>Limpeza veicular/06169225/28342DDA476740E995C9/RDV</t>
  </si>
  <si>
    <t>Utilização de Veículo Particular/06169241/76D00F1A</t>
  </si>
  <si>
    <t>4008351703</t>
  </si>
  <si>
    <t>660489730</t>
  </si>
  <si>
    <t>4008308028</t>
  </si>
  <si>
    <t>Cópias de Chave da Academia CS/06169241/D5D479F36F</t>
  </si>
  <si>
    <t>20</t>
  </si>
  <si>
    <t>Troca de bateria/06169225/28342DDA476740E995C9/RDV</t>
  </si>
  <si>
    <t>Lavagem Veículo Executivo Segurança Industrial/061</t>
  </si>
  <si>
    <t>Utilização de Veículo Particular/06168326/BF262E63</t>
  </si>
  <si>
    <t>Utilização de Veículo Particular/06168326/7EBF28FF</t>
  </si>
  <si>
    <t>Vr recup Refeicoes Estagiarios   Jan</t>
  </si>
  <si>
    <t>Material Conservação e Limpeza Veículos Emergencia</t>
  </si>
  <si>
    <t>Missão Administrativa/06168407/28A962FAD04B4807B84</t>
  </si>
  <si>
    <t>Troca de aparelho/07615008/41561EEABC5346779EB7/Re</t>
  </si>
  <si>
    <t>Valor Health ben sal ref  Docto Nr  16569</t>
  </si>
  <si>
    <t>660422179</t>
  </si>
  <si>
    <t>4008101817</t>
  </si>
  <si>
    <t>M-0325 FITA ISOLANTE</t>
  </si>
  <si>
    <t>4008351700</t>
  </si>
  <si>
    <t>Vr recup Serv Restaur Visitantes - Jul</t>
  </si>
  <si>
    <t>GRAXA LIQUIDA HHS 2000</t>
  </si>
  <si>
    <t>Missão Administrativa/06169225/91C8740EB1584D2591E</t>
  </si>
  <si>
    <t>I 0002 INST DE ABRACADEIRA PLASTICA T30</t>
  </si>
  <si>
    <t>Uniforme Segurança Industrial/06168407/8F808E917CE</t>
  </si>
  <si>
    <t>4008099085</t>
  </si>
  <si>
    <t>Missão Executiva/06169225/14751A63FB4D4CCBA676/RDV</t>
  </si>
  <si>
    <t>Fatura paga após o vencimento./06169225/91C8740EB1</t>
  </si>
  <si>
    <t>Audiometria Ocupacional</t>
  </si>
  <si>
    <t>660489743</t>
  </si>
  <si>
    <t>4008295534</t>
  </si>
  <si>
    <t>TINTA SPRAY PRETA FOSCO 350ML</t>
  </si>
  <si>
    <t>4008461784</t>
  </si>
  <si>
    <t>4008548000</t>
  </si>
  <si>
    <t>Utilização de Veículo Particular/06168296/98CF276B</t>
  </si>
  <si>
    <t>4008062263</t>
  </si>
  <si>
    <t>Utilização Veículo Particular/06168296/6FC7565F2DE</t>
  </si>
  <si>
    <t>4008245922</t>
  </si>
  <si>
    <t>Material Limpeza Veículos Emergenciais Segurança I</t>
  </si>
  <si>
    <t>Despesa de cartão de crédito./06169225/36D2867CABD</t>
  </si>
  <si>
    <t>ABRACADEIRA AUTO TRAV NYLON 203MM T50R</t>
  </si>
  <si>
    <t>4008461787</t>
  </si>
  <si>
    <t>Viagem a São Paulo/06169225/14751A63FB4D4CCBA676/R</t>
  </si>
  <si>
    <t>6429990</t>
  </si>
  <si>
    <t>Other transport exp</t>
  </si>
  <si>
    <t>Serviços de Correios</t>
  </si>
  <si>
    <t>EMP BRAS DE CORREIOS E TELEGRAFO</t>
  </si>
  <si>
    <t>660512835</t>
  </si>
  <si>
    <t>4008400647</t>
  </si>
  <si>
    <t>Missão Administrativa/06169225/B6FA768F86C8487E956</t>
  </si>
  <si>
    <t>Uber/10608688/B70F51754AB445229C98/Uber/Thays Rodr</t>
  </si>
  <si>
    <t>Thays Rodrigues</t>
  </si>
  <si>
    <t>4008094192</t>
  </si>
  <si>
    <t>Utilização de Veículo Particular/09695459/3215B904</t>
  </si>
  <si>
    <t>4008147146</t>
  </si>
  <si>
    <t>Utilização de Veículo Particular/09695459/FFF0638C</t>
  </si>
  <si>
    <t>4008200379</t>
  </si>
  <si>
    <t>Utilização Veículo Particular/09695459/CCF3B1427DC</t>
  </si>
  <si>
    <t>4008245949</t>
  </si>
  <si>
    <t>Apoio a Equipe de Turno/06168296/30848C2F10244037B</t>
  </si>
  <si>
    <t>4008251993</t>
  </si>
  <si>
    <t>Utilização Veículo Pessoal/06169241/8DFFF9018AA247</t>
  </si>
  <si>
    <t>Missão Administrativa/06169225/28342DDA476740E995C</t>
  </si>
  <si>
    <t>valor documento 300636</t>
  </si>
  <si>
    <t>4008344171</t>
  </si>
  <si>
    <t>Conserto Uniforme Segurança Industrial/10899445/44</t>
  </si>
  <si>
    <t>4008164656</t>
  </si>
  <si>
    <t>Apoio a Equipe de Turno/10356972/6BC64202032741539</t>
  </si>
  <si>
    <t>CADEADO LATAO  25MM</t>
  </si>
  <si>
    <t>4008103187</t>
  </si>
  <si>
    <t>Material Escritório/06168350/490B70D1F5204216A838/</t>
  </si>
  <si>
    <t>Reclassif. Despachante 40252</t>
  </si>
  <si>
    <t>4008322314</t>
  </si>
  <si>
    <t>Reclassif. Despachante 40467</t>
  </si>
  <si>
    <t>4008400566</t>
  </si>
  <si>
    <t>Apoio a Equipe de Turno/06168296/98CF276BF69B47399</t>
  </si>
  <si>
    <t>Evento MEX/06169225/36D2867CABDA416997DE/RDVV FARI</t>
  </si>
  <si>
    <t>4008119580</t>
  </si>
  <si>
    <t>Pneu Onibus Fretado Furou/10891118/8245B2966D1C460</t>
  </si>
  <si>
    <t>Catherine Hoedemaker</t>
  </si>
  <si>
    <t>4008326351</t>
  </si>
  <si>
    <t>Missão Administrativa/06169225/58107958A9DE4101BDD</t>
  </si>
  <si>
    <t>Manutenção Veículo Frota Bayer/06168326/BAC429038B</t>
  </si>
  <si>
    <t>M-0002 ABRAÇADEIRA PLASTICA</t>
  </si>
  <si>
    <t>4008282663</t>
  </si>
  <si>
    <t>Higienização EPIs</t>
  </si>
  <si>
    <t>4008521937</t>
  </si>
  <si>
    <t>Missão Administrativa/06168326/693EECAE0ABE418D89C</t>
  </si>
  <si>
    <t>ENVELOPE CORREIO INTERNO MD MOD 0051GR</t>
  </si>
  <si>
    <t>BASE RELE FOTELETRICO ILUMATIC 31122700</t>
  </si>
  <si>
    <t>4008296006</t>
  </si>
  <si>
    <t>Serviço Administrativo/06169225/4F949979E14345D3A5</t>
  </si>
  <si>
    <t>I 0325 INST FITA ISOLANTE</t>
  </si>
  <si>
    <t>4600136146</t>
  </si>
  <si>
    <t>4600136143</t>
  </si>
  <si>
    <t>Valor Security Service ref  Docto Nr  7928</t>
  </si>
  <si>
    <t>614086526</t>
  </si>
  <si>
    <t>4008063125</t>
  </si>
  <si>
    <t>Valor do documento Nr  2376 1</t>
  </si>
  <si>
    <t>4008195601</t>
  </si>
  <si>
    <t>37OK/37W/Transportes Colaboradores PJ</t>
  </si>
  <si>
    <t>ST:Pr CB mESTI Ud</t>
  </si>
  <si>
    <t>58</t>
  </si>
  <si>
    <t>ST:Pr vac ent Ud</t>
  </si>
  <si>
    <t>919</t>
  </si>
  <si>
    <t>37OG/37W/Seguro de Vida Acidentes Pessoais em Grup</t>
  </si>
  <si>
    <t>973</t>
  </si>
  <si>
    <t>6876100</t>
  </si>
  <si>
    <t>Nondeductible VAT</t>
  </si>
  <si>
    <t>Estorno 4610009015 lancamento indevido</t>
  </si>
  <si>
    <t>Out Tax VAT BR ICMS</t>
  </si>
  <si>
    <t>4008559006</t>
  </si>
  <si>
    <t>GNROO</t>
  </si>
  <si>
    <t>37OS/37W/Reembolso Co-Participação Assistência Méd</t>
  </si>
  <si>
    <t>64</t>
  </si>
  <si>
    <t>634</t>
  </si>
  <si>
    <t>621</t>
  </si>
  <si>
    <t>681</t>
  </si>
  <si>
    <t>692</t>
  </si>
  <si>
    <t>980</t>
  </si>
  <si>
    <t>291</t>
  </si>
  <si>
    <t>37OR/37W/Outras Despesas Sociais</t>
  </si>
  <si>
    <t>180</t>
  </si>
  <si>
    <t>82</t>
  </si>
  <si>
    <t>306</t>
  </si>
  <si>
    <t>918</t>
  </si>
  <si>
    <t>537</t>
  </si>
  <si>
    <t>631</t>
  </si>
  <si>
    <t>72</t>
  </si>
  <si>
    <t>6716000</t>
  </si>
  <si>
    <t>Food f. Empl.</t>
  </si>
  <si>
    <t>37OV/37W/Recuperação por Refeições Fornecidas</t>
  </si>
  <si>
    <t>86</t>
  </si>
  <si>
    <t>73</t>
  </si>
  <si>
    <t>632</t>
  </si>
  <si>
    <t>921</t>
  </si>
  <si>
    <t>104</t>
  </si>
  <si>
    <t>87</t>
  </si>
  <si>
    <t>37OJ/37W/Assistência Odontológica  -   Ativos</t>
  </si>
  <si>
    <t>446</t>
  </si>
  <si>
    <t>461</t>
  </si>
  <si>
    <t>467</t>
  </si>
  <si>
    <t>452</t>
  </si>
  <si>
    <t>331</t>
  </si>
  <si>
    <t>SERV ANALISE LABORATORIAL MBAS</t>
  </si>
  <si>
    <t>4008262922</t>
  </si>
  <si>
    <t>SERV ANALISE LABORATORIAL OLEOS E GRAXAS</t>
  </si>
  <si>
    <t>SERV ANALISE LABORATORIAL CLORETO</t>
  </si>
  <si>
    <t>975</t>
  </si>
  <si>
    <t>62</t>
  </si>
  <si>
    <t>679</t>
  </si>
  <si>
    <t>978</t>
  </si>
  <si>
    <t>293</t>
  </si>
  <si>
    <t>4600136145</t>
  </si>
  <si>
    <t>SERV ANALISE LABORATORIAL DBO5</t>
  </si>
  <si>
    <t>37OV/37U/Recuperação por Refeições Fornecidas</t>
  </si>
  <si>
    <t>37OS/37U/Reembolso Co-Participação Assistência Méd</t>
  </si>
  <si>
    <t>SERV ANALISE LABORATORIAL DQO TITULOMETR</t>
  </si>
  <si>
    <t>4008468876</t>
  </si>
  <si>
    <t>37OI/37U/Assistência Médica/Hospitalar PJ</t>
  </si>
  <si>
    <t>748</t>
  </si>
  <si>
    <t>830</t>
  </si>
  <si>
    <t>849</t>
  </si>
  <si>
    <t>912</t>
  </si>
  <si>
    <t>852</t>
  </si>
  <si>
    <t>876</t>
  </si>
  <si>
    <t>37OG/37U/Seguro de Vida Acidentes Pessoais em Grup</t>
  </si>
  <si>
    <t>37NK/37U/Comissões a Colaboradores</t>
  </si>
  <si>
    <t>724</t>
  </si>
  <si>
    <t>4600136121</t>
  </si>
  <si>
    <t>780</t>
  </si>
  <si>
    <t>37OJ/37U/Assistência Odontológica  -   Ativos</t>
  </si>
  <si>
    <t>877</t>
  </si>
  <si>
    <t>590</t>
  </si>
  <si>
    <t>844</t>
  </si>
  <si>
    <t>810</t>
  </si>
  <si>
    <t>698</t>
  </si>
  <si>
    <t>869</t>
  </si>
  <si>
    <t>Alocação indevida de custo</t>
  </si>
  <si>
    <t>4008070339</t>
  </si>
  <si>
    <t>872</t>
  </si>
  <si>
    <t>824</t>
  </si>
  <si>
    <t>37OK/37U/Transportes Colaboradores PJ</t>
  </si>
  <si>
    <t>874</t>
  </si>
  <si>
    <t>846</t>
  </si>
  <si>
    <t>850</t>
  </si>
  <si>
    <t>627</t>
  </si>
  <si>
    <t>795</t>
  </si>
  <si>
    <t>4400018200</t>
  </si>
  <si>
    <t>4008181033</t>
  </si>
  <si>
    <t>4008181034</t>
  </si>
  <si>
    <t>4008142025</t>
  </si>
  <si>
    <t>4008142053</t>
  </si>
  <si>
    <t>Credito de PIS e COFINS sobre a depreciacao JAN 20</t>
  </si>
  <si>
    <t>4008074755</t>
  </si>
  <si>
    <t>GMHLL</t>
  </si>
  <si>
    <t>Credito de PIS e COFINS sobre a depreciacao FEV 20</t>
  </si>
  <si>
    <t>4008121605</t>
  </si>
  <si>
    <t>Credito de PIS e COFINS sobre a depreciacao MAR 20</t>
  </si>
  <si>
    <t>4008181090</t>
  </si>
  <si>
    <t>Reclassif c.custo MW09C21028 para SCMWIT000008 - B</t>
  </si>
  <si>
    <t>4008519711</t>
  </si>
  <si>
    <t>4008155549</t>
  </si>
  <si>
    <t>4008179763</t>
  </si>
  <si>
    <t>Credito de PIS e COFINS sobre a depreciação MAI/20</t>
  </si>
  <si>
    <t>4008273065</t>
  </si>
  <si>
    <t>Credito de PIS e COFINS sobre a depreciacao AGO 20</t>
  </si>
  <si>
    <t>4008467983</t>
  </si>
  <si>
    <t>Credito de PIS e COFINS sobre a depreciação JUN/20</t>
  </si>
  <si>
    <t>4008325392</t>
  </si>
  <si>
    <t>Credito de PIS e COFINS sobre a depreciação JUL/20</t>
  </si>
  <si>
    <t>4008404017</t>
  </si>
  <si>
    <t>Credito de PIS e COFINS sobre a depreciacao SET 20</t>
  </si>
  <si>
    <t>4008558100</t>
  </si>
  <si>
    <t>Credito de PIS e COFINS sobre a depreciação OUT/20</t>
  </si>
  <si>
    <t>4008634469</t>
  </si>
  <si>
    <t>Credito de PIS e COFINS sobre a depreciação ABR/20</t>
  </si>
  <si>
    <t>4008218092</t>
  </si>
  <si>
    <t>4008237704</t>
  </si>
  <si>
    <t>4008091155</t>
  </si>
  <si>
    <t>Fundo de Sobras PreviBayer Plano CD</t>
  </si>
  <si>
    <t>Pens Ex Def Con Plan</t>
  </si>
  <si>
    <t>4008229773</t>
  </si>
  <si>
    <t>E. Elétrica fixa</t>
  </si>
  <si>
    <t>Provisao Seguranca Industrial   SB</t>
  </si>
  <si>
    <t>Accruals o/s invoice</t>
  </si>
  <si>
    <t>4008044148</t>
  </si>
  <si>
    <t>7711010</t>
  </si>
  <si>
    <t>Security Service ASS</t>
  </si>
  <si>
    <t>MW5B02_017MW09C21028</t>
  </si>
  <si>
    <t>Prédio 6201</t>
  </si>
  <si>
    <t>4400017901</t>
  </si>
  <si>
    <t>298</t>
  </si>
  <si>
    <t>4400017501</t>
  </si>
  <si>
    <t>4400016903</t>
  </si>
  <si>
    <t>4400015808</t>
  </si>
  <si>
    <t>4400017701</t>
  </si>
  <si>
    <t>4400016401</t>
  </si>
  <si>
    <t>4400016601</t>
  </si>
  <si>
    <t>4400016901</t>
  </si>
  <si>
    <t>4400017302</t>
  </si>
  <si>
    <t>4400018203</t>
  </si>
  <si>
    <t>Fiscal Year</t>
  </si>
  <si>
    <t>Created on</t>
  </si>
  <si>
    <t>Period</t>
  </si>
  <si>
    <t>Cost Element</t>
  </si>
  <si>
    <t>Cost element name</t>
  </si>
  <si>
    <t>Cost Center</t>
  </si>
  <si>
    <t>CO object name</t>
  </si>
  <si>
    <t>Val.in rep.cur.</t>
  </si>
  <si>
    <t>Name</t>
  </si>
  <si>
    <t>Name of offsetting account</t>
  </si>
  <si>
    <t>CO partner object name</t>
  </si>
  <si>
    <t>Purchasing Document</t>
  </si>
  <si>
    <t>Partner object type</t>
  </si>
  <si>
    <t>Document Number</t>
  </si>
  <si>
    <t>User Name</t>
  </si>
  <si>
    <t>Posting row</t>
  </si>
  <si>
    <t>Valor Fire prevent serv  ref  Docto Nr  38403</t>
  </si>
  <si>
    <t>660581614</t>
  </si>
  <si>
    <t>4008758394</t>
  </si>
  <si>
    <t>Rótulos de Coluna</t>
  </si>
  <si>
    <t>Total Geral</t>
  </si>
  <si>
    <t>Soma de Val.in rep.cur.</t>
  </si>
  <si>
    <t>Rótulos de Linha</t>
  </si>
  <si>
    <t>660581610</t>
  </si>
  <si>
    <t>4008751564</t>
  </si>
  <si>
    <t>5107882292</t>
  </si>
  <si>
    <t>Valor Security Service ref  Docto Nr  9810</t>
  </si>
  <si>
    <t>660581046</t>
  </si>
  <si>
    <t>4008758672</t>
  </si>
  <si>
    <t>5107898802</t>
  </si>
  <si>
    <t>09122226301256</t>
  </si>
  <si>
    <t>Valor Security Service ref  Docto Nr  9796</t>
  </si>
  <si>
    <t>4008719369</t>
  </si>
  <si>
    <t>4640010856</t>
  </si>
  <si>
    <t>660564447</t>
  </si>
  <si>
    <t>4008702089</t>
  </si>
  <si>
    <t>5107828862</t>
  </si>
  <si>
    <t>Valor Security Service ref  Docto Nr  21060</t>
  </si>
  <si>
    <t>660581613</t>
  </si>
  <si>
    <t>4008759101</t>
  </si>
  <si>
    <t>5107899662</t>
  </si>
  <si>
    <t>09122226301230</t>
  </si>
  <si>
    <t>5107898053</t>
  </si>
  <si>
    <t>08122226300827</t>
  </si>
  <si>
    <t>Valor Fire prevent serv  ref  Docto Nr  38512</t>
  </si>
  <si>
    <t>660591443</t>
  </si>
  <si>
    <t>4008774533</t>
  </si>
  <si>
    <t>5107950118</t>
  </si>
  <si>
    <t>23122226304778</t>
  </si>
  <si>
    <t>Valor Security Service ref  Docto Nr  9909</t>
  </si>
  <si>
    <t>660587742</t>
  </si>
  <si>
    <t>4008774609</t>
  </si>
  <si>
    <t>5107952166</t>
  </si>
  <si>
    <t>Valor Security Service ref  Docto Nr  470</t>
  </si>
  <si>
    <t>660581612</t>
  </si>
  <si>
    <t>4008763157</t>
  </si>
  <si>
    <t>5107909178</t>
  </si>
  <si>
    <t>13122226300374</t>
  </si>
  <si>
    <t>4008771633</t>
  </si>
  <si>
    <t>5107934922</t>
  </si>
  <si>
    <t>09112226301185</t>
  </si>
  <si>
    <t>4008771631</t>
  </si>
  <si>
    <t>5107934921</t>
  </si>
  <si>
    <t>Valor Security Service ref  Docto Nr  477</t>
  </si>
  <si>
    <t>4008775172</t>
  </si>
  <si>
    <t>4640012534</t>
  </si>
  <si>
    <t>23122226303965</t>
  </si>
  <si>
    <t>4008771040</t>
  </si>
  <si>
    <t>5070015999</t>
  </si>
  <si>
    <t>Provisão</t>
  </si>
  <si>
    <t>Provisao Seguranca Industrial   G4S Dez 22 - referente aos 3 meses que faltaram</t>
  </si>
  <si>
    <t>2023</t>
  </si>
  <si>
    <t>Valor Fire prevent serv  ref  Docto Nr  38538</t>
  </si>
  <si>
    <t>660595083</t>
  </si>
  <si>
    <t>4008790144</t>
  </si>
  <si>
    <t>5107982698</t>
  </si>
  <si>
    <t>05012326300619</t>
  </si>
  <si>
    <t>Valor Training ref  Docto Nr  38539</t>
  </si>
  <si>
    <t>4008790136</t>
  </si>
  <si>
    <t>4640000170</t>
  </si>
  <si>
    <t>05012326300562</t>
  </si>
  <si>
    <t>Valor Environmental serv ref  Docto Nr  422</t>
  </si>
  <si>
    <t>660595077</t>
  </si>
  <si>
    <t>4008796920</t>
  </si>
  <si>
    <t>5107998928</t>
  </si>
  <si>
    <t>Valor Security Service ref  Docto Nr  9991</t>
  </si>
  <si>
    <t>660597114</t>
  </si>
  <si>
    <t>4008814113</t>
  </si>
  <si>
    <t>5108039269</t>
  </si>
  <si>
    <t>17012326300585</t>
  </si>
  <si>
    <t>Valor Security Service ref  Docto Nr  21519</t>
  </si>
  <si>
    <t>660595082</t>
  </si>
  <si>
    <t>4008803622</t>
  </si>
  <si>
    <t>5108015022</t>
  </si>
  <si>
    <t>Valor Security Service ref  Docto Nr  486</t>
  </si>
  <si>
    <t>660595079</t>
  </si>
  <si>
    <t>4008803477</t>
  </si>
  <si>
    <t>5108014908</t>
  </si>
  <si>
    <t>Valor Environmental serv ref  Docto Nr  423</t>
  </si>
  <si>
    <t>660611343</t>
  </si>
  <si>
    <t>4008864755</t>
  </si>
  <si>
    <t>5108115131</t>
  </si>
  <si>
    <t>02022326300970</t>
  </si>
  <si>
    <t>Valor Security Service ref  Docto Nr  18112</t>
  </si>
  <si>
    <t>660485006</t>
  </si>
  <si>
    <t>4008844675</t>
  </si>
  <si>
    <t>5108097583</t>
  </si>
  <si>
    <t>31012326300587</t>
  </si>
  <si>
    <t>Valor Security Service ref  Docto Nr  17770</t>
  </si>
  <si>
    <t>660468986</t>
  </si>
  <si>
    <t>4008845559</t>
  </si>
  <si>
    <t>5108097604</t>
  </si>
  <si>
    <t>31012326300676</t>
  </si>
  <si>
    <t>Valor Security Service ref  Docto Nr  22036</t>
  </si>
  <si>
    <t>660611345</t>
  </si>
  <si>
    <t>4008878596</t>
  </si>
  <si>
    <t>5108148686</t>
  </si>
  <si>
    <t>09022326301027</t>
  </si>
  <si>
    <t>Valor Security Service ref  Docto Nr  491</t>
  </si>
  <si>
    <t>660611344</t>
  </si>
  <si>
    <t>4008883788</t>
  </si>
  <si>
    <t>5108158785</t>
  </si>
  <si>
    <t>13022326300501</t>
  </si>
  <si>
    <t>Valor Security Service ref  Docto Nr  475</t>
  </si>
  <si>
    <t>4008883790</t>
  </si>
  <si>
    <t>GLRPT</t>
  </si>
  <si>
    <t>4640001387</t>
  </si>
  <si>
    <t>14022326300705</t>
  </si>
  <si>
    <t>Valor Security Service ref  Docto Nr  476</t>
  </si>
  <si>
    <t>4008883804</t>
  </si>
  <si>
    <t>4640001392</t>
  </si>
  <si>
    <t>14022326300683</t>
  </si>
  <si>
    <t>Valor Fire prevent serv  ref  Docto Nr  38877</t>
  </si>
  <si>
    <t>660628807</t>
  </si>
  <si>
    <t>4008925549</t>
  </si>
  <si>
    <t>5108260966</t>
  </si>
  <si>
    <t>09032326300557</t>
  </si>
  <si>
    <t>-</t>
  </si>
  <si>
    <t>Valor Security Service ref  Docto Nr  10292</t>
  </si>
  <si>
    <t>660631403</t>
  </si>
  <si>
    <t>4008949736</t>
  </si>
  <si>
    <t>5108322605</t>
  </si>
  <si>
    <t>24032326300639</t>
  </si>
  <si>
    <t>Valor Security Service ref  Docto Nr  22474</t>
  </si>
  <si>
    <t>660628675</t>
  </si>
  <si>
    <t>4008949754</t>
  </si>
  <si>
    <t>5108322765</t>
  </si>
  <si>
    <t>27032326300539</t>
  </si>
  <si>
    <t>Valor Security Service ref  Docto Nr  506</t>
  </si>
  <si>
    <t>660628674</t>
  </si>
  <si>
    <t>4008940368</t>
  </si>
  <si>
    <t>5108290119</t>
  </si>
  <si>
    <t>17032326300271</t>
  </si>
  <si>
    <t>Valor Security Service ref  Docto Nr  508</t>
  </si>
  <si>
    <t>4008946263</t>
  </si>
  <si>
    <t>4640002491</t>
  </si>
  <si>
    <t>17032326300190</t>
  </si>
  <si>
    <t>Valor Security Service ref  Docto Nr  507</t>
  </si>
  <si>
    <t>4008938846</t>
  </si>
  <si>
    <t>4640002326</t>
  </si>
  <si>
    <t>17032326300441</t>
  </si>
  <si>
    <t>Valor Fire prevent serv  ref  Docto Nr  39146</t>
  </si>
  <si>
    <t>660646395</t>
  </si>
  <si>
    <t>4008967908</t>
  </si>
  <si>
    <t>5108379700</t>
  </si>
  <si>
    <t>11042326300461</t>
  </si>
  <si>
    <t>Valor Environmental serv ref  Docto Nr  424</t>
  </si>
  <si>
    <t>660628672</t>
  </si>
  <si>
    <t>4008961232</t>
  </si>
  <si>
    <t>5108353971</t>
  </si>
  <si>
    <t>03042326300771</t>
  </si>
  <si>
    <t>Valor Environmental serv ref  Docto Nr  425</t>
  </si>
  <si>
    <t>660646392</t>
  </si>
  <si>
    <t>4008967571</t>
  </si>
  <si>
    <t>5108377541</t>
  </si>
  <si>
    <t>10042326300870</t>
  </si>
  <si>
    <t>Valor Security Service ref  Docto Nr  23049</t>
  </si>
  <si>
    <t>660646394</t>
  </si>
  <si>
    <t>4008980180</t>
  </si>
  <si>
    <t>5108419363</t>
  </si>
  <si>
    <t>19042326300596</t>
  </si>
  <si>
    <t>Valor Security Service ref  Docto Nr  517</t>
  </si>
  <si>
    <t>660646393</t>
  </si>
  <si>
    <t>4008983034</t>
  </si>
  <si>
    <t>5108427796</t>
  </si>
  <si>
    <t>25042326300725</t>
  </si>
  <si>
    <t>Valor Fire prevent serv  ref  Docto Nr  39398</t>
  </si>
  <si>
    <t>660665280</t>
  </si>
  <si>
    <t>4009003617</t>
  </si>
  <si>
    <t>EFXNJ</t>
  </si>
  <si>
    <t>5108501095</t>
  </si>
  <si>
    <t>16052326301073</t>
  </si>
  <si>
    <t>Inspeção e Manutenção de Rede Incêndio</t>
  </si>
  <si>
    <t>Valor Fire prevent serv  ref  Docto Nr  39464</t>
  </si>
  <si>
    <t>660669041</t>
  </si>
  <si>
    <t>4009006597</t>
  </si>
  <si>
    <t>5108522596</t>
  </si>
  <si>
    <t>23052326300431</t>
  </si>
  <si>
    <t>CO2 06 Kg</t>
  </si>
  <si>
    <t>PQS 12 Kg</t>
  </si>
  <si>
    <t>Valor Fire prevent serv  ref  Docto Nr  39467</t>
  </si>
  <si>
    <t>660669042</t>
  </si>
  <si>
    <t>4009007454</t>
  </si>
  <si>
    <t>5108529302</t>
  </si>
  <si>
    <t>25052326300430</t>
  </si>
  <si>
    <t>PQS 06 Kg</t>
  </si>
  <si>
    <t>AP 10 L</t>
  </si>
  <si>
    <t>CO2 04 Kg</t>
  </si>
  <si>
    <t>Valor Environmental serv ref  Docto Nr  426</t>
  </si>
  <si>
    <t>660661125</t>
  </si>
  <si>
    <t>4008999641</t>
  </si>
  <si>
    <t>5108471152</t>
  </si>
  <si>
    <t>08052326300678</t>
  </si>
  <si>
    <t>Valor Security Service ref  Docto Nr  10154</t>
  </si>
  <si>
    <t>660620541</t>
  </si>
  <si>
    <t>4008995572</t>
  </si>
  <si>
    <t>5108458182</t>
  </si>
  <si>
    <t>03052326300010</t>
  </si>
  <si>
    <t>Valor Security Service ref  Docto Nr  23542</t>
  </si>
  <si>
    <t>660661149</t>
  </si>
  <si>
    <t>4009007421</t>
  </si>
  <si>
    <t>5108528713</t>
  </si>
  <si>
    <t>24052326300619</t>
  </si>
  <si>
    <t>Valor Security Service ref  Docto Nr  523</t>
  </si>
  <si>
    <t>660665208</t>
  </si>
  <si>
    <t>4009005049</t>
  </si>
  <si>
    <t>5108506806</t>
  </si>
  <si>
    <t>17052326300464</t>
  </si>
  <si>
    <t>Valor Security Service ref  Docto Nr  524</t>
  </si>
  <si>
    <t>4009007465</t>
  </si>
  <si>
    <t>4640004372</t>
  </si>
  <si>
    <t>17052326300278</t>
  </si>
  <si>
    <t>Valor Fire prevent serv  ref  Docto Nr  39638</t>
  </si>
  <si>
    <t>660683492</t>
  </si>
  <si>
    <t>4009027006</t>
  </si>
  <si>
    <t>5108609482</t>
  </si>
  <si>
    <t>22062326300570</t>
  </si>
  <si>
    <t>Valor Maint &amp; Leg Co Compl ref  Docto Nr  39513</t>
  </si>
  <si>
    <t>4009016507</t>
  </si>
  <si>
    <t>4640004602</t>
  </si>
  <si>
    <t>05062326300466</t>
  </si>
  <si>
    <t>Valor Fire prevent serv  ref  Docto Nr  39645</t>
  </si>
  <si>
    <t>660683491</t>
  </si>
  <si>
    <t>4009027008</t>
  </si>
  <si>
    <t>5108609483</t>
  </si>
  <si>
    <t>22062326300643</t>
  </si>
  <si>
    <t>Valor Fire prevent serv  ref  Docto Nr  39605</t>
  </si>
  <si>
    <t>660681417</t>
  </si>
  <si>
    <t>4009023863</t>
  </si>
  <si>
    <t>5108598585</t>
  </si>
  <si>
    <t>16062326300730</t>
  </si>
  <si>
    <t>Valor Fire prevent serv  ref  Docto Nr  38511</t>
  </si>
  <si>
    <t>660591438</t>
  </si>
  <si>
    <t>4009012903</t>
  </si>
  <si>
    <t>5108556859</t>
  </si>
  <si>
    <t>06062326300473</t>
  </si>
  <si>
    <t>PQS 12 Kg</t>
  </si>
  <si>
    <t>Valor Fire prevent serv  ref  Docto Nr  38513</t>
  </si>
  <si>
    <t>660591447</t>
  </si>
  <si>
    <t>4009012907</t>
  </si>
  <si>
    <t>5108556862</t>
  </si>
  <si>
    <t>06062326300457</t>
  </si>
  <si>
    <t>Valor Fire prevent serv  ref  Docto Nr  38514</t>
  </si>
  <si>
    <t>660591435</t>
  </si>
  <si>
    <t>4009012904</t>
  </si>
  <si>
    <t>5108556860</t>
  </si>
  <si>
    <t>06062326300465</t>
  </si>
  <si>
    <t>Valor Fire prevent serv  ref  Docto Nr  39603</t>
  </si>
  <si>
    <t>660681410</t>
  </si>
  <si>
    <t>4009023862</t>
  </si>
  <si>
    <t>5108598584</t>
  </si>
  <si>
    <t>16062326300692</t>
  </si>
  <si>
    <t>Teste Hidrostático em mangueira de 2½"</t>
  </si>
  <si>
    <t>PQS 50 Kg</t>
  </si>
  <si>
    <t>PQS 50 Kg</t>
  </si>
  <si>
    <t>CO2 02 Kg</t>
  </si>
  <si>
    <t>Valor Environmental serv ref  Docto Nr  427</t>
  </si>
  <si>
    <t>660676956</t>
  </si>
  <si>
    <t>4009017857</t>
  </si>
  <si>
    <t>5108574616</t>
  </si>
  <si>
    <t>06062326300295</t>
  </si>
  <si>
    <t>Valor Security Service ref  Docto Nr  10413</t>
  </si>
  <si>
    <t>660650361</t>
  </si>
  <si>
    <t>4009024528</t>
  </si>
  <si>
    <t>5108601237</t>
  </si>
  <si>
    <t>20062326300530</t>
  </si>
  <si>
    <t>Valor Security Service ref  Docto Nr  24019</t>
  </si>
  <si>
    <t>660676958</t>
  </si>
  <si>
    <t>4009027312</t>
  </si>
  <si>
    <t>5108610641</t>
  </si>
  <si>
    <t>21062326300547</t>
  </si>
  <si>
    <t>Document Date</t>
  </si>
  <si>
    <t>Ref Document Number</t>
  </si>
  <si>
    <t>Posting Date</t>
  </si>
  <si>
    <t>Document Header Text</t>
  </si>
  <si>
    <t>Purchase order text</t>
  </si>
  <si>
    <t>Valor Security Service ref  Docto Nr  534</t>
  </si>
  <si>
    <t>660676959</t>
  </si>
  <si>
    <t>4009020272</t>
  </si>
  <si>
    <t>5108584698</t>
  </si>
  <si>
    <t>13062326300903</t>
  </si>
  <si>
    <t>Valor Security Service ref  Docto Nr  535</t>
  </si>
  <si>
    <t>4009019246</t>
  </si>
  <si>
    <t>4640004738</t>
  </si>
  <si>
    <t>13062326300938</t>
  </si>
  <si>
    <t>Valor Security Service ref  Docto Nr  516</t>
  </si>
  <si>
    <t>4009011093</t>
  </si>
  <si>
    <t>4640004521</t>
  </si>
  <si>
    <t>25042326300709</t>
  </si>
  <si>
    <t>Valor Security Service ref  Docto Nr  527</t>
  </si>
  <si>
    <t>4009016508</t>
  </si>
  <si>
    <t>4640004603</t>
  </si>
  <si>
    <t>05062326300520</t>
  </si>
  <si>
    <t>MW09C20011</t>
  </si>
  <si>
    <t>Site logistics</t>
  </si>
  <si>
    <t>MW09C20000</t>
  </si>
  <si>
    <t>Manag. of Ind. Oper.</t>
  </si>
  <si>
    <t>Valor Fire prevent serv  ref  Docto Nr  39769</t>
  </si>
  <si>
    <t>660693371</t>
  </si>
  <si>
    <t>4009048011</t>
  </si>
  <si>
    <t>5108677590</t>
  </si>
  <si>
    <t>13072326300650</t>
  </si>
  <si>
    <t>Valor Fire prevent serv  ref  Docto Nr  39841</t>
  </si>
  <si>
    <t>660696476</t>
  </si>
  <si>
    <t>4009051028</t>
  </si>
  <si>
    <t>5108687436</t>
  </si>
  <si>
    <t>19072326300949</t>
  </si>
  <si>
    <t>Valor Fire prevent serv  ref  Docto Nr  39742</t>
  </si>
  <si>
    <t>660696387</t>
  </si>
  <si>
    <t>4009051031</t>
  </si>
  <si>
    <t>5108687458</t>
  </si>
  <si>
    <t>19072326300965</t>
  </si>
  <si>
    <t>Valor Fire prevent serv  ref  Docto Nr  39842</t>
  </si>
  <si>
    <t>4009056838</t>
  </si>
  <si>
    <t>5108700093</t>
  </si>
  <si>
    <t>4009056837</t>
  </si>
  <si>
    <t>5108700089</t>
  </si>
  <si>
    <t>Valor Environmental serv ref  Docto Nr  431</t>
  </si>
  <si>
    <t>660693382</t>
  </si>
  <si>
    <t>4009046983</t>
  </si>
  <si>
    <t>5108673654</t>
  </si>
  <si>
    <t>12072326300848</t>
  </si>
  <si>
    <t>Valor Security Service ref  Docto Nr  10713</t>
  </si>
  <si>
    <t>660696459</t>
  </si>
  <si>
    <t>4009054618</t>
  </si>
  <si>
    <t>5108693056</t>
  </si>
  <si>
    <t>20072326300554</t>
  </si>
  <si>
    <t>Valor Security Service ref  Docto Nr  541</t>
  </si>
  <si>
    <t>4009049411</t>
  </si>
  <si>
    <t>4640005961</t>
  </si>
  <si>
    <t>18072326301159</t>
  </si>
  <si>
    <t>Valor Security Service ref  Docto Nr  540</t>
  </si>
  <si>
    <t>660693380</t>
  </si>
  <si>
    <t>4009050992</t>
  </si>
  <si>
    <t>5108687652</t>
  </si>
  <si>
    <t>18072326301060</t>
  </si>
  <si>
    <t>Valor Security Service ref  Docto Nr  542</t>
  </si>
  <si>
    <t>4009057242</t>
  </si>
  <si>
    <t>4640006157</t>
  </si>
  <si>
    <t>18072326301116</t>
  </si>
  <si>
    <t>Valor Fire prevent serv  ref  Docto Nr  40000</t>
  </si>
  <si>
    <t>660705114</t>
  </si>
  <si>
    <t>4009081610</t>
  </si>
  <si>
    <t>5108757110</t>
  </si>
  <si>
    <t>14082326300615</t>
  </si>
  <si>
    <t>Valor Training ref  Docto Nr  40064</t>
  </si>
  <si>
    <t>4009084228</t>
  </si>
  <si>
    <t>4640006855</t>
  </si>
  <si>
    <t>15082326300940</t>
  </si>
  <si>
    <t>Valor Environmental serv ref  Docto Nr  432</t>
  </si>
  <si>
    <t>660705108</t>
  </si>
  <si>
    <t>4009080111</t>
  </si>
  <si>
    <t>5108753161</t>
  </si>
  <si>
    <t>11082326300243</t>
  </si>
  <si>
    <t>Valor Security Service ref  Docto Nr  10506</t>
  </si>
  <si>
    <t>660668398</t>
  </si>
  <si>
    <t>4009064891</t>
  </si>
  <si>
    <t>5108721824</t>
  </si>
  <si>
    <t>02082326300031</t>
  </si>
  <si>
    <t>Valor Security Service ref  Docto Nr  10632</t>
  </si>
  <si>
    <t>660680420</t>
  </si>
  <si>
    <t>4009064104</t>
  </si>
  <si>
    <t>5108720290</t>
  </si>
  <si>
    <t>26062326301460</t>
  </si>
  <si>
    <t>Valor Security Service ref  Docto Nr  10636</t>
  </si>
  <si>
    <t>4009096391</t>
  </si>
  <si>
    <t>4640007086</t>
  </si>
  <si>
    <t>28082326300148</t>
  </si>
  <si>
    <t>Valor Security Service ref  Docto Nr  10832</t>
  </si>
  <si>
    <t>4009098641</t>
  </si>
  <si>
    <t>4640007165</t>
  </si>
  <si>
    <t>30082326300658</t>
  </si>
  <si>
    <t>Valor Security Service ref  Docto Nr  10826</t>
  </si>
  <si>
    <t>660708819</t>
  </si>
  <si>
    <t>4009099428</t>
  </si>
  <si>
    <t>5108801162</t>
  </si>
  <si>
    <t>30082326300704</t>
  </si>
  <si>
    <t>Valor Security Service ref  Docto Nr  18632</t>
  </si>
  <si>
    <t>660500561</t>
  </si>
  <si>
    <t>4009090184</t>
  </si>
  <si>
    <t>5108777428</t>
  </si>
  <si>
    <t>31012326300650</t>
  </si>
  <si>
    <t>Valor Security Service ref  Docto Nr  548</t>
  </si>
  <si>
    <t>660705110</t>
  </si>
  <si>
    <t>4009079159</t>
  </si>
  <si>
    <t>5108751476</t>
  </si>
  <si>
    <t>11082326300227</t>
  </si>
  <si>
    <t>Valor Security Service ref  Docto Nr  547</t>
  </si>
  <si>
    <t>4009080511</t>
  </si>
  <si>
    <t>4640006673</t>
  </si>
  <si>
    <t>11082326300170</t>
  </si>
  <si>
    <t>Total quantity</t>
  </si>
  <si>
    <t>Material</t>
  </si>
  <si>
    <t>Material Description</t>
  </si>
  <si>
    <t>Valor Security Service ref  Docto Nr  10947</t>
  </si>
  <si>
    <t>660721050</t>
  </si>
  <si>
    <t>4009123978</t>
  </si>
  <si>
    <t>5108870138</t>
  </si>
  <si>
    <t>15092326300310</t>
  </si>
  <si>
    <t>Valor Fire prevent serv  ref  Docto Nr  40224</t>
  </si>
  <si>
    <t>660718060</t>
  </si>
  <si>
    <t>4009114330</t>
  </si>
  <si>
    <t>5108839794</t>
  </si>
  <si>
    <t>11092326301275</t>
  </si>
  <si>
    <t>Valor Fire prevent serv  ref  Docto Nr  40225</t>
  </si>
  <si>
    <t>660718065</t>
  </si>
  <si>
    <t>4009114329</t>
  </si>
  <si>
    <t>5108839793</t>
  </si>
  <si>
    <t>11092326301186</t>
  </si>
  <si>
    <t>Valor Environmental serv ref  Docto Nr  433</t>
  </si>
  <si>
    <t>660718064</t>
  </si>
  <si>
    <t>4009112520</t>
  </si>
  <si>
    <t>5108834120</t>
  </si>
  <si>
    <t>06092326300281</t>
  </si>
  <si>
    <t>Valor Security Service ref  Docto Nr  25046</t>
  </si>
  <si>
    <t>660718061</t>
  </si>
  <si>
    <t>4009115354</t>
  </si>
  <si>
    <t>5108844024</t>
  </si>
  <si>
    <t>11092326301194</t>
  </si>
  <si>
    <t>Valor Security Service ref  Docto Nr  549</t>
  </si>
  <si>
    <t>660718063</t>
  </si>
  <si>
    <t>4009112519</t>
  </si>
  <si>
    <t>5108834119</t>
  </si>
  <si>
    <t>06092326300273</t>
  </si>
  <si>
    <t>Valor Security Service ref  Docto Nr  550</t>
  </si>
  <si>
    <t>4009117729</t>
  </si>
  <si>
    <t>4640007539</t>
  </si>
  <si>
    <t>06092326300249</t>
  </si>
  <si>
    <t>Valor Fire prevent serv  ref  Docto Nr  40535</t>
  </si>
  <si>
    <t>660732942</t>
  </si>
  <si>
    <t>4009147415</t>
  </si>
  <si>
    <t>5108941789</t>
  </si>
  <si>
    <t>06102326300927</t>
  </si>
  <si>
    <t>Valor Fire prevent serv  ref  Docto Nr  40538</t>
  </si>
  <si>
    <t>660732938</t>
  </si>
  <si>
    <t>4009147413</t>
  </si>
  <si>
    <t>5108941756</t>
  </si>
  <si>
    <t>09102326300304</t>
  </si>
  <si>
    <t>Valor Fire prevent serv  ref  Docto Nr  40537</t>
  </si>
  <si>
    <t>660732939</t>
  </si>
  <si>
    <t>4009147416</t>
  </si>
  <si>
    <t>5108941790</t>
  </si>
  <si>
    <t>06102326300951</t>
  </si>
  <si>
    <t>Valor Fire prevent serv  ref  Docto Nr  40536</t>
  </si>
  <si>
    <t>660732940</t>
  </si>
  <si>
    <t>4009147414</t>
  </si>
  <si>
    <t>5108941787</t>
  </si>
  <si>
    <t>06102326300919</t>
  </si>
  <si>
    <t>Valor do documento Nr  28534 1</t>
  </si>
  <si>
    <t>660718062</t>
  </si>
  <si>
    <t>4009157451</t>
  </si>
  <si>
    <t>5108971824</t>
  </si>
  <si>
    <t>M20 M05    12102332004372</t>
  </si>
  <si>
    <t>MANGUEIRA DE INCÊNDIO COUTOFLEX TIPO 2 1</t>
  </si>
  <si>
    <t>ADESIVO INSTRUÇÃO EXTINTOR CO2 01 A 02 K</t>
  </si>
  <si>
    <t>Valor Environmental serv ref  Docto Nr  434</t>
  </si>
  <si>
    <t>660732948</t>
  </si>
  <si>
    <t>4009147443</t>
  </si>
  <si>
    <t>5108941932</t>
  </si>
  <si>
    <t>06102326300633</t>
  </si>
  <si>
    <t>Valor Security Service ref  Docto Nr  11054</t>
  </si>
  <si>
    <t>660733892</t>
  </si>
  <si>
    <t>4009156511</t>
  </si>
  <si>
    <t>5108967408</t>
  </si>
  <si>
    <t>11102326300580</t>
  </si>
  <si>
    <t>Valor Security Service ref  Docto Nr  25476</t>
  </si>
  <si>
    <t>660705109</t>
  </si>
  <si>
    <t>4009139775</t>
  </si>
  <si>
    <t>5108921018</t>
  </si>
  <si>
    <t>03102326300679</t>
  </si>
  <si>
    <t>4009166004</t>
  </si>
  <si>
    <t>5109001536</t>
  </si>
  <si>
    <t>s23        03102326300679</t>
  </si>
  <si>
    <t>Valor Security Service ref  Docto Nr  561</t>
  </si>
  <si>
    <t>660732945</t>
  </si>
  <si>
    <t>4009155220</t>
  </si>
  <si>
    <t>5108962725</t>
  </si>
  <si>
    <t>10102326300238</t>
  </si>
  <si>
    <t>Valor Security Service ref  Docto Nr  562</t>
  </si>
  <si>
    <t>4009155111</t>
  </si>
  <si>
    <t>4640008299</t>
  </si>
  <si>
    <t>10102326300270</t>
  </si>
  <si>
    <t>Valor Fire prevent serv  ref  Docto Nr  40801</t>
  </si>
  <si>
    <t>660745190</t>
  </si>
  <si>
    <t>4009189021</t>
  </si>
  <si>
    <t>5109067890</t>
  </si>
  <si>
    <t>08112326300630</t>
  </si>
  <si>
    <t>Valor Fire prevent serv  ref  Docto Nr  40880</t>
  </si>
  <si>
    <t>660748551</t>
  </si>
  <si>
    <t>4009193100</t>
  </si>
  <si>
    <t>5109081744</t>
  </si>
  <si>
    <t>1          13112326300977</t>
  </si>
  <si>
    <t>Valor Fire prevent serv  ref  Docto Nr  40879</t>
  </si>
  <si>
    <t>660748548</t>
  </si>
  <si>
    <t>4009194872</t>
  </si>
  <si>
    <t>5109086970</t>
  </si>
  <si>
    <t>13112326300950</t>
  </si>
  <si>
    <t>Valor Environmental serv ref  Docto Nr  435</t>
  </si>
  <si>
    <t>660745189</t>
  </si>
  <si>
    <t>4009189171</t>
  </si>
  <si>
    <t>5109069165</t>
  </si>
  <si>
    <t>09112326300582</t>
  </si>
  <si>
    <t>Valor Security Service ref  Docto Nr  26293</t>
  </si>
  <si>
    <t>660745194</t>
  </si>
  <si>
    <t>4009202949</t>
  </si>
  <si>
    <t>5109109662</t>
  </si>
  <si>
    <t>22112326300690</t>
  </si>
  <si>
    <t>Valor Security Service ref  Docto Nr  564</t>
  </si>
  <si>
    <t>660745187</t>
  </si>
  <si>
    <t>4009189135</t>
  </si>
  <si>
    <t>5109067971</t>
  </si>
  <si>
    <t>09112326300663</t>
  </si>
  <si>
    <t>Valor Security Service ref  Docto Nr  563</t>
  </si>
  <si>
    <t>4009189060</t>
  </si>
  <si>
    <t>4640009175</t>
  </si>
  <si>
    <t>09112326300515</t>
  </si>
  <si>
    <t>Valor Fire prevent serv  ref  Docto Nr  41075</t>
  </si>
  <si>
    <t>660759603</t>
  </si>
  <si>
    <t>4009228790</t>
  </si>
  <si>
    <t>5109174328</t>
  </si>
  <si>
    <t>07122326300744</t>
  </si>
  <si>
    <t>Valor Security Service ref  Docto Nr  11239</t>
  </si>
  <si>
    <t>660755773</t>
  </si>
  <si>
    <t>4009213729</t>
  </si>
  <si>
    <t>5109144806</t>
  </si>
  <si>
    <t>30112326300518</t>
  </si>
  <si>
    <t>Valor Security Service ref  Docto Nr  24784</t>
  </si>
  <si>
    <t>4009213633</t>
  </si>
  <si>
    <t>5109144481</t>
  </si>
  <si>
    <t>15082326300819</t>
  </si>
  <si>
    <t>Valor Security Service ref  Docto Nr  26456</t>
  </si>
  <si>
    <t>660759604</t>
  </si>
  <si>
    <t>4009228293</t>
  </si>
  <si>
    <t>5109171227</t>
  </si>
  <si>
    <t>06122326301620</t>
  </si>
  <si>
    <t>Valor Security Service ref  Docto Nr  569</t>
  </si>
  <si>
    <t>660759605</t>
  </si>
  <si>
    <t>4009226490</t>
  </si>
  <si>
    <t>5109165059</t>
  </si>
  <si>
    <t>06122326301183</t>
  </si>
  <si>
    <t>Valor Security Service ref  Docto Nr  570</t>
  </si>
  <si>
    <t>4009226415</t>
  </si>
  <si>
    <t>4640010594</t>
  </si>
  <si>
    <t>06122326301175</t>
  </si>
  <si>
    <t>MW09C21501</t>
  </si>
  <si>
    <t>Saúde Ocupacional</t>
  </si>
  <si>
    <t>Valor Security Service ref  Docto Nr  11332</t>
  </si>
  <si>
    <t>660759892</t>
  </si>
  <si>
    <t>4009235392</t>
  </si>
  <si>
    <t>5109206744</t>
  </si>
  <si>
    <t>15122326302289</t>
  </si>
  <si>
    <t>Valor Environmental serv ref  Docto Nr  436</t>
  </si>
  <si>
    <t>660759636</t>
  </si>
  <si>
    <t>4009235228</t>
  </si>
  <si>
    <t>5109206232</t>
  </si>
  <si>
    <t>06122326301213</t>
  </si>
  <si>
    <t>2024</t>
  </si>
  <si>
    <t>Valor Environmental serv ref  Docto Nr  437</t>
  </si>
  <si>
    <t>660774013</t>
  </si>
  <si>
    <t>4009251616</t>
  </si>
  <si>
    <t>5109290499</t>
  </si>
  <si>
    <t>11012426300251</t>
  </si>
  <si>
    <t>Valor Environmental serv ref  Docto Nr  438</t>
  </si>
  <si>
    <t>660785812</t>
  </si>
  <si>
    <t>4009270892</t>
  </si>
  <si>
    <t>5109386814</t>
  </si>
  <si>
    <t>05022426300312</t>
  </si>
  <si>
    <t>Valor Security Service ref  Docto Nr  27298</t>
  </si>
  <si>
    <t>660774004</t>
  </si>
  <si>
    <t>4009253078</t>
  </si>
  <si>
    <t>5109296082</t>
  </si>
  <si>
    <t>15012426300614</t>
  </si>
  <si>
    <t>Valor Security Service ref  Docto Nr  27733</t>
  </si>
  <si>
    <t>660785817</t>
  </si>
  <si>
    <t>4009285730</t>
  </si>
  <si>
    <t>5109458222</t>
  </si>
  <si>
    <t>21022426300460</t>
  </si>
  <si>
    <t>Valor Security Service ref  Docto Nr  587</t>
  </si>
  <si>
    <t>660774027</t>
  </si>
  <si>
    <t>4009253597</t>
  </si>
  <si>
    <t>5109301536</t>
  </si>
  <si>
    <t>16012426301094</t>
  </si>
  <si>
    <t>Valor Security Service ref  Docto Nr  586</t>
  </si>
  <si>
    <t>4009258925</t>
  </si>
  <si>
    <t>4640000561</t>
  </si>
  <si>
    <t>16012426301000</t>
  </si>
  <si>
    <t>Valor Security Service ref  Docto Nr  592</t>
  </si>
  <si>
    <t>660785825</t>
  </si>
  <si>
    <t>4009283317</t>
  </si>
  <si>
    <t>5109444801</t>
  </si>
  <si>
    <t>19022426300716</t>
  </si>
  <si>
    <t>Valor Fire prevent serv  ref  Docto Nr  41446</t>
  </si>
  <si>
    <t>660774007</t>
  </si>
  <si>
    <t>4009249680</t>
  </si>
  <si>
    <t>5109287611</t>
  </si>
  <si>
    <t>10012426301154</t>
  </si>
  <si>
    <t>Valor Fire prevent serv  ref  Docto Nr  41353</t>
  </si>
  <si>
    <t>660767779</t>
  </si>
  <si>
    <t>4009242507</t>
  </si>
  <si>
    <t>5109245793</t>
  </si>
  <si>
    <t>02012426301332</t>
  </si>
  <si>
    <t>Valor Fire prevent serv  ref  Docto Nr  41328</t>
  </si>
  <si>
    <t>660767107</t>
  </si>
  <si>
    <t>4009242508</t>
  </si>
  <si>
    <t>5109245794</t>
  </si>
  <si>
    <t>02012426301383</t>
  </si>
  <si>
    <t>MANUTENÇÃO DE EXTINTOR AP 75L</t>
  </si>
  <si>
    <t>Valor Fire prevent serv  ref  Docto Nr  41602</t>
  </si>
  <si>
    <t>660785827</t>
  </si>
  <si>
    <t>4009269972</t>
  </si>
  <si>
    <t>5109380331</t>
  </si>
  <si>
    <t>02022426300374</t>
  </si>
  <si>
    <t>Valor Security Service ref  Docto Nr  11639</t>
  </si>
  <si>
    <t>660786939</t>
  </si>
  <si>
    <t>4009283576</t>
  </si>
  <si>
    <t>5109447151</t>
  </si>
  <si>
    <t>16022426301343</t>
  </si>
  <si>
    <t>Valor Security Service ref  Docto Nr  11499</t>
  </si>
  <si>
    <t>660773662</t>
  </si>
  <si>
    <t>4009259355</t>
  </si>
  <si>
    <t>5109335542</t>
  </si>
  <si>
    <t>18012426300247</t>
  </si>
  <si>
    <t>Valor Security Service ref  Docto Nr  11464</t>
  </si>
  <si>
    <t>4009252950</t>
  </si>
  <si>
    <t>4640000427</t>
  </si>
  <si>
    <t>15012426300525</t>
  </si>
  <si>
    <t>MW09C20095</t>
  </si>
  <si>
    <t>Valor do documento Nr  21994 1</t>
  </si>
  <si>
    <t>660762305</t>
  </si>
  <si>
    <t>4009254532</t>
  </si>
  <si>
    <t>5109309428</t>
  </si>
  <si>
    <t>11122332005468</t>
  </si>
  <si>
    <t>MAN.CORRETIVA CONTROLE ACESSO BELFORD RO</t>
  </si>
  <si>
    <t>Valor Environmental serv ref  Docto Nr  439</t>
  </si>
  <si>
    <t>660800577</t>
  </si>
  <si>
    <t>4009295015</t>
  </si>
  <si>
    <t>5109513262</t>
  </si>
  <si>
    <t>05032426301247</t>
  </si>
  <si>
    <t>Valor Security Service ref  Docto Nr  11806</t>
  </si>
  <si>
    <t>660800777</t>
  </si>
  <si>
    <t>4009305611</t>
  </si>
  <si>
    <t>5109568251</t>
  </si>
  <si>
    <t>18032426300936</t>
  </si>
  <si>
    <t>Valor Security Service ref  Docto Nr  28307</t>
  </si>
  <si>
    <t>660800575</t>
  </si>
  <si>
    <t>4009300866</t>
  </si>
  <si>
    <t>5109543527</t>
  </si>
  <si>
    <t>14032426300328</t>
  </si>
  <si>
    <t>Valor Security Service ref  Docto Nr  593</t>
  </si>
  <si>
    <t>660800576</t>
  </si>
  <si>
    <t>4009295030</t>
  </si>
  <si>
    <t>5109513362</t>
  </si>
  <si>
    <t>05032426301271</t>
  </si>
  <si>
    <t>Valor Security Service ref  Docto Nr  594</t>
  </si>
  <si>
    <t>4009295078</t>
  </si>
  <si>
    <t>4640001795</t>
  </si>
  <si>
    <t>05032426301239</t>
  </si>
  <si>
    <t>MW09C20005</t>
  </si>
  <si>
    <t>Engineering</t>
  </si>
  <si>
    <t>Valor Fire prevent serv  ref  Docto Nr  41868</t>
  </si>
  <si>
    <t>660800586</t>
  </si>
  <si>
    <t>4009293303</t>
  </si>
  <si>
    <t>5109507214</t>
  </si>
  <si>
    <t>04032426301019</t>
  </si>
  <si>
    <t>Valor Fire prevent serv  ref  Docto Nr  42015</t>
  </si>
  <si>
    <t>660807708</t>
  </si>
  <si>
    <t>4009306487</t>
  </si>
  <si>
    <t>5109573195</t>
  </si>
  <si>
    <t>20032426300796</t>
  </si>
  <si>
    <t>6%)- AG DOC Serv. R$ 1.800,00TEST FOG EM</t>
  </si>
  <si>
    <t>TESTE LAB EM LIQ GER ESPUMA - TIPO 1 HC</t>
  </si>
  <si>
    <t>Valor Fire prevent serv  ref  Docto Nr  41833</t>
  </si>
  <si>
    <t>660799246</t>
  </si>
  <si>
    <t>4009297904</t>
  </si>
  <si>
    <t>5109529036</t>
  </si>
  <si>
    <t>07032426300807</t>
  </si>
  <si>
    <t>Valor do documento Nr  29025 1</t>
  </si>
  <si>
    <t>660798826</t>
  </si>
  <si>
    <t>4009298696</t>
  </si>
  <si>
    <t>5109531543</t>
  </si>
  <si>
    <t>02032432003744</t>
  </si>
  <si>
    <t>ADAPTADOR STORZ 2½" RF 5 FIOS X 2 ½" ER</t>
  </si>
  <si>
    <t>SUPORTE DE PAREDE (UVIVERSAL)</t>
  </si>
  <si>
    <t>Valor do Documento Nr 29025 1</t>
  </si>
  <si>
    <t>4009305380</t>
  </si>
  <si>
    <t>5109568116</t>
  </si>
  <si>
    <t>660814323</t>
  </si>
  <si>
    <t>4009318826</t>
  </si>
  <si>
    <t>5109626154</t>
  </si>
  <si>
    <t>02042426300443</t>
  </si>
  <si>
    <t>Valor do documento Nr  529 1</t>
  </si>
  <si>
    <t>660817708</t>
  </si>
  <si>
    <t>4009325930</t>
  </si>
  <si>
    <t>5109654668</t>
  </si>
  <si>
    <t>09042432006352</t>
  </si>
  <si>
    <t>Óleo Sintético Bauer cod. N0024</t>
  </si>
  <si>
    <t>Valor Security Service ref  Docto Nr  11854</t>
  </si>
  <si>
    <t>660814881</t>
  </si>
  <si>
    <t>4009324291</t>
  </si>
  <si>
    <t>5109649762</t>
  </si>
  <si>
    <t>08042426300359</t>
  </si>
  <si>
    <t>Valor Security Service ref  Docto Nr  28466</t>
  </si>
  <si>
    <t>660814318</t>
  </si>
  <si>
    <t>4009322317</t>
  </si>
  <si>
    <t>5109642502</t>
  </si>
  <si>
    <t>04042426301114</t>
  </si>
  <si>
    <t>Valor Security Service ref  Docto Nr  606</t>
  </si>
  <si>
    <t>4009319264</t>
  </si>
  <si>
    <t>4640002610</t>
  </si>
  <si>
    <t>03042426301174</t>
  </si>
  <si>
    <t>Valor Security Service ref  Docto Nr  605</t>
  </si>
  <si>
    <t>660814319</t>
  </si>
  <si>
    <t>4009319249</t>
  </si>
  <si>
    <t>5109628988</t>
  </si>
  <si>
    <t>03042426301131</t>
  </si>
  <si>
    <t>Valor Security Service ref  Docto Nr  613</t>
  </si>
  <si>
    <t>4009333723</t>
  </si>
  <si>
    <t>4640003126</t>
  </si>
  <si>
    <t>18042426300977</t>
  </si>
  <si>
    <t>Valor Maint &amp; Leg Co Compl ref  Docto Nr  42157</t>
  </si>
  <si>
    <t>660814324</t>
  </si>
  <si>
    <t>4009318897</t>
  </si>
  <si>
    <t>5109628529</t>
  </si>
  <si>
    <t>02042426300753</t>
  </si>
  <si>
    <t>Valor Maint &amp; Leg Co Compl ref  Docto Nr  42268</t>
  </si>
  <si>
    <t>660822266</t>
  </si>
  <si>
    <t>4009333450</t>
  </si>
  <si>
    <t>5109685823</t>
  </si>
  <si>
    <t>18042426301011</t>
  </si>
  <si>
    <t>Teste Hidrostático em mangueira de 1½"</t>
  </si>
  <si>
    <t>Valor do documento Nr  544 1</t>
  </si>
  <si>
    <t>4009353753</t>
  </si>
  <si>
    <t>5109767082</t>
  </si>
  <si>
    <t>M53        09052432004697</t>
  </si>
  <si>
    <t>Manômetro para Válvula de enchimento Bau</t>
  </si>
  <si>
    <t>Valor Security Service ref  Docto Nr  12044</t>
  </si>
  <si>
    <t>660832229</t>
  </si>
  <si>
    <t>4009359520</t>
  </si>
  <si>
    <t>5109789889</t>
  </si>
  <si>
    <t>16052426301640</t>
  </si>
  <si>
    <t>Valor Security Service ref  Docto Nr  29267</t>
  </si>
  <si>
    <t>660831879</t>
  </si>
  <si>
    <t>4009362650</t>
  </si>
  <si>
    <t>5109800607</t>
  </si>
  <si>
    <t>21052426301227</t>
  </si>
  <si>
    <t>Valor Security Service ref  Docto Nr  615</t>
  </si>
  <si>
    <t>4009354606</t>
  </si>
  <si>
    <t>4640003730</t>
  </si>
  <si>
    <t>13052426302226</t>
  </si>
  <si>
    <t>Valor Security Service ref  Docto Nr  616</t>
  </si>
  <si>
    <t>4009358595</t>
  </si>
  <si>
    <t>4640003896</t>
  </si>
  <si>
    <t>14052426300081</t>
  </si>
  <si>
    <t>Valor Security Service ref  Docto Nr  614</t>
  </si>
  <si>
    <t>660831894</t>
  </si>
  <si>
    <t>4009354679</t>
  </si>
  <si>
    <t>5109772654</t>
  </si>
  <si>
    <t>14052426300073</t>
  </si>
  <si>
    <t>Valor Maint &amp; Leg Co Compl ref  Docto Nr  42373</t>
  </si>
  <si>
    <t>660831883</t>
  </si>
  <si>
    <t>4009352567</t>
  </si>
  <si>
    <t>5109762167</t>
  </si>
  <si>
    <t>10052426301408</t>
  </si>
  <si>
    <t>Valor Maint &amp; Leg Co Compl ref  Docto Nr  42479</t>
  </si>
  <si>
    <t>660834658</t>
  </si>
  <si>
    <t>4009355133</t>
  </si>
  <si>
    <t>5109773556</t>
  </si>
  <si>
    <t>14052426302489</t>
  </si>
  <si>
    <t>Valor do documento Nr  29248 1</t>
  </si>
  <si>
    <t>660822277</t>
  </si>
  <si>
    <t>4009359369</t>
  </si>
  <si>
    <t>5109789517</t>
  </si>
  <si>
    <t>15052432009449</t>
  </si>
  <si>
    <t>ADAPTADOR EM LATAO 2 1/2 STORZ X2 1/2 RO</t>
  </si>
  <si>
    <t>Valor Maint &amp; Leg Co Compl ref  Docto Nr  42590</t>
  </si>
  <si>
    <t>660837890</t>
  </si>
  <si>
    <t>4009362668</t>
  </si>
  <si>
    <t>5109800858</t>
  </si>
  <si>
    <t>21052426301570</t>
  </si>
  <si>
    <t>Valor Security Service ref  Docto Nr  29598</t>
  </si>
  <si>
    <t>660846450</t>
  </si>
  <si>
    <t>4009385011</t>
  </si>
  <si>
    <t>5109886518</t>
  </si>
  <si>
    <t>11062426301715</t>
  </si>
  <si>
    <t>MW09C21506</t>
  </si>
  <si>
    <t>BEC</t>
  </si>
  <si>
    <t>Valor do documento Nr  22825 1</t>
  </si>
  <si>
    <t>660787755</t>
  </si>
  <si>
    <t>4009380121</t>
  </si>
  <si>
    <t>5109869417</t>
  </si>
  <si>
    <t>08062432003018</t>
  </si>
  <si>
    <t>MATERIAL P/ REALIZAR TRABALHO</t>
  </si>
  <si>
    <t>Valor Security Service ref  Docto Nr  621</t>
  </si>
  <si>
    <t>660846453</t>
  </si>
  <si>
    <t>4009377597</t>
  </si>
  <si>
    <t>5109862946</t>
  </si>
  <si>
    <t>07062426301746</t>
  </si>
  <si>
    <t>Valor Security Service ref  Docto Nr  623</t>
  </si>
  <si>
    <t>4009378197</t>
  </si>
  <si>
    <t>4640005028</t>
  </si>
  <si>
    <t>07062426301690</t>
  </si>
  <si>
    <t>Valor Security Service ref  Docto Nr  622</t>
  </si>
  <si>
    <t>4009378204</t>
  </si>
  <si>
    <t>4640005031</t>
  </si>
  <si>
    <t>07062426301916</t>
  </si>
  <si>
    <t>Valor Maint &amp; Leg Co Compl ref  Docto Nr  42798</t>
  </si>
  <si>
    <t>660846451</t>
  </si>
  <si>
    <t>4009384857</t>
  </si>
  <si>
    <t>5109886298</t>
  </si>
  <si>
    <t>11062426301316</t>
  </si>
  <si>
    <t>Maintenance &amp; Legal/Company Compliance</t>
  </si>
  <si>
    <t>Valor Security Service ref  Docto Nr  442</t>
  </si>
  <si>
    <t>660846452</t>
  </si>
  <si>
    <t>4009377596</t>
  </si>
  <si>
    <t>5109862941</t>
  </si>
  <si>
    <t>07062426301738</t>
  </si>
  <si>
    <t>660831880</t>
  </si>
  <si>
    <t>4009376398</t>
  </si>
  <si>
    <t>5109856991</t>
  </si>
  <si>
    <t>07062426303124</t>
  </si>
  <si>
    <t>Valor Security Service ref  Docto Nr  443</t>
  </si>
  <si>
    <t>660852760</t>
  </si>
  <si>
    <t>4009398077</t>
  </si>
  <si>
    <t>5109930964</t>
  </si>
  <si>
    <t>20062431034199</t>
  </si>
  <si>
    <t>Laudo da Qualidade do Ar Respirável</t>
  </si>
  <si>
    <t>Valor Security Service ref  Docto Nr  12235</t>
  </si>
  <si>
    <t>660848221</t>
  </si>
  <si>
    <t>4009395615</t>
  </si>
  <si>
    <t>5109923825</t>
  </si>
  <si>
    <t>18062431029980</t>
  </si>
  <si>
    <t>Valor Security Service ref  Docto Nr  633</t>
  </si>
  <si>
    <t>660857258</t>
  </si>
  <si>
    <t>4009418371</t>
  </si>
  <si>
    <t>5109986967</t>
  </si>
  <si>
    <t>05072431034358</t>
  </si>
  <si>
    <t>Valor Security Service ref  Docto Nr  635</t>
  </si>
  <si>
    <t>4009418374</t>
  </si>
  <si>
    <t>4640006241</t>
  </si>
  <si>
    <t>05072431034366</t>
  </si>
  <si>
    <t>Valor Security Service ref  Docto Nr  636</t>
  </si>
  <si>
    <t>4009419703</t>
  </si>
  <si>
    <t>4640006309</t>
  </si>
  <si>
    <t>05072431034374</t>
  </si>
  <si>
    <t>Valor Maint &amp; Leg Co Compl ref  Docto Nr  42857</t>
  </si>
  <si>
    <t>660850500</t>
  </si>
  <si>
    <t>4009393534</t>
  </si>
  <si>
    <t>5109916893</t>
  </si>
  <si>
    <t>17062431034470</t>
  </si>
  <si>
    <t>Manutenção Extintor PQSM ABC 06 kg</t>
  </si>
  <si>
    <t>Manutenção extintor ESP 10L</t>
  </si>
  <si>
    <t>4009395296</t>
  </si>
  <si>
    <t>5109922862</t>
  </si>
  <si>
    <t>Valor Maint &amp; Leg Co Compl ref  Docto Nr  42907</t>
  </si>
  <si>
    <t>660852697</t>
  </si>
  <si>
    <t>4009397325</t>
  </si>
  <si>
    <t>5109927606</t>
  </si>
  <si>
    <t>20062431038640</t>
  </si>
  <si>
    <t>Valor Maint &amp; Leg Co Compl ref  Docto Nr  6910</t>
  </si>
  <si>
    <t>4009398064</t>
  </si>
  <si>
    <t>5109930645</t>
  </si>
  <si>
    <t>4009401695</t>
  </si>
  <si>
    <t>5109939756</t>
  </si>
  <si>
    <t>4009401696</t>
  </si>
  <si>
    <t>5109939918</t>
  </si>
  <si>
    <t>Valor Maint &amp; Leg Co Compl ref  Docto Nr  42982</t>
  </si>
  <si>
    <t>660857730</t>
  </si>
  <si>
    <t>4009410009</t>
  </si>
  <si>
    <t>5109963317</t>
  </si>
  <si>
    <t>02072431048606</t>
  </si>
  <si>
    <t>Valor Training ref  Docto Nr  43107</t>
  </si>
  <si>
    <t>4009419058</t>
  </si>
  <si>
    <t>4640006274</t>
  </si>
  <si>
    <t>10072431049931</t>
  </si>
  <si>
    <t>Valor Security Service ref  Docto Nr  444</t>
  </si>
  <si>
    <t>660857717</t>
  </si>
  <si>
    <t>4009430400</t>
  </si>
  <si>
    <t>5110023223</t>
  </si>
  <si>
    <t>05082426300966</t>
  </si>
  <si>
    <t>Valor Security Service ref  Docto Nr  445</t>
  </si>
  <si>
    <t>660871745</t>
  </si>
  <si>
    <t>4009436067</t>
  </si>
  <si>
    <t>5110037637</t>
  </si>
  <si>
    <t>01082431062933</t>
  </si>
  <si>
    <t>Valor Security Service ref  Docto Nr  12369</t>
  </si>
  <si>
    <t>660858019</t>
  </si>
  <si>
    <t>4009452470</t>
  </si>
  <si>
    <t>5110069350</t>
  </si>
  <si>
    <t>17072431025800</t>
  </si>
  <si>
    <t>Valor Security Service ref  Docto Nr  12468</t>
  </si>
  <si>
    <t>660872348</t>
  </si>
  <si>
    <t>4009463641</t>
  </si>
  <si>
    <t>5110092496</t>
  </si>
  <si>
    <t>08082431037890</t>
  </si>
  <si>
    <t>Valor Security Service ref  Docto Nr  30140</t>
  </si>
  <si>
    <t>660859856</t>
  </si>
  <si>
    <t>4009431965</t>
  </si>
  <si>
    <t>5110026391</t>
  </si>
  <si>
    <t>12072431021337</t>
  </si>
  <si>
    <t>Valor Fire prevent serv  ref  Docto Nr  43333</t>
  </si>
  <si>
    <t>660871746</t>
  </si>
  <si>
    <t>4009450839</t>
  </si>
  <si>
    <t>5110065580</t>
  </si>
  <si>
    <t>02082431049239</t>
  </si>
  <si>
    <t>Fire prevent services</t>
  </si>
  <si>
    <t>Valor Security Service ref  Docto Nr  446</t>
  </si>
  <si>
    <t>660885485</t>
  </si>
  <si>
    <t>4009501442</t>
  </si>
  <si>
    <t>5110191445</t>
  </si>
  <si>
    <t>04092431025100</t>
  </si>
  <si>
    <t>Valor Security Service ref  Docto Nr  30856</t>
  </si>
  <si>
    <t>660885506</t>
  </si>
  <si>
    <t>4009503142</t>
  </si>
  <si>
    <t>5110193691</t>
  </si>
  <si>
    <t>04092431049162</t>
  </si>
  <si>
    <t>Valor Security Service ref  Docto Nr  639</t>
  </si>
  <si>
    <t>4009475233</t>
  </si>
  <si>
    <t>4640007424</t>
  </si>
  <si>
    <t>05082431032633</t>
  </si>
  <si>
    <t>Valor Security Service ref  Docto Nr  643</t>
  </si>
  <si>
    <t>4009475235</t>
  </si>
  <si>
    <t>4640007425</t>
  </si>
  <si>
    <t>05082431032641</t>
  </si>
  <si>
    <t>Valor Security Service ref  Docto Nr  638</t>
  </si>
  <si>
    <t>4009496441</t>
  </si>
  <si>
    <t>5110173794</t>
  </si>
  <si>
    <t>05082431032625</t>
  </si>
  <si>
    <t>6844000</t>
  </si>
  <si>
    <t>Meetings/Conf/ Symp</t>
  </si>
  <si>
    <t>Valor Meetings Conf  Symp ref  Docto Nr  43343</t>
  </si>
  <si>
    <t>4009478231</t>
  </si>
  <si>
    <t>4640007462</t>
  </si>
  <si>
    <t>05082431026844</t>
  </si>
  <si>
    <t>Meetings, conferences, symposiums etc.</t>
  </si>
  <si>
    <t>Valor Fire prevent serv  ref  Docto Nr  43524</t>
  </si>
  <si>
    <t>660876330</t>
  </si>
  <si>
    <t>4009490021</t>
  </si>
  <si>
    <t>5110155917</t>
  </si>
  <si>
    <t>13082431038212</t>
  </si>
  <si>
    <t>Valor Fire prevent serv  ref  Docto Nr  43523</t>
  </si>
  <si>
    <t>660876328</t>
  </si>
  <si>
    <t>4009490022</t>
  </si>
  <si>
    <t>5110155918</t>
  </si>
  <si>
    <t>13082431038379</t>
  </si>
  <si>
    <t>PQS 04 Kg</t>
  </si>
  <si>
    <t>6283532 G4S ENGENHARIA E SISTEMAS LTDA</t>
  </si>
  <si>
    <t>7652897 GSS SEGURANCA LTDA</t>
  </si>
  <si>
    <t>106192 C M COUTO SIST CONTRA INCENDIO L</t>
  </si>
  <si>
    <t>Valor Security Service ref  Docto Nr  447</t>
  </si>
  <si>
    <t>660891260</t>
  </si>
  <si>
    <t>4009530528</t>
  </si>
  <si>
    <t>5110265247</t>
  </si>
  <si>
    <t>01102431069866</t>
  </si>
  <si>
    <t>Valor Security Service ref  Docto Nr  12676</t>
  </si>
  <si>
    <t>660885221</t>
  </si>
  <si>
    <t>4009532348</t>
  </si>
  <si>
    <t>EAUXB</t>
  </si>
  <si>
    <t>5110269151</t>
  </si>
  <si>
    <t>06092431028530</t>
  </si>
  <si>
    <t>Valor Security Service ref  Docto Nr  12900</t>
  </si>
  <si>
    <t>660903437</t>
  </si>
  <si>
    <t>4009541137</t>
  </si>
  <si>
    <t>5110287077</t>
  </si>
  <si>
    <t>11102431029888</t>
  </si>
  <si>
    <t>Valor Security Service ref  Docto Nr  649</t>
  </si>
  <si>
    <t>660885487</t>
  </si>
  <si>
    <t>4009531923</t>
  </si>
  <si>
    <t>EAUVD</t>
  </si>
  <si>
    <t>5110267767</t>
  </si>
  <si>
    <t>09092431028626</t>
  </si>
  <si>
    <t>Valor Security Service ref  Docto Nr  650</t>
  </si>
  <si>
    <t>4009532886</t>
  </si>
  <si>
    <t>4640009045</t>
  </si>
  <si>
    <t>09092431028634</t>
  </si>
  <si>
    <t>Valor Security Service ref  Docto Nr  651</t>
  </si>
  <si>
    <t>4009532887</t>
  </si>
  <si>
    <t>4640009046</t>
  </si>
  <si>
    <t>09092431028642</t>
  </si>
  <si>
    <t>Valor Security Service ref  Docto Nr  656</t>
  </si>
  <si>
    <t>660891231</t>
  </si>
  <si>
    <t>4009538190</t>
  </si>
  <si>
    <t>5110279751</t>
  </si>
  <si>
    <t>07102431042860</t>
  </si>
  <si>
    <t>Valor Security Service ref  Docto Nr  657</t>
  </si>
  <si>
    <t>4009547789</t>
  </si>
  <si>
    <t>4640009773</t>
  </si>
  <si>
    <t>07102431042879</t>
  </si>
  <si>
    <t>MW09C21507</t>
  </si>
  <si>
    <t>Projetos Sociais</t>
  </si>
  <si>
    <t>Valor Security Service ref  Docto Nr  658</t>
  </si>
  <si>
    <t>4009547790</t>
  </si>
  <si>
    <t>4640009774</t>
  </si>
  <si>
    <t>07102431042887</t>
  </si>
  <si>
    <t>Valor do documento Nr  29565 1</t>
  </si>
  <si>
    <t>660872901</t>
  </si>
  <si>
    <t>4009524433</t>
  </si>
  <si>
    <t>5110247226</t>
  </si>
  <si>
    <t>16082432004633</t>
  </si>
  <si>
    <t>SINALIZACAO EM PVC FOTOLUMINESCENTE DUPL</t>
  </si>
  <si>
    <t>SINALIZACAO EM PVC FOTOLUMINESCENTE MED</t>
  </si>
  <si>
    <t>Valor Fire prevent serv  ref  Docto Nr  43693</t>
  </si>
  <si>
    <t>660885486</t>
  </si>
  <si>
    <t>4009527671</t>
  </si>
  <si>
    <t>5110256397</t>
  </si>
  <si>
    <t>03092431044389</t>
  </si>
  <si>
    <t>Valor Fire prevent serv  ref  Docto Nr  43823</t>
  </si>
  <si>
    <t>660890060</t>
  </si>
  <si>
    <t>4009530087</t>
  </si>
  <si>
    <t>5110263704</t>
  </si>
  <si>
    <t>11092431041810</t>
  </si>
  <si>
    <t>Valor Fire prevent serv  ref  Docto Nr  43825</t>
  </si>
  <si>
    <t>660890059</t>
  </si>
  <si>
    <t>4009530093</t>
  </si>
  <si>
    <t>5110263720</t>
  </si>
  <si>
    <t>12092431018703</t>
  </si>
  <si>
    <t>Valor Fire prevent serv  ref  Docto Nr  44041</t>
  </si>
  <si>
    <t>660891230</t>
  </si>
  <si>
    <t>4009538200</t>
  </si>
  <si>
    <t>5110279753</t>
  </si>
  <si>
    <t>07102431043428</t>
  </si>
  <si>
    <t>Valor Fire prevent serv  ref  Docto Nr  448</t>
  </si>
  <si>
    <t>660914909</t>
  </si>
  <si>
    <t>4009564915</t>
  </si>
  <si>
    <t>5110333813</t>
  </si>
  <si>
    <t>05112431041926</t>
  </si>
  <si>
    <t>Valor Security Service ref  Docto Nr  31480</t>
  </si>
  <si>
    <t>660891232</t>
  </si>
  <si>
    <t>4009590393</t>
  </si>
  <si>
    <t>5110382315</t>
  </si>
  <si>
    <t>13112431033888</t>
  </si>
  <si>
    <t>Valor Security Service ref  Docto Nr  31879</t>
  </si>
  <si>
    <t>660915664</t>
  </si>
  <si>
    <t>4009590398</t>
  </si>
  <si>
    <t>5110382316</t>
  </si>
  <si>
    <t>13112431033896</t>
  </si>
  <si>
    <t>Valor Security Service ref  Docto Nr  662</t>
  </si>
  <si>
    <t>660914910</t>
  </si>
  <si>
    <t>4009562146</t>
  </si>
  <si>
    <t>5110329259</t>
  </si>
  <si>
    <t>05112431020513</t>
  </si>
  <si>
    <t>Valor Fire prevent serv  ref  Docto Nr  44339</t>
  </si>
  <si>
    <t>4009561748</t>
  </si>
  <si>
    <t>4640010157</t>
  </si>
  <si>
    <t>22102431048319</t>
  </si>
  <si>
    <t>Valor Fire prevent serv  ref  Docto Nr  44422</t>
  </si>
  <si>
    <t>660915646</t>
  </si>
  <si>
    <t>4009566029</t>
  </si>
  <si>
    <t>5110336508</t>
  </si>
  <si>
    <t>06112431032632</t>
  </si>
  <si>
    <t>Valor Fire prevent serv  ref  Docto Nr  44448</t>
  </si>
  <si>
    <t>660917030</t>
  </si>
  <si>
    <t>4009573632</t>
  </si>
  <si>
    <t>5110353225</t>
  </si>
  <si>
    <t>06112431053417</t>
  </si>
  <si>
    <t>Valor Fire prevent serv  ref  Docto Nr  44638</t>
  </si>
  <si>
    <t>660924736</t>
  </si>
  <si>
    <t>4009608524</t>
  </si>
  <si>
    <t>5110418808</t>
  </si>
  <si>
    <t>22112431038319</t>
  </si>
  <si>
    <t>Valor Security Service ref  Docto Nr  13133</t>
  </si>
  <si>
    <t>660915754</t>
  </si>
  <si>
    <t>4009638355</t>
  </si>
  <si>
    <t>EAZLZ</t>
  </si>
  <si>
    <t>5110468130</t>
  </si>
  <si>
    <t>05122431052620</t>
  </si>
  <si>
    <t>Valor Security Service ref  Docto Nr  13134</t>
  </si>
  <si>
    <t>4009638359</t>
  </si>
  <si>
    <t>4640012339</t>
  </si>
  <si>
    <t>05122431052581</t>
  </si>
  <si>
    <t>Valor Security Service ref  Docto Nr  13249</t>
  </si>
  <si>
    <t>660929418</t>
  </si>
  <si>
    <t>4009643865</t>
  </si>
  <si>
    <t>5110482952</t>
  </si>
  <si>
    <t>12122431026533</t>
  </si>
  <si>
    <t>Valor Technic  spare parts ref  Docto Nr  32425</t>
  </si>
  <si>
    <t>660928920</t>
  </si>
  <si>
    <t>4009641803</t>
  </si>
  <si>
    <t>5110478717</t>
  </si>
  <si>
    <t>10122431036657</t>
  </si>
  <si>
    <t>Technical spare parts</t>
  </si>
  <si>
    <t>Valor Security Service ref  Docto Nr  670</t>
  </si>
  <si>
    <t>660928885</t>
  </si>
  <si>
    <t>4009631281</t>
  </si>
  <si>
    <t>5110449966</t>
  </si>
  <si>
    <t>04122431058528</t>
  </si>
  <si>
    <t>Valor Security Service ref  Docto Nr  664</t>
  </si>
  <si>
    <t>4009645043</t>
  </si>
  <si>
    <t>4640013034</t>
  </si>
  <si>
    <t>19112431019201</t>
  </si>
  <si>
    <t>Valor Fire prevent serv  ref  Docto Nr  44776</t>
  </si>
  <si>
    <t>660928912</t>
  </si>
  <si>
    <t>4009638821</t>
  </si>
  <si>
    <t>5110467366</t>
  </si>
  <si>
    <t>05122431049447</t>
  </si>
  <si>
    <t>Valor Fire prevent serv  ref  Docto Nr  44793</t>
  </si>
  <si>
    <t>660931437</t>
  </si>
  <si>
    <t>4009639703</t>
  </si>
  <si>
    <t>5110469639</t>
  </si>
  <si>
    <t>06122431048102</t>
  </si>
  <si>
    <t>Valor Fire prevent serv  ref  Docto Nr  44792</t>
  </si>
  <si>
    <t>660931435</t>
  </si>
  <si>
    <t>4009639911</t>
  </si>
  <si>
    <t>5110469645</t>
  </si>
  <si>
    <t>06122431046520</t>
  </si>
  <si>
    <t>Valor Fire prevent serv  ref  Docto Nr  449</t>
  </si>
  <si>
    <t>660928884</t>
  </si>
  <si>
    <t>4009622389</t>
  </si>
  <si>
    <t>5110434889</t>
  </si>
  <si>
    <t>02122431065784</t>
  </si>
  <si>
    <t>2025</t>
  </si>
  <si>
    <t>Valor Fire prevent serv  ref  Docto Nr  450</t>
  </si>
  <si>
    <t>660939308</t>
  </si>
  <si>
    <t>4009659967</t>
  </si>
  <si>
    <t>5110544200</t>
  </si>
  <si>
    <t>06012531026045</t>
  </si>
  <si>
    <t>Valor Security Service ref  Docto Nr  677</t>
  </si>
  <si>
    <t>660939304</t>
  </si>
  <si>
    <t>4009662300</t>
  </si>
  <si>
    <t>5110555290</t>
  </si>
  <si>
    <t>07012531036557</t>
  </si>
  <si>
    <t>Valor Security Service ref  Docto Nr  679</t>
  </si>
  <si>
    <t>4009665257</t>
  </si>
  <si>
    <t>4640000264</t>
  </si>
  <si>
    <t>10012531014018</t>
  </si>
  <si>
    <t>Valor Security Service ref  Docto Nr  680</t>
  </si>
  <si>
    <t>4009665270</t>
  </si>
  <si>
    <t>4640000265</t>
  </si>
  <si>
    <t>10012531014026</t>
  </si>
  <si>
    <t>Valor Security Service ref  Docto Nr  681</t>
  </si>
  <si>
    <t>4009665280</t>
  </si>
  <si>
    <t>4640000266</t>
  </si>
  <si>
    <t>10012531014034</t>
  </si>
  <si>
    <t>Valor Security Service ref  Docto Nr  678</t>
  </si>
  <si>
    <t>4009665288</t>
  </si>
  <si>
    <t>4640000267</t>
  </si>
  <si>
    <t>10012531014042</t>
  </si>
  <si>
    <t>Valor Fire prevent serv  ref  Docto Nr  44979</t>
  </si>
  <si>
    <t>660939337</t>
  </si>
  <si>
    <t>4009661206</t>
  </si>
  <si>
    <t>5110545115</t>
  </si>
  <si>
    <t>06012531026592</t>
  </si>
  <si>
    <t>Valor Fire prevent serv  ref  Docto Nr  451</t>
  </si>
  <si>
    <t>660954598</t>
  </si>
  <si>
    <t>4009695188</t>
  </si>
  <si>
    <t>5110671136</t>
  </si>
  <si>
    <t>04022531042991</t>
  </si>
  <si>
    <t>Valor Security Service ref  Docto Nr  13409</t>
  </si>
  <si>
    <t>660940230</t>
  </si>
  <si>
    <t>4009699790</t>
  </si>
  <si>
    <t>5110684254</t>
  </si>
  <si>
    <t>06022531039766</t>
  </si>
  <si>
    <t>Object</t>
  </si>
  <si>
    <t>Cost element descr.</t>
  </si>
  <si>
    <t>Valor Technic  spare parts ref  Docto Nr  32834</t>
  </si>
  <si>
    <t>660939323</t>
  </si>
  <si>
    <t>4009697549</t>
  </si>
  <si>
    <t>5110678571</t>
  </si>
  <si>
    <t>06022531039944</t>
  </si>
  <si>
    <t>Valor Technic  spare parts ref  Docto Nr  33302</t>
  </si>
  <si>
    <t>660954615</t>
  </si>
  <si>
    <t>4009702356</t>
  </si>
  <si>
    <t>5110696391</t>
  </si>
  <si>
    <t>11022531028346</t>
  </si>
  <si>
    <t>Valor Security Service ref  Docto Nr  686</t>
  </si>
  <si>
    <t>660954601</t>
  </si>
  <si>
    <t>4009699947</t>
  </si>
  <si>
    <t>5110687082</t>
  </si>
  <si>
    <t>07022531033221</t>
  </si>
  <si>
    <t>Valor Fire prevent serv  ref  Docto Nr  45340</t>
  </si>
  <si>
    <t>660956674</t>
  </si>
  <si>
    <t>4009699802</t>
  </si>
  <si>
    <t>5110684338</t>
  </si>
  <si>
    <t>06022531041303</t>
  </si>
  <si>
    <t>Condenado AP 10L</t>
  </si>
  <si>
    <t>Valor Fire prevent serv  ref  Docto Nr  452</t>
  </si>
  <si>
    <t>660969297</t>
  </si>
  <si>
    <t>4009730533</t>
  </si>
  <si>
    <t>5110789905</t>
  </si>
  <si>
    <t>08032531005370</t>
  </si>
  <si>
    <t>Valor Security Service ref  Docto Nr  13660</t>
  </si>
  <si>
    <t>660954619</t>
  </si>
  <si>
    <t>4009725091</t>
  </si>
  <si>
    <t>5110770338</t>
  </si>
  <si>
    <t>28022531041014</t>
  </si>
  <si>
    <t>Valor Security Service ref  Docto Nr  13819</t>
  </si>
  <si>
    <t>660969907</t>
  </si>
  <si>
    <t>4009743430</t>
  </si>
  <si>
    <t>5110851323</t>
  </si>
  <si>
    <t>25032531021361</t>
  </si>
  <si>
    <t>Valor Technic  spare parts ref  Docto Nr  33826</t>
  </si>
  <si>
    <t>660969331</t>
  </si>
  <si>
    <t>4009744504</t>
  </si>
  <si>
    <t>5110856545</t>
  </si>
  <si>
    <t>27032531034748</t>
  </si>
  <si>
    <t>Valor Security Service ref  Docto Nr  694</t>
  </si>
  <si>
    <t>660969300</t>
  </si>
  <si>
    <t>4009731204</t>
  </si>
  <si>
    <t>5110796983</t>
  </si>
  <si>
    <t>07032531027503</t>
  </si>
  <si>
    <t>Valor Security Service ref  Docto Nr  696</t>
  </si>
  <si>
    <t>4009734399</t>
  </si>
  <si>
    <t>4640002457</t>
  </si>
  <si>
    <t>13032531036415</t>
  </si>
  <si>
    <t>Valor Security Service ref  Docto Nr  697</t>
  </si>
  <si>
    <t>4009734400</t>
  </si>
  <si>
    <t>4640002461</t>
  </si>
  <si>
    <t>13032531036440</t>
  </si>
  <si>
    <t>Valor Fire prevent serv  ref  Docto Nr  45558</t>
  </si>
  <si>
    <t>660969341</t>
  </si>
  <si>
    <t>4009745670</t>
  </si>
  <si>
    <t>5110861335</t>
  </si>
  <si>
    <t>27032531034969</t>
  </si>
  <si>
    <t xml:space="preserve"> SEGURPRO VIGILANCIA PATRIMONIAL SA</t>
  </si>
  <si>
    <t>Valor Fire prevent serv  ref  Docto Nr  453</t>
  </si>
  <si>
    <t>660981723</t>
  </si>
  <si>
    <t>4009753530</t>
  </si>
  <si>
    <t>5110882179</t>
  </si>
  <si>
    <t>01042531060905</t>
  </si>
  <si>
    <t>Valor Security Service ref  Docto Nr  13930</t>
  </si>
  <si>
    <t>660983794</t>
  </si>
  <si>
    <t>4009767191</t>
  </si>
  <si>
    <t>5110926660</t>
  </si>
  <si>
    <t>14042531030035</t>
  </si>
  <si>
    <t>Valor Security Service ref  Docto Nr  34191</t>
  </si>
  <si>
    <t>660981761</t>
  </si>
  <si>
    <t>4009766908</t>
  </si>
  <si>
    <t>GPDUA</t>
  </si>
  <si>
    <t>5110923944</t>
  </si>
  <si>
    <t>10042531019794</t>
  </si>
  <si>
    <t>Valor Security Service ref  Docto Nr  699</t>
  </si>
  <si>
    <t>4009753345</t>
  </si>
  <si>
    <t>4640003097</t>
  </si>
  <si>
    <t>14032531013089</t>
  </si>
  <si>
    <t>Valor Security Service ref  Docto Nr  705</t>
  </si>
  <si>
    <t>660981732</t>
  </si>
  <si>
    <t>4009767112</t>
  </si>
  <si>
    <t>5110924156</t>
  </si>
  <si>
    <t>11042531035530</t>
  </si>
  <si>
    <t>Valor Security Service ref  Docto Nr  707</t>
  </si>
  <si>
    <t>4009774977</t>
  </si>
  <si>
    <t>4640004106</t>
  </si>
  <si>
    <t>11042531035556</t>
  </si>
  <si>
    <t>MW09C21018</t>
  </si>
  <si>
    <t>Infraestrutura</t>
  </si>
  <si>
    <t>MW09C20400</t>
  </si>
  <si>
    <t>Manufac. Personnel</t>
  </si>
  <si>
    <t>Valor Security Service ref  Docto Nr  706</t>
  </si>
  <si>
    <t>4009774982</t>
  </si>
  <si>
    <t>4640004107</t>
  </si>
  <si>
    <t>11042531035548</t>
  </si>
  <si>
    <t>Valor Fire prevent serv  ref  Docto Nr  45892</t>
  </si>
  <si>
    <t>660984718</t>
  </si>
  <si>
    <t>4009760609</t>
  </si>
  <si>
    <t>5110907244</t>
  </si>
  <si>
    <t>07042531043030</t>
  </si>
  <si>
    <t>Valor Fire prevent serv  ref  Docto Nr  45977</t>
  </si>
  <si>
    <t>660981799</t>
  </si>
  <si>
    <t>4009766698</t>
  </si>
  <si>
    <t>5110924053</t>
  </si>
  <si>
    <t>11042531021993</t>
  </si>
  <si>
    <t>Valor Fire prevent serv  ref  Docto Nr  45891</t>
  </si>
  <si>
    <t>660984716</t>
  </si>
  <si>
    <t>4009766957</t>
  </si>
  <si>
    <t>5110924311</t>
  </si>
  <si>
    <t>10042531021870</t>
  </si>
  <si>
    <t>Valor do documento Nr  30308 1</t>
  </si>
  <si>
    <t>4009772822</t>
  </si>
  <si>
    <t>4610010802</t>
  </si>
  <si>
    <t>24042532011868</t>
  </si>
  <si>
    <t>Valor Technic  spare parts ref  Docto Nr  454</t>
  </si>
  <si>
    <t>660997425</t>
  </si>
  <si>
    <t>4009784165</t>
  </si>
  <si>
    <t>5110996538</t>
  </si>
  <si>
    <t>06052531047256</t>
  </si>
  <si>
    <t>Valor Security Service ref  Docto Nr  14044</t>
  </si>
  <si>
    <t>660997529</t>
  </si>
  <si>
    <t>4009795113</t>
  </si>
  <si>
    <t>5111035228</t>
  </si>
  <si>
    <t>09052531024357</t>
  </si>
  <si>
    <t>Valor Security Service ref  Docto Nr  713</t>
  </si>
  <si>
    <t>660997421</t>
  </si>
  <si>
    <t>4009787321</t>
  </si>
  <si>
    <t>5111007257</t>
  </si>
  <si>
    <t>09052531022286</t>
  </si>
  <si>
    <t>Valor Fire prevent serv  ref  Docto Nr  46291</t>
  </si>
  <si>
    <t>660997458</t>
  </si>
  <si>
    <t>4009791360</t>
  </si>
  <si>
    <t>5111021921</t>
  </si>
  <si>
    <t>14052531030807</t>
  </si>
  <si>
    <t>Valor Fire prevent serv  ref  Docto Nr  45273</t>
  </si>
  <si>
    <t>4009799019</t>
  </si>
  <si>
    <t>4640005020</t>
  </si>
  <si>
    <t>27052526301679</t>
  </si>
  <si>
    <t>Valor Technic  spare parts ref  Docto Nr  455</t>
  </si>
  <si>
    <t>661002856</t>
  </si>
  <si>
    <t>4009804521</t>
  </si>
  <si>
    <t>5111068870</t>
  </si>
  <si>
    <t>02062531024378</t>
  </si>
  <si>
    <t>Valor Security Service ref  Docto Nr  717</t>
  </si>
  <si>
    <t>4009810344</t>
  </si>
  <si>
    <t>4640005375</t>
  </si>
  <si>
    <t>26052531014498</t>
  </si>
  <si>
    <t>Valor Security Service ref  Docto Nr  718</t>
  </si>
  <si>
    <t>661002855</t>
  </si>
  <si>
    <t>4009814450</t>
  </si>
  <si>
    <t>5111086676</t>
  </si>
  <si>
    <t>05062531017226</t>
  </si>
  <si>
    <t>Valor Security Service ref  Docto Nr  719</t>
  </si>
  <si>
    <t>4009836595</t>
  </si>
  <si>
    <t>4640006125</t>
  </si>
  <si>
    <t>05062531017234</t>
  </si>
  <si>
    <t>Valor Security Service ref  Docto Nr  720</t>
  </si>
  <si>
    <t>4009836599</t>
  </si>
  <si>
    <t>4640006127</t>
  </si>
  <si>
    <t>05062531017242</t>
  </si>
  <si>
    <t>Valor Security Service ref  Docto Nr  716</t>
  </si>
  <si>
    <t>4009836900</t>
  </si>
  <si>
    <t>4640006129</t>
  </si>
  <si>
    <t>26052531014480</t>
  </si>
  <si>
    <t>Valor Technic  spare parts ref  Docto Nr  34660</t>
  </si>
  <si>
    <t>660997451</t>
  </si>
  <si>
    <t>4009837463</t>
  </si>
  <si>
    <t>5111140245</t>
  </si>
  <si>
    <t>26062531038634</t>
  </si>
  <si>
    <t>Valor Fire prevent serv  ref  Docto Nr  46405</t>
  </si>
  <si>
    <t>661002861</t>
  </si>
  <si>
    <t>4009805853</t>
  </si>
  <si>
    <t>5111072109</t>
  </si>
  <si>
    <t>02062531051146</t>
  </si>
  <si>
    <t>Valor Security Service ref  Docto Nr  14263</t>
  </si>
  <si>
    <t>661003107</t>
  </si>
  <si>
    <t>4009843419</t>
  </si>
  <si>
    <t>5111154689</t>
  </si>
  <si>
    <t>09062531015976</t>
  </si>
  <si>
    <t>Valor Technic  spare parts ref  Docto Nr  456</t>
  </si>
  <si>
    <t>661021938</t>
  </si>
  <si>
    <t>4009844718</t>
  </si>
  <si>
    <t>5111157257</t>
  </si>
  <si>
    <t>01072531069553</t>
  </si>
  <si>
    <t>MW09C21022</t>
  </si>
  <si>
    <t>Segurança do Trabalh</t>
  </si>
  <si>
    <t>Valor Security Service ref  Docto Nr  459</t>
  </si>
  <si>
    <t>661031890</t>
  </si>
  <si>
    <t>4009883370</t>
  </si>
  <si>
    <t>5111215452</t>
  </si>
  <si>
    <t>23072531034027</t>
  </si>
  <si>
    <t>Ser manute Conj AIR PACK Cali manôm Higi</t>
  </si>
  <si>
    <t>Valor Security Service ref  Docto Nr  14481</t>
  </si>
  <si>
    <t>661021964</t>
  </si>
  <si>
    <t>4009865534</t>
  </si>
  <si>
    <t>5111186929</t>
  </si>
  <si>
    <t>11072531021220</t>
  </si>
  <si>
    <t>Valor Security Service ref  Docto Nr  730</t>
  </si>
  <si>
    <t>661021975</t>
  </si>
  <si>
    <t>4009869605</t>
  </si>
  <si>
    <t>5111194587</t>
  </si>
  <si>
    <t>15072531016401</t>
  </si>
  <si>
    <t>Valor Fire prevent serv  ref  Docto Nr  46760</t>
  </si>
  <si>
    <t>661021968</t>
  </si>
  <si>
    <t>4009846569</t>
  </si>
  <si>
    <t>5111161483</t>
  </si>
  <si>
    <t>02072531045533</t>
  </si>
  <si>
    <t>Valor Fire prevent serv  ref  Docto Nr  46775</t>
  </si>
  <si>
    <t>661022135</t>
  </si>
  <si>
    <t>4009846788</t>
  </si>
  <si>
    <t>5111161331</t>
  </si>
  <si>
    <t>02072531046915</t>
  </si>
  <si>
    <t>Valor Fire prevent serv  ref  Docto Nr  46774</t>
  </si>
  <si>
    <t>661022134</t>
  </si>
  <si>
    <t>4009846790</t>
  </si>
  <si>
    <t>5111161332</t>
  </si>
  <si>
    <t>02072531046990</t>
  </si>
  <si>
    <t>Valor Fire prevent serv  ref  Docto Nr  46776</t>
  </si>
  <si>
    <t>661022166</t>
  </si>
  <si>
    <t>4009846792</t>
  </si>
  <si>
    <t>5111161334</t>
  </si>
  <si>
    <t>02072531047191</t>
  </si>
  <si>
    <t>Valor Fire prevent serv  ref  Docto Nr  46779</t>
  </si>
  <si>
    <t>661022167</t>
  </si>
  <si>
    <t>4009847211</t>
  </si>
  <si>
    <t>5111161744</t>
  </si>
  <si>
    <t>02072531048840</t>
  </si>
  <si>
    <t>Valor Fire prevent serv  ref  Docto Nr  45301</t>
  </si>
  <si>
    <t>660954624</t>
  </si>
  <si>
    <t>4009859014</t>
  </si>
  <si>
    <t>5111178003</t>
  </si>
  <si>
    <t>09072531030436</t>
  </si>
  <si>
    <t>Valor Security Service ref  Docto Nr  736</t>
  </si>
  <si>
    <t>4009914710</t>
  </si>
  <si>
    <t>4640007593</t>
  </si>
  <si>
    <t>07082531035016</t>
  </si>
  <si>
    <t>MW09C20241</t>
  </si>
  <si>
    <t>Packing Adm</t>
  </si>
  <si>
    <t>Valor Security Service ref  Docto Nr  731</t>
  </si>
  <si>
    <t>4009920962</t>
  </si>
  <si>
    <t>4640007786</t>
  </si>
  <si>
    <t>15072531016380</t>
  </si>
  <si>
    <t>Valor Security Service ref  Docto Nr  732</t>
  </si>
  <si>
    <t>4009920965</t>
  </si>
  <si>
    <t>4640007787</t>
  </si>
  <si>
    <t>15072531016398</t>
  </si>
  <si>
    <t>4009935918</t>
  </si>
  <si>
    <t>4690000364</t>
  </si>
  <si>
    <t>4009935919</t>
  </si>
  <si>
    <t>4690000365</t>
  </si>
  <si>
    <t>4009935920</t>
  </si>
  <si>
    <t>4690000366</t>
  </si>
  <si>
    <t>4009935924</t>
  </si>
  <si>
    <t>4640008111</t>
  </si>
  <si>
    <t>4009935925</t>
  </si>
  <si>
    <t>4640008112</t>
  </si>
  <si>
    <t>4009935938</t>
  </si>
  <si>
    <t>4640008113</t>
  </si>
  <si>
    <t>4009892345</t>
  </si>
  <si>
    <t>5111235998</t>
  </si>
  <si>
    <t>Valor Technic  spare parts ref  Docto Nr  457</t>
  </si>
  <si>
    <t>4009893426</t>
  </si>
  <si>
    <t>5111237324</t>
  </si>
  <si>
    <t>02072531050200</t>
  </si>
  <si>
    <t>Valor Technic  spare parts ref  Docto Nr  460</t>
  </si>
  <si>
    <t>661036080</t>
  </si>
  <si>
    <t>4009900735</t>
  </si>
  <si>
    <t>5111242564</t>
  </si>
  <si>
    <t>01082531029710</t>
  </si>
  <si>
    <t>Valor Security Service ref  Docto Nr  14641</t>
  </si>
  <si>
    <t>661036645</t>
  </si>
  <si>
    <t>4009921620</t>
  </si>
  <si>
    <t>5111268748</t>
  </si>
  <si>
    <t>13082531029776</t>
  </si>
  <si>
    <t>Valor Technic  spare parts ref  Docto Nr  35236</t>
  </si>
  <si>
    <t>G4S TECNOLOGIA LTDA</t>
  </si>
  <si>
    <t>661002858</t>
  </si>
  <si>
    <t>4009899792</t>
  </si>
  <si>
    <t>5111241115</t>
  </si>
  <si>
    <t>31072531037814</t>
  </si>
  <si>
    <t>Valor Technic  spare parts ref  Docto Nr  35592</t>
  </si>
  <si>
    <t>661021949</t>
  </si>
  <si>
    <t>4009899793</t>
  </si>
  <si>
    <t>5111241116</t>
  </si>
  <si>
    <t>31072531037806</t>
  </si>
  <si>
    <t>Valor do documento Nr  24856 1</t>
  </si>
  <si>
    <t>4009929183</t>
  </si>
  <si>
    <t>4610016207</t>
  </si>
  <si>
    <t>24072532009751</t>
  </si>
  <si>
    <t>Valor Technic  spare parts ref  Docto Nr  36086</t>
  </si>
  <si>
    <t>661036093</t>
  </si>
  <si>
    <t>4009932220</t>
  </si>
  <si>
    <t>5111281436</t>
  </si>
  <si>
    <t>18082531019781</t>
  </si>
  <si>
    <t>Valor Security Service ref  Docto Nr  734</t>
  </si>
  <si>
    <t>661036095</t>
  </si>
  <si>
    <t>4009914712</t>
  </si>
  <si>
    <t>5111257834</t>
  </si>
  <si>
    <t>07082531034998</t>
  </si>
  <si>
    <t>4009935917</t>
  </si>
  <si>
    <t>5111287612</t>
  </si>
  <si>
    <t>4009935922</t>
  </si>
  <si>
    <t>5111287613</t>
  </si>
  <si>
    <t>Valor Fire prevent serv  ref  Docto Nr  47066</t>
  </si>
  <si>
    <t>661036150</t>
  </si>
  <si>
    <t>4009909378</t>
  </si>
  <si>
    <t>5111253691</t>
  </si>
  <si>
    <t>06082531003880</t>
  </si>
  <si>
    <t>Valor do documento Nr  30448 1</t>
  </si>
  <si>
    <t>4009929180</t>
  </si>
  <si>
    <t>4610016204</t>
  </si>
  <si>
    <t>29052532004763</t>
  </si>
  <si>
    <t>Valor Technic  spare parts ref  Docto Nr  462</t>
  </si>
  <si>
    <t>661048933</t>
  </si>
  <si>
    <t>4009950461</t>
  </si>
  <si>
    <t>5111316824</t>
  </si>
  <si>
    <t>01092531041046</t>
  </si>
  <si>
    <t>6776000</t>
  </si>
  <si>
    <t>Accounting services</t>
  </si>
  <si>
    <t>Valor Accounting services ref  Docto Nr  461</t>
  </si>
  <si>
    <t>661044131</t>
  </si>
  <si>
    <t>4009991350</t>
  </si>
  <si>
    <t>5111388584</t>
  </si>
  <si>
    <t>23092531017261</t>
  </si>
  <si>
    <t>Valor Accounting services ref  Docto Nr  463</t>
  </si>
  <si>
    <t>661048965</t>
  </si>
  <si>
    <t>4009995105</t>
  </si>
  <si>
    <t>5111397945</t>
  </si>
  <si>
    <t>29092531025908</t>
  </si>
  <si>
    <t>Manômetros</t>
  </si>
  <si>
    <t>Valor Security Service ref  Docto Nr  14642</t>
  </si>
  <si>
    <t>4009954344</t>
  </si>
  <si>
    <t>4640008669</t>
  </si>
  <si>
    <t>13082531029784</t>
  </si>
  <si>
    <t>Valor Security Service ref  Docto Nr  14812</t>
  </si>
  <si>
    <t>661048981</t>
  </si>
  <si>
    <t>4009974775</t>
  </si>
  <si>
    <t>5111355962</t>
  </si>
  <si>
    <t>15092531017237</t>
  </si>
  <si>
    <t>Valor Technic  spare parts ref  Docto Nr  36516</t>
  </si>
  <si>
    <t>661048936</t>
  </si>
  <si>
    <t>4009978485</t>
  </si>
  <si>
    <t>5111362613</t>
  </si>
  <si>
    <t>16092531035951</t>
  </si>
  <si>
    <t>estorno</t>
  </si>
  <si>
    <t>4009950464</t>
  </si>
  <si>
    <t>4570000114</t>
  </si>
  <si>
    <t>4009950466</t>
  </si>
  <si>
    <t>4640008499</t>
  </si>
  <si>
    <t>Valor Security Service ref  Docto Nr  735</t>
  </si>
  <si>
    <t>4009954008</t>
  </si>
  <si>
    <t>4640008682</t>
  </si>
  <si>
    <t>07082531035008</t>
  </si>
  <si>
    <t>4009960165</t>
  </si>
  <si>
    <t>4690000390</t>
  </si>
  <si>
    <t>4009961695</t>
  </si>
  <si>
    <t>4640008764</t>
  </si>
  <si>
    <t>Valor Security Service ref  Docto Nr  751</t>
  </si>
  <si>
    <t>661048937</t>
  </si>
  <si>
    <t>4009974744</t>
  </si>
  <si>
    <t>5111355332</t>
  </si>
  <si>
    <t>14092531010099</t>
  </si>
  <si>
    <t>Valor Security Service ref  Docto Nr  754</t>
  </si>
  <si>
    <t>4009978166</t>
  </si>
  <si>
    <t>4640009215</t>
  </si>
  <si>
    <t>16092531033546</t>
  </si>
  <si>
    <t>Valor Security Service ref  Docto Nr  755</t>
  </si>
  <si>
    <t>4009978171</t>
  </si>
  <si>
    <t>4640009216</t>
  </si>
  <si>
    <t>16092531033554</t>
  </si>
  <si>
    <t>Valor Fire prevent serv  ref  Docto Nr  47339</t>
  </si>
  <si>
    <t>661048969</t>
  </si>
  <si>
    <t>4009950741</t>
  </si>
  <si>
    <t>5111317221</t>
  </si>
  <si>
    <t>01092531038327</t>
  </si>
  <si>
    <t>Valor do documento Nr  30909 1</t>
  </si>
  <si>
    <t>4009960492</t>
  </si>
  <si>
    <t>GOCMZ</t>
  </si>
  <si>
    <t>4610017939</t>
  </si>
  <si>
    <t>04092531036954</t>
  </si>
  <si>
    <t>Valor Fire prevent serv  ref  Docto Nr  47537</t>
  </si>
  <si>
    <t>661054465</t>
  </si>
  <si>
    <t>4009973305</t>
  </si>
  <si>
    <t>5111352062</t>
  </si>
  <si>
    <t>12092531017418</t>
  </si>
  <si>
    <t>Valor Fire prevent serv  ref  Docto Nr  47536</t>
  </si>
  <si>
    <t>661054450</t>
  </si>
  <si>
    <t>4009973306</t>
  </si>
  <si>
    <t>5111352063</t>
  </si>
  <si>
    <t>12092531017469</t>
  </si>
  <si>
    <t>Valor Fire prevent serv  ref  Docto Nr  47535</t>
  </si>
  <si>
    <t>661054477</t>
  </si>
  <si>
    <t>4009973307</t>
  </si>
  <si>
    <t>5111352064</t>
  </si>
  <si>
    <t>12092531017582</t>
  </si>
  <si>
    <t>Valor Security Service ref  Docto Nr  762</t>
  </si>
  <si>
    <t>4010030573</t>
  </si>
  <si>
    <t>4640010440</t>
  </si>
  <si>
    <t>15102531025389</t>
  </si>
  <si>
    <t>Valor Security Service ref  Docto Nr  761</t>
  </si>
  <si>
    <t>4010030574</t>
  </si>
  <si>
    <t>4640010441</t>
  </si>
  <si>
    <t>15102531025397</t>
  </si>
  <si>
    <t>Valor Security Service ref  Docto Nr  763</t>
  </si>
  <si>
    <t>4010030575</t>
  </si>
  <si>
    <t>4640010442</t>
  </si>
  <si>
    <t>15102531025400</t>
  </si>
  <si>
    <t>YWEGT</t>
  </si>
  <si>
    <t>Valor Security Service ref  Docto Nr  15039</t>
  </si>
  <si>
    <t>661069188</t>
  </si>
  <si>
    <t>4010047196</t>
  </si>
  <si>
    <t>5111488770</t>
  </si>
  <si>
    <t>23102531015062</t>
  </si>
  <si>
    <t>Valor Technic  spare parts ref  Docto Nr  464</t>
  </si>
  <si>
    <t>661063599</t>
  </si>
  <si>
    <t>4010002431</t>
  </si>
  <si>
    <t>5111412453</t>
  </si>
  <si>
    <t>01102531060217</t>
  </si>
  <si>
    <t>Valor Technic  spare parts ref  Docto Nr  36886</t>
  </si>
  <si>
    <t>661063618</t>
  </si>
  <si>
    <t>4010023043</t>
  </si>
  <si>
    <t>5111445644</t>
  </si>
  <si>
    <t>09102531022851</t>
  </si>
  <si>
    <t>Valor Security Service ref  Docto Nr  756</t>
  </si>
  <si>
    <t>661063614</t>
  </si>
  <si>
    <t>4010023055</t>
  </si>
  <si>
    <t>5111445664</t>
  </si>
  <si>
    <t>09102531021208</t>
  </si>
  <si>
    <t>Valor Fire prevent serv  ref  Docto Nr  47716</t>
  </si>
  <si>
    <t>661063625</t>
  </si>
  <si>
    <t>4010016124</t>
  </si>
  <si>
    <t>5111435444</t>
  </si>
  <si>
    <t>06102531022048</t>
  </si>
  <si>
    <t>2026</t>
  </si>
  <si>
    <t>Valor Technic  spare parts ref  Docto Nr  1</t>
  </si>
  <si>
    <t>661104087</t>
  </si>
  <si>
    <t>4010143927</t>
  </si>
  <si>
    <t>5111721399</t>
  </si>
  <si>
    <t>07012631027008</t>
  </si>
  <si>
    <t>Valor Technic  spare parts ref  Docto Nr  2</t>
  </si>
  <si>
    <t>661116680</t>
  </si>
  <si>
    <t>4010172060</t>
  </si>
  <si>
    <t>5111814640</t>
  </si>
  <si>
    <t>02022631040232</t>
  </si>
  <si>
    <t>Valor Working safety cloth ref  Docto Nr  165</t>
  </si>
  <si>
    <t>4010157391</t>
  </si>
  <si>
    <t>4640000589</t>
  </si>
  <si>
    <t>22012631012897</t>
  </si>
  <si>
    <t>Working and safety clothing</t>
  </si>
  <si>
    <t>Valor Security Service ref  Docto Nr  164</t>
  </si>
  <si>
    <t>661104990</t>
  </si>
  <si>
    <t>4010157397</t>
  </si>
  <si>
    <t>5111769799</t>
  </si>
  <si>
    <t>22012631012919</t>
  </si>
  <si>
    <t>Valor Technic  spare parts ref  Docto Nr  38363</t>
  </si>
  <si>
    <t>661104110</t>
  </si>
  <si>
    <t>4010150952</t>
  </si>
  <si>
    <t>5111746963</t>
  </si>
  <si>
    <t>13012631029130</t>
  </si>
  <si>
    <t>Valor Technic  spare parts ref  Docto Nr  38875</t>
  </si>
  <si>
    <t>661116929</t>
  </si>
  <si>
    <t>4010185480</t>
  </si>
  <si>
    <t>5111882664</t>
  </si>
  <si>
    <t>20022631029465</t>
  </si>
  <si>
    <t>Valor Security Service ref  Docto Nr  11</t>
  </si>
  <si>
    <t>661104536</t>
  </si>
  <si>
    <t>4010153896</t>
  </si>
  <si>
    <t>5111758621</t>
  </si>
  <si>
    <t>15012631026874</t>
  </si>
  <si>
    <t>Valor Security Service ref  Docto Nr  13</t>
  </si>
  <si>
    <t>4010160118</t>
  </si>
  <si>
    <t>4640000822</t>
  </si>
  <si>
    <t>23012631022665</t>
  </si>
  <si>
    <t>Valor Security Service ref  Docto Nr  12</t>
  </si>
  <si>
    <t>4010160119</t>
  </si>
  <si>
    <t>4640000823</t>
  </si>
  <si>
    <t>23012631022657</t>
  </si>
  <si>
    <t>Valor Security Service ref  Docto Nr  23</t>
  </si>
  <si>
    <t>661116723</t>
  </si>
  <si>
    <t>4010182893</t>
  </si>
  <si>
    <t>5111866863</t>
  </si>
  <si>
    <t>18022631017358</t>
  </si>
  <si>
    <t>Valor Maint &amp; Leg Co Compl ref  Docto Nr  48641</t>
  </si>
  <si>
    <t>661074132</t>
  </si>
  <si>
    <t>4010151086</t>
  </si>
  <si>
    <t>5111751576</t>
  </si>
  <si>
    <t>14012631014526</t>
  </si>
  <si>
    <t>Valor Fire prevent serv  ref  Docto Nr  48663</t>
  </si>
  <si>
    <t>661104534</t>
  </si>
  <si>
    <t>4010153900</t>
  </si>
  <si>
    <t>5111758623</t>
  </si>
  <si>
    <t>15012631027091</t>
  </si>
  <si>
    <t>Valor Fire prevent serv  ref  Docto Nr  48662</t>
  </si>
  <si>
    <t>661104507</t>
  </si>
  <si>
    <t>4010153901</t>
  </si>
  <si>
    <t>5111758624</t>
  </si>
  <si>
    <t>15012631027105</t>
  </si>
  <si>
    <t>Valor Fire prevent serv  ref  Docto Nr  48661</t>
  </si>
  <si>
    <t>661104512</t>
  </si>
  <si>
    <t>4010153907</t>
  </si>
  <si>
    <t>5111758626</t>
  </si>
  <si>
    <t>15012631027164</t>
  </si>
  <si>
    <t>Valor Fire prevent serv  ref  Docto Nr  48660</t>
  </si>
  <si>
    <t>661104531</t>
  </si>
  <si>
    <t>4010153908</t>
  </si>
  <si>
    <t>5111758647</t>
  </si>
  <si>
    <t>15012631027199</t>
  </si>
  <si>
    <t>Valor Maint &amp; Leg Co Compl ref  Docto Nr  48659</t>
  </si>
  <si>
    <t>661074125</t>
  </si>
  <si>
    <t>4010153909</t>
  </si>
  <si>
    <t>5111758649</t>
  </si>
  <si>
    <t>15012631027229</t>
  </si>
  <si>
    <t>Valor Fire prevent serv  ref  Docto Nr  48984</t>
  </si>
  <si>
    <t>661118048</t>
  </si>
  <si>
    <t>4010180818</t>
  </si>
  <si>
    <t>5111854042</t>
  </si>
  <si>
    <t>12022631025450</t>
  </si>
  <si>
    <t>Valor Fire prevent serv  ref  Docto Nr  48985</t>
  </si>
  <si>
    <t>661121402</t>
  </si>
  <si>
    <t>4010180819</t>
  </si>
  <si>
    <t>5111854043</t>
  </si>
  <si>
    <t>12022631026115</t>
  </si>
  <si>
    <t>CONDENADO CO2 06 KG</t>
  </si>
  <si>
    <t>Valor Maint &amp; Leg Co Compl ref  Docto Nr  48869</t>
  </si>
  <si>
    <t>661116936</t>
  </si>
  <si>
    <t>4010181397</t>
  </si>
  <si>
    <t>5111859665</t>
  </si>
  <si>
    <t>12022631017159</t>
  </si>
  <si>
    <t>Valor Security Service ref  Docto Nr  38</t>
  </si>
  <si>
    <t>4010215382</t>
  </si>
  <si>
    <t>4640002894</t>
  </si>
  <si>
    <t>19032631018354</t>
  </si>
  <si>
    <t>Valor Security Service ref  Docto Nr  37</t>
  </si>
  <si>
    <t>4010215383</t>
  </si>
  <si>
    <t>4640002895</t>
  </si>
  <si>
    <t>19032631018362</t>
  </si>
  <si>
    <t>Valor Security Service ref  Docto Nr  40</t>
  </si>
  <si>
    <t>4010215384</t>
  </si>
  <si>
    <t>4640002896</t>
  </si>
  <si>
    <t>19032631018370</t>
  </si>
  <si>
    <t>Valor Security Service ref  Docto Nr  39</t>
  </si>
  <si>
    <t>4010215385</t>
  </si>
  <si>
    <t>4640002897</t>
  </si>
  <si>
    <t>19032631018389</t>
  </si>
  <si>
    <t>Valor Technic  spare parts ref  Docto Nr  3</t>
  </si>
  <si>
    <t>661130119</t>
  </si>
  <si>
    <t>4010198334</t>
  </si>
  <si>
    <t>5111918301</t>
  </si>
  <si>
    <t>02032631039714</t>
  </si>
  <si>
    <t>Valor Technic  spare parts ref  Docto Nr  4</t>
  </si>
  <si>
    <t>661131693</t>
  </si>
  <si>
    <t>4010204012</t>
  </si>
  <si>
    <t>5111934813</t>
  </si>
  <si>
    <t>05032631018457</t>
  </si>
  <si>
    <t>Manutenção de cilindros de 7,5 e 10 L</t>
  </si>
  <si>
    <t>Valor Security Service ref  Docto Nr  330</t>
  </si>
  <si>
    <t>661125835</t>
  </si>
  <si>
    <t>4010209146</t>
  </si>
  <si>
    <t>5111952978</t>
  </si>
  <si>
    <t>20022631027890</t>
  </si>
  <si>
    <t>Valor Technic  spare parts ref  Docto Nr  39262</t>
  </si>
  <si>
    <t>661130123</t>
  </si>
  <si>
    <t>4010218040</t>
  </si>
  <si>
    <t>5112007664</t>
  </si>
  <si>
    <t>20032631025149</t>
  </si>
  <si>
    <t>Valor Security Service ref  Docto Nr  27</t>
  </si>
  <si>
    <t>4010210418</t>
  </si>
  <si>
    <t>4640002564</t>
  </si>
  <si>
    <t>10032631035998</t>
  </si>
  <si>
    <t>Valor Security Service ref  Docto Nr  26</t>
  </si>
  <si>
    <t>661131675</t>
  </si>
  <si>
    <t>4010210419</t>
  </si>
  <si>
    <t>5111958987</t>
  </si>
  <si>
    <t>10032631036008</t>
  </si>
  <si>
    <t>Valor Fire prevent serv  ref  Docto Nr  49102</t>
  </si>
  <si>
    <t>661130129</t>
  </si>
  <si>
    <t>4010203011</t>
  </si>
  <si>
    <t>5111931133</t>
  </si>
  <si>
    <t>04032631019430</t>
  </si>
  <si>
    <t>Detalhes do Soma de Val.in rep.cur. - Name of offsetting account: C M COUTO SIST CONTRA INCENDIO L, Period: 3, Fiscal Year: 2026</t>
  </si>
  <si>
    <t>Valor Technic  spare parts ref  Docto Nr  6</t>
  </si>
  <si>
    <t>661146350</t>
  </si>
  <si>
    <t>4010232999</t>
  </si>
  <si>
    <t>5112046160</t>
  </si>
  <si>
    <t>06042631022490</t>
  </si>
  <si>
    <t>Valor Security Service ref  Docto Nr  51</t>
  </si>
  <si>
    <t>661146370</t>
  </si>
  <si>
    <t>4010247164</t>
  </si>
  <si>
    <t>5112084598</t>
  </si>
  <si>
    <t>15042631019541</t>
  </si>
  <si>
    <t>Valor Technic  spare parts ref  Docto Nr  39563</t>
  </si>
  <si>
    <t>661146355</t>
  </si>
  <si>
    <t>4010241573</t>
  </si>
  <si>
    <t>5112070022</t>
  </si>
  <si>
    <t>10042631001545</t>
  </si>
  <si>
    <t>Valor Fire prevent serv  ref  Docto Nr  49425</t>
  </si>
  <si>
    <t>661146373</t>
  </si>
  <si>
    <t>4010239107</t>
  </si>
  <si>
    <t>5112060445</t>
  </si>
  <si>
    <t>08042631029484</t>
  </si>
  <si>
    <t>Valor do documento Nr  000031403 001</t>
  </si>
  <si>
    <t>4010239740</t>
  </si>
  <si>
    <t>4610008055</t>
  </si>
  <si>
    <t>12022632008582</t>
  </si>
  <si>
    <t>Valor Technic  spare parts ref  Docto Nr  7</t>
  </si>
  <si>
    <t>661160234</t>
  </si>
  <si>
    <t>4010266453</t>
  </si>
  <si>
    <t>5112133244</t>
  </si>
  <si>
    <t>04052631027089</t>
  </si>
  <si>
    <t>661146485</t>
  </si>
  <si>
    <t>4010266456</t>
  </si>
  <si>
    <t>5112133245</t>
  </si>
  <si>
    <t>04052631027178</t>
  </si>
  <si>
    <t>Valor Technic  spare parts ref  Docto Nr  39948</t>
  </si>
  <si>
    <t>661160216</t>
  </si>
  <si>
    <t>4010274405</t>
  </si>
  <si>
    <t>5112154573</t>
  </si>
  <si>
    <t>11052631024449</t>
  </si>
  <si>
    <t>Valor Security Service ref  Docto Nr  54</t>
  </si>
  <si>
    <t>661160211</t>
  </si>
  <si>
    <t>4010274608</t>
  </si>
  <si>
    <t>5112154750</t>
  </si>
  <si>
    <t>12052631016103</t>
  </si>
  <si>
    <t>Valor Security Service ref  Docto Nr  55</t>
  </si>
  <si>
    <t>4010274811</t>
  </si>
  <si>
    <t>4640005061</t>
  </si>
  <si>
    <t>"Global due12052631016111</t>
  </si>
  <si>
    <t>Valor Security Service ref  Docto Nr  56</t>
  </si>
  <si>
    <t>4010274814</t>
  </si>
  <si>
    <t>4640005062</t>
  </si>
  <si>
    <t>"Global due12052631016120</t>
  </si>
  <si>
    <t>Valor Security Service ref  Docto Nr  57</t>
  </si>
  <si>
    <t>4010274821</t>
  </si>
  <si>
    <t>4640005064</t>
  </si>
  <si>
    <t>"Global due12052631016138</t>
  </si>
  <si>
    <t>Valor Fire prevent serv  ref  Docto Nr  49623</t>
  </si>
  <si>
    <t>661160393</t>
  </si>
  <si>
    <t>4010267532</t>
  </si>
  <si>
    <t>5112137005</t>
  </si>
  <si>
    <t>04052631028134</t>
  </si>
  <si>
    <t>Valor Fire prevent serv  ref  Docto Nr  49620</t>
  </si>
  <si>
    <t>661160280</t>
  </si>
  <si>
    <t>4010268242</t>
  </si>
  <si>
    <t>5112138814</t>
  </si>
  <si>
    <t>05052631012033</t>
  </si>
  <si>
    <t>Valor Technic  spare parts ref  Docto Nr  8</t>
  </si>
  <si>
    <t>661181846</t>
  </si>
  <si>
    <t>4010331913</t>
  </si>
  <si>
    <t>5112285296</t>
  </si>
  <si>
    <t>23062631000483</t>
  </si>
  <si>
    <t>Valor Technic  spare parts ref  Docto Nr  9</t>
  </si>
  <si>
    <t>661186230</t>
  </si>
  <si>
    <t>4010349331</t>
  </si>
  <si>
    <t>5112308543</t>
  </si>
  <si>
    <t>02072631008888</t>
  </si>
  <si>
    <t>Valor Fire prevent serv  ref  Docto Nr  50174</t>
  </si>
  <si>
    <t>661186245</t>
  </si>
  <si>
    <t>4010350481</t>
  </si>
  <si>
    <t>5112311569</t>
  </si>
  <si>
    <t>02072631017747</t>
  </si>
  <si>
    <t>Valor Fire prevent serv  ref  Docto Nr  50288</t>
  </si>
  <si>
    <t>661189545</t>
  </si>
  <si>
    <t>4010363936</t>
  </si>
  <si>
    <t>5112333609</t>
  </si>
  <si>
    <t>10072631020970</t>
  </si>
  <si>
    <t>Valor Fire prevent serv  ref  Docto Nr  50287</t>
  </si>
  <si>
    <t>661189579</t>
  </si>
  <si>
    <t>4010363987</t>
  </si>
  <si>
    <t>5112333743</t>
  </si>
  <si>
    <t>10072631019249</t>
  </si>
  <si>
    <t>Valor Security Service ref  Docto Nr  481</t>
  </si>
  <si>
    <t>661130207</t>
  </si>
  <si>
    <t>4010306716</t>
  </si>
  <si>
    <t>5112231336</t>
  </si>
  <si>
    <t>09062631011853</t>
  </si>
  <si>
    <t>Valor Security Service ref  Docto Nr  888</t>
  </si>
  <si>
    <t>661160276</t>
  </si>
  <si>
    <t>4010307500</t>
  </si>
  <si>
    <t>5112236021</t>
  </si>
  <si>
    <t>22052631020555</t>
  </si>
  <si>
    <t>Valor Security Service ref  Docto Nr  1019</t>
  </si>
  <si>
    <t>661180557</t>
  </si>
  <si>
    <t>4010325429</t>
  </si>
  <si>
    <t>5112276242</t>
  </si>
  <si>
    <t>18062631021419</t>
  </si>
  <si>
    <t>Serviço Mensal</t>
  </si>
  <si>
    <t>Valor Fire prevent serv  ref  Docto Nr  49783</t>
  </si>
  <si>
    <t>661165682</t>
  </si>
  <si>
    <t>4010296659</t>
  </si>
  <si>
    <t>5112209202</t>
  </si>
  <si>
    <t>15052631013570</t>
  </si>
  <si>
    <t>661165680</t>
  </si>
  <si>
    <t>CONDENADO PQS 12KG</t>
  </si>
  <si>
    <t>Valor Fire prevent serv  ref  Docto Nr  50005</t>
  </si>
  <si>
    <t>661174330</t>
  </si>
  <si>
    <t>4010307821</t>
  </si>
  <si>
    <t>5112236458</t>
  </si>
  <si>
    <t>10062631023082</t>
  </si>
  <si>
    <t>Valor Technic  spare parts ref  Docto Nr  10</t>
  </si>
  <si>
    <t>661199171</t>
  </si>
  <si>
    <t>4010386791</t>
  </si>
  <si>
    <t>5112365560</t>
  </si>
  <si>
    <t>04082631024256</t>
  </si>
  <si>
    <t>Valor Fire prevent serv  ref  Docto Nr  50456</t>
  </si>
  <si>
    <t>661199178</t>
  </si>
  <si>
    <t>4010386771</t>
  </si>
  <si>
    <t>5112365510</t>
  </si>
  <si>
    <t>04082631024671</t>
  </si>
  <si>
    <t>Valor Fire prevent serv  ref  Docto Nr  50437</t>
  </si>
  <si>
    <t>4010426743</t>
  </si>
  <si>
    <t>4640009628</t>
  </si>
  <si>
    <t>03082631026972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</si>
</sst>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0"/>
  </numFmts>
  <fonts count="4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2" fillId="0" borderId="0" applyFont="0" applyFill="0" applyBorder="0" applyAlignment="0" applyProtection="0"/>
  </cellStyleXfs>
  <cellXfs count="2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49" fontId="0" fillId="0" borderId="0" xfId="0" applyNumberFormat="1" applyAlignment="1">
      <alignment vertical="top"/>
    </xf>
    <xf numFmtId="0" fontId="0" fillId="0" borderId="0" xfId="0" pivotButton="1" applyAlignment="1">
      <alignment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vertical="top"/>
    </xf>
    <xf numFmtId="14" fontId="0" fillId="0" borderId="0" xfId="0" applyNumberFormat="1" applyAlignment="1">
      <alignment vertical="top"/>
    </xf>
    <xf numFmtId="17" fontId="0" fillId="0" borderId="0" xfId="0" applyNumberFormat="1" applyAlignment="1">
      <alignment vertical="top"/>
    </xf>
    <xf numFmtId="0" fontId="0" fillId="0" borderId="0" xfId="0" quotePrefix="1" applyAlignment="1">
      <alignment vertical="top"/>
    </xf>
    <xf numFmtId="0" fontId="1" fillId="0" borderId="0" xfId="1" applyAlignment="1">
      <alignment vertical="top"/>
    </xf>
    <xf numFmtId="14" fontId="1" fillId="0" borderId="0" xfId="1" applyNumberFormat="1" applyAlignment="1">
      <alignment horizontal="right" vertical="top"/>
    </xf>
    <xf numFmtId="4" fontId="1" fillId="0" borderId="0" xfId="1" applyNumberFormat="1" applyAlignment="1">
      <alignment horizontal="right" vertical="top"/>
    </xf>
    <xf numFmtId="0" fontId="1" fillId="2" borderId="1" xfId="1" applyFill="1" applyBorder="1" applyAlignment="1">
      <alignment vertical="top"/>
    </xf>
    <xf numFmtId="0" fontId="1" fillId="2" borderId="1" xfId="1" applyFill="1" applyBorder="1" applyAlignment="1">
      <alignment vertical="top" wrapText="1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0" xfId="0" applyFill="1" applyAlignment="1">
      <alignment vertical="top"/>
    </xf>
    <xf numFmtId="4" fontId="0" fillId="0" borderId="0" xfId="2" applyNumberFormat="1" applyFont="1" applyAlignment="1">
      <alignment vertical="top"/>
    </xf>
    <xf numFmtId="43" fontId="0" fillId="0" borderId="0" xfId="2" applyFont="1" applyAlignment="1">
      <alignment vertical="top"/>
    </xf>
    <xf numFmtId="0" fontId="1" fillId="0" borderId="0" xfId="0" applyFont="1" applyAlignment="1">
      <alignment horizontal="left" vertical="top"/>
    </xf>
    <xf numFmtId="0" fontId="0" fillId="4" borderId="0" xfId="0" applyFill="1" applyAlignment="1">
      <alignment vertical="top"/>
    </xf>
    <xf numFmtId="0" fontId="1" fillId="0" borderId="0" xfId="0" applyFont="1" applyAlignment="1">
      <alignment vertical="top"/>
    </xf>
    <xf numFmtId="4" fontId="0" fillId="0" borderId="0" xfId="2" applyNumberFormat="1" applyFont="1" applyAlignment="1">
      <alignment horizontal="right" vertical="top"/>
    </xf>
    <xf numFmtId="2" fontId="0" fillId="0" borderId="0" xfId="2" applyNumberFormat="1" applyFont="1" applyAlignment="1">
      <alignment vertical="top"/>
    </xf>
    <xf numFmtId="0" fontId="3" fillId="0" borderId="0" xfId="0" applyFont="1" applyAlignment="1">
      <alignment vertical="top"/>
    </xf>
    <xf numFmtId="14" fontId="0" fillId="2" borderId="1" xfId="0" applyNumberFormat="1" applyFill="1" applyBorder="1" applyAlignment="1">
      <alignment vertical="top"/>
    </xf>
  </cellXfs>
  <cellStyles count="3">
    <cellStyle name="Normal" xfId="0" builtinId="0"/>
    <cellStyle name="Normal 2" xfId="1" xr:uid="{FD20B7BA-45B0-4193-A016-0EFC1373775C}"/>
    <cellStyle name="Vírgula" xfId="2" builtinId="3"/>
  </cellStyles>
  <dxfs count="12">
    <dxf>
      <alignment horizontal="left"/>
    </dxf>
    <dxf>
      <alignment horizontal="left"/>
    </dxf>
    <dxf>
      <numFmt numFmtId="19" formatCode="dd/mm/yyyy"/>
      <alignment horizontal="general" vertical="top" textRotation="0" wrapText="0" indent="0" justifyLastLine="0" shrinkToFit="0" readingOrder="0"/>
    </dxf>
    <dxf>
      <numFmt numFmtId="19" formatCode="dd/mm/yyyy"/>
      <alignment horizontal="general" vertical="top" textRotation="0" wrapText="0" indent="0" justifyLastLine="0" shrinkToFit="0" readingOrder="0"/>
    </dxf>
    <dxf>
      <alignment horizontal="left"/>
    </dxf>
    <dxf>
      <font>
        <b val="0"/>
      </font>
    </dxf>
    <dxf>
      <font>
        <b val="0"/>
      </font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alignment horizontal="left"/>
    </dxf>
    <dxf>
      <alignment horizontal="left"/>
    </dxf>
    <dxf>
      <alignment horizontal="left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tor Pinheiro" refreshedDate="46174.442663773145" createdVersion="8" refreshedVersion="8" minRefreshableVersion="3" recordCount="61" xr:uid="{0FD42ED3-D8B4-4F8F-B264-8B3ACE0B52C1}">
  <cacheSource type="worksheet">
    <worksheetSource ref="A1:P1048576" sheet="G4S"/>
  </cacheSource>
  <cacheFields count="16">
    <cacheField name="Fiscal Year" numFmtId="0">
      <sharedItems containsBlank="1" count="6">
        <s v="2022"/>
        <s v="2023"/>
        <s v="2024"/>
        <s v="2025"/>
        <s v="2026"/>
        <m/>
      </sharedItems>
    </cacheField>
    <cacheField name="Created on" numFmtId="14">
      <sharedItems containsNonDate="0" containsDate="1" containsString="0" containsBlank="1" minDate="2022-01-19T00:00:00" maxDate="2026-05-19T00:00:00"/>
    </cacheField>
    <cacheField name="Period" numFmtId="0">
      <sharedItems containsBlank="1" count="13">
        <s v="1"/>
        <s v="2"/>
        <s v="3"/>
        <s v="4"/>
        <s v="5"/>
        <s v="6"/>
        <s v="7"/>
        <s v="8"/>
        <s v="9"/>
        <s v="10"/>
        <s v="11"/>
        <s v="12"/>
        <m/>
      </sharedItems>
    </cacheField>
    <cacheField name="Cost Element" numFmtId="0">
      <sharedItems containsBlank="1"/>
    </cacheField>
    <cacheField name="Cost element name" numFmtId="0">
      <sharedItems containsBlank="1"/>
    </cacheField>
    <cacheField name="Cost Center" numFmtId="0">
      <sharedItems containsBlank="1"/>
    </cacheField>
    <cacheField name="CO object name" numFmtId="0">
      <sharedItems containsBlank="1"/>
    </cacheField>
    <cacheField name="Val.in rep.cur." numFmtId="0">
      <sharedItems containsString="0" containsBlank="1" containsNumber="1" minValue="-9380.1299999999992" maxValue="28140.39"/>
    </cacheField>
    <cacheField name="Name" numFmtId="0">
      <sharedItems containsBlank="1"/>
    </cacheField>
    <cacheField name="Name of offsetting account" numFmtId="0">
      <sharedItems containsBlank="1" count="3">
        <s v="G4S ENGENHARIA E SISTEMAS LTDA"/>
        <s v="G4S TECNOLOGIA LTDA"/>
        <m/>
      </sharedItems>
    </cacheField>
    <cacheField name="Purchasing Document" numFmtId="0">
      <sharedItems containsBlank="1"/>
    </cacheField>
    <cacheField name="Document Number" numFmtId="0">
      <sharedItems containsBlank="1"/>
    </cacheField>
    <cacheField name="User Name" numFmtId="0">
      <sharedItems containsBlank="1"/>
    </cacheField>
    <cacheField name="Posting row" numFmtId="0">
      <sharedItems containsBlank="1"/>
    </cacheField>
    <cacheField name="Document Date" numFmtId="0">
      <sharedItems containsDate="1" containsString="0" containsBlank="1" containsMixedTypes="1" minDate="2022-05-19T00:00:00" maxDate="2026-05-12T00:00:00"/>
    </cacheField>
    <cacheField name="Ref Document Numb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tor Pinheiro" refreshedDate="46174.446445254631" createdVersion="8" refreshedVersion="8" minRefreshableVersion="3" recordCount="236" xr:uid="{E30F8746-F81B-43A8-A61A-9842F66FD3B9}">
  <cacheSource type="worksheet">
    <worksheetSource ref="A1:W1048576" sheet="GSS"/>
  </cacheSource>
  <cacheFields count="23">
    <cacheField name="Fiscal Year" numFmtId="0">
      <sharedItems containsBlank="1" count="6">
        <s v="2022"/>
        <s v="2023"/>
        <s v="2024"/>
        <s v="2025"/>
        <s v="2026"/>
        <m/>
      </sharedItems>
    </cacheField>
    <cacheField name="Created on" numFmtId="0">
      <sharedItems containsNonDate="0" containsDate="1" containsString="0" containsBlank="1" minDate="2022-01-13T00:00:00" maxDate="2026-05-19T00:00:00"/>
    </cacheField>
    <cacheField name="Period" numFmtId="0">
      <sharedItems containsBlank="1" containsMixedTypes="1" containsNumber="1" containsInteger="1" minValue="8" maxValue="8" count="14">
        <s v="1"/>
        <s v="2"/>
        <s v="3"/>
        <s v="4"/>
        <s v="5"/>
        <s v="6"/>
        <s v="7"/>
        <s v="8"/>
        <s v="9"/>
        <s v="10"/>
        <s v="11"/>
        <s v="12"/>
        <m/>
        <n v="8" u="1"/>
      </sharedItems>
    </cacheField>
    <cacheField name="Cost Element" numFmtId="0">
      <sharedItems containsBlank="1"/>
    </cacheField>
    <cacheField name="Cost element name" numFmtId="0">
      <sharedItems containsBlank="1"/>
    </cacheField>
    <cacheField name="Cost Center" numFmtId="0">
      <sharedItems containsBlank="1"/>
    </cacheField>
    <cacheField name="CO object name" numFmtId="0">
      <sharedItems containsBlank="1"/>
    </cacheField>
    <cacheField name="Val.in rep.cur." numFmtId="0">
      <sharedItems containsString="0" containsBlank="1" containsNumber="1" minValue="-10998.47" maxValue="12181.96"/>
    </cacheField>
    <cacheField name="Name" numFmtId="0">
      <sharedItems containsBlank="1"/>
    </cacheField>
    <cacheField name="Name of offsetting account" numFmtId="0">
      <sharedItems containsBlank="1" count="2">
        <s v="GSS SEGURANCA LTDA"/>
        <m/>
      </sharedItems>
    </cacheField>
    <cacheField name="Purchasing Document" numFmtId="0">
      <sharedItems containsBlank="1"/>
    </cacheField>
    <cacheField name="Document Number" numFmtId="0">
      <sharedItems containsBlank="1" containsMixedTypes="1" containsNumber="1" containsInteger="1" minValue="660871748" maxValue="660871748"/>
    </cacheField>
    <cacheField name="User Name" numFmtId="0">
      <sharedItems containsBlank="1"/>
    </cacheField>
    <cacheField name="Posting row" numFmtId="0">
      <sharedItems containsBlank="1"/>
    </cacheField>
    <cacheField name="Document Date" numFmtId="0">
      <sharedItems containsBlank="1"/>
    </cacheField>
    <cacheField name="Ref Document Number" numFmtId="0">
      <sharedItems containsDate="1" containsBlank="1" containsMixedTypes="1" minDate="1900-01-09T20:50:04" maxDate="2026-05-13T00:00:00"/>
    </cacheField>
    <cacheField name="Posting Date" numFmtId="0">
      <sharedItems containsBlank="1" containsMixedTypes="1" containsNumber="1" containsInteger="1" minValue="45853" maxValue="45853"/>
    </cacheField>
    <cacheField name="Document Header Text" numFmtId="0">
      <sharedItems containsDate="1" containsBlank="1" containsMixedTypes="1" minDate="1900-01-10T00:50:04" maxDate="2026-05-19T00:00:00"/>
    </cacheField>
    <cacheField name="Purchase order text" numFmtId="0">
      <sharedItems containsBlank="1" containsMixedTypes="1" containsNumber="1" containsInteger="1" minValue="45855" maxValue="45855"/>
    </cacheField>
    <cacheField name="Total quantity" numFmtId="0">
      <sharedItems containsBlank="1"/>
    </cacheField>
    <cacheField name="Material" numFmtId="0">
      <sharedItems containsBlank="1" containsMixedTypes="1" containsNumber="1" containsInteger="1" minValue="-1" maxValue="1"/>
    </cacheField>
    <cacheField name="Material Description" numFmtId="0">
      <sharedItems containsBlank="1" containsMixedTypes="1" containsNumber="1" containsInteger="1" minValue="1" maxValue="1"/>
    </cacheField>
    <cacheField name="Objec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tor Pinheiro" refreshedDate="46238.564091203705" createdVersion="8" refreshedVersion="8" minRefreshableVersion="3" recordCount="68" xr:uid="{F69983BE-E461-4DC4-9C3B-21AE91CB61B4}">
  <cacheSource type="worksheet">
    <worksheetSource ref="A1:P1048576" sheet="SEGURPRO"/>
  </cacheSource>
  <cacheFields count="16">
    <cacheField name="Fiscal Year" numFmtId="0">
      <sharedItems containsBlank="1" count="6">
        <s v="2022"/>
        <s v="2023"/>
        <s v="2024"/>
        <s v="2025"/>
        <s v="2026"/>
        <m/>
      </sharedItems>
    </cacheField>
    <cacheField name="Created on" numFmtId="14">
      <sharedItems containsNonDate="0" containsDate="1" containsString="0" containsBlank="1" minDate="2022-01-18T00:00:00" maxDate="2026-07-01T00:00:00"/>
    </cacheField>
    <cacheField name="Period" numFmtId="0">
      <sharedItems containsBlank="1" containsMixedTypes="1" containsNumber="1" containsInteger="1" minValue="2" maxValue="2" count="14">
        <s v="1"/>
        <s v="2"/>
        <s v="3"/>
        <s v="4"/>
        <s v="5"/>
        <s v="6"/>
        <s v="7"/>
        <s v="8"/>
        <s v="9"/>
        <s v="10"/>
        <s v="11"/>
        <s v="12"/>
        <n v="2"/>
        <m/>
      </sharedItems>
    </cacheField>
    <cacheField name="Cost Element" numFmtId="0">
      <sharedItems containsBlank="1"/>
    </cacheField>
    <cacheField name="Cost element name" numFmtId="0">
      <sharedItems containsBlank="1"/>
    </cacheField>
    <cacheField name="Cost Center" numFmtId="0">
      <sharedItems containsBlank="1"/>
    </cacheField>
    <cacheField name="CO object name" numFmtId="0">
      <sharedItems containsBlank="1"/>
    </cacheField>
    <cacheField name="Val.in rep.cur." numFmtId="0">
      <sharedItems containsString="0" containsBlank="1" containsNumber="1" minValue="0" maxValue="420295.02"/>
    </cacheField>
    <cacheField name="Name" numFmtId="0">
      <sharedItems containsBlank="1"/>
    </cacheField>
    <cacheField name="Name of offsetting account" numFmtId="0">
      <sharedItems containsBlank="1" count="3">
        <s v="SEGURPRO VIGILANCIA PATRIMONIAL SA"/>
        <m/>
        <s v="SEGURPRO TEC SIST SEG ELET INC LTDA" u="1"/>
      </sharedItems>
    </cacheField>
    <cacheField name="Purchasing Document" numFmtId="0">
      <sharedItems containsBlank="1"/>
    </cacheField>
    <cacheField name="Document Number" numFmtId="0">
      <sharedItems containsBlank="1"/>
    </cacheField>
    <cacheField name="User Name" numFmtId="0">
      <sharedItems containsBlank="1"/>
    </cacheField>
    <cacheField name="Posting row" numFmtId="0">
      <sharedItems containsBlank="1"/>
    </cacheField>
    <cacheField name="Document Date" numFmtId="0">
      <sharedItems containsDate="1" containsBlank="1" containsMixedTypes="1" minDate="1900-01-09T22:50:04" maxDate="2026-06-19T00:00:00"/>
    </cacheField>
    <cacheField name="Ref Document Numb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tor Pinheiro" refreshedDate="46267.374371412036" createdVersion="8" refreshedVersion="8" minRefreshableVersion="3" recordCount="70" xr:uid="{B59BB166-C168-43B8-A208-FAEFE88B1713}">
  <cacheSource type="worksheet">
    <worksheetSource ref="A1:N1048576" sheet="Arprotec"/>
  </cacheSource>
  <cacheFields count="14">
    <cacheField name="Fiscal Year" numFmtId="0">
      <sharedItems containsBlank="1" count="6">
        <s v="2022"/>
        <s v="2023"/>
        <s v="2024"/>
        <s v="2025"/>
        <s v="2026"/>
        <m/>
      </sharedItems>
    </cacheField>
    <cacheField name="Created on" numFmtId="14">
      <sharedItems containsNonDate="0" containsDate="1" containsString="0" containsBlank="1" minDate="2022-01-04T00:00:00" maxDate="2026-08-06T00:00:00"/>
    </cacheField>
    <cacheField name="Period" numFmtId="0">
      <sharedItems containsBlank="1" containsMixedTypes="1" containsNumber="1" containsInteger="1" minValue="3" maxValue="3" count="14">
        <s v="1"/>
        <s v="2"/>
        <s v="3"/>
        <s v="4"/>
        <s v="5"/>
        <s v="6"/>
        <s v="7"/>
        <s v="8"/>
        <s v="9"/>
        <s v="10"/>
        <s v="11"/>
        <s v="12"/>
        <n v="3"/>
        <m/>
      </sharedItems>
    </cacheField>
    <cacheField name="Cost Element" numFmtId="0">
      <sharedItems containsBlank="1"/>
    </cacheField>
    <cacheField name="Cost element name" numFmtId="0">
      <sharedItems containsBlank="1"/>
    </cacheField>
    <cacheField name="Cost Center" numFmtId="0">
      <sharedItems containsBlank="1"/>
    </cacheField>
    <cacheField name="CO object name" numFmtId="0">
      <sharedItems containsBlank="1"/>
    </cacheField>
    <cacheField name="Val.in rep.cur." numFmtId="0">
      <sharedItems containsString="0" containsBlank="1" containsNumber="1" minValue="-4574.33" maxValue="38490.65"/>
    </cacheField>
    <cacheField name="Name" numFmtId="0">
      <sharedItems containsBlank="1"/>
    </cacheField>
    <cacheField name="Name of offsetting account" numFmtId="0">
      <sharedItems containsBlank="1" count="2">
        <s v="ARPROTEC COM SERV EIRELI EPP"/>
        <m/>
      </sharedItems>
    </cacheField>
    <cacheField name="Purchasing Document" numFmtId="0">
      <sharedItems containsBlank="1" containsMixedTypes="1" containsNumber="1" containsInteger="1" minValue="661021938" maxValue="661021938"/>
    </cacheField>
    <cacheField name="Document Number" numFmtId="0">
      <sharedItems containsBlank="1"/>
    </cacheField>
    <cacheField name="User Name" numFmtId="0">
      <sharedItems containsBlank="1"/>
    </cacheField>
    <cacheField name="Posting row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tor Pinheiro" refreshedDate="46267.376514699077" createdVersion="8" refreshedVersion="8" minRefreshableVersion="3" recordCount="1837" xr:uid="{6B74901E-774D-4BF3-961D-2DD855D322B7}">
  <cacheSource type="worksheet">
    <worksheetSource ref="A1:P1048576" sheet="CM Couto"/>
  </cacheSource>
  <cacheFields count="16">
    <cacheField name="Fiscal Year" numFmtId="0">
      <sharedItems containsBlank="1" count="6">
        <s v="2022"/>
        <s v="2023"/>
        <s v="2024"/>
        <s v="2025"/>
        <s v="2026"/>
        <m/>
      </sharedItems>
    </cacheField>
    <cacheField name="Created on" numFmtId="0">
      <sharedItems containsDate="1" containsString="0" containsBlank="1" containsMixedTypes="1" minDate="2022-01-04T00:00:00" maxDate="2026-08-28T00:00:00"/>
    </cacheField>
    <cacheField name="Period" numFmtId="0">
      <sharedItems containsBlank="1" count="13">
        <s v="1"/>
        <s v="2"/>
        <s v="3"/>
        <s v="4"/>
        <s v="5"/>
        <s v="6"/>
        <s v="7"/>
        <s v="8"/>
        <s v="9"/>
        <s v="10"/>
        <s v="11"/>
        <s v="12"/>
        <m/>
      </sharedItems>
    </cacheField>
    <cacheField name="Cost Element" numFmtId="0">
      <sharedItems containsBlank="1"/>
    </cacheField>
    <cacheField name="Cost element name" numFmtId="0">
      <sharedItems containsBlank="1"/>
    </cacheField>
    <cacheField name="Cost Center" numFmtId="0">
      <sharedItems containsBlank="1"/>
    </cacheField>
    <cacheField name="CO object name" numFmtId="0">
      <sharedItems containsBlank="1"/>
    </cacheField>
    <cacheField name="Val.in rep.cur." numFmtId="0">
      <sharedItems containsString="0" containsBlank="1" containsNumber="1" minValue="-2034124.15" maxValue="322580.15999999997"/>
    </cacheField>
    <cacheField name="Name" numFmtId="0">
      <sharedItems containsBlank="1"/>
    </cacheField>
    <cacheField name="Name of offsetting account" numFmtId="0">
      <sharedItems containsBlank="1" count="100">
        <s v="ARPROTEC COM SERV EIRELI EPP"/>
        <s v="INSTITUTO EUVALDO LODI"/>
        <s v="ALSCO TOALHEIRO BRASIL LTDA"/>
        <s v="L S MELLO CONSULT , ASSE E SERVICOS"/>
        <s v="GEFORME VENDA S DE M E E LTDA"/>
        <s v="SO ACUMULADORES ESTACIONARIOS LT"/>
        <s v="COOPTRI COOP TRAB IGUACU RADIO TAXI"/>
        <s v="Mauricio Martins De Souza"/>
        <s v="Supplies inventory"/>
        <s v="Alessandro Medeiros"/>
        <s v="C M COUTO SIST CONTRA INCENDIO L"/>
        <s v="GSS SEGURANCA LTDA"/>
        <s v="Toledo do Brasil Industria"/>
        <s v="Raimundo Santos"/>
        <s v="SERPAC SERVICOS PARALEGAIS LTDA"/>
        <s v="Catering"/>
        <s v="Accruals o/s invoice"/>
        <s v="SEGURPRO VIGILANCIA PATRIMONIAL SA"/>
        <s v="SEGURPRO TEC SIST SEG ELET INC LTDA"/>
        <s v="G4S ENGENHARIA E SISTEMAS LTDA"/>
        <s v="Weverson Farias"/>
        <s v="Erasmo Ribeiro"/>
        <s v="Claudio Gilla"/>
        <s v="Francisco Amorim"/>
        <s v="Sergio Correia"/>
        <s v="Marcelo Da Silva Peres"/>
        <s v="Jonas Costa"/>
        <s v="Marcelo Carmo"/>
        <s v="DESENTUPIDORA GUANABARA LTDA EPP"/>
        <s v="NOGARTEL TELECOMUNICACOES LTDA"/>
        <s v="ORIZON MEIO AMBIENTE SA"/>
        <s v="Eloy Costa Fernandes"/>
        <s v="GR/IR Clg NI MM"/>
        <s v="Acd Sal/Wages"/>
        <s v="ST:Pr vac ent Ud"/>
        <s v="AccD Mach/tech Pdn"/>
        <s v="AccD Buildings"/>
        <s v="META RECRUTAMENTO E SELECAO DE"/>
        <s v="AccD Funit./Fix."/>
        <s v="AccDDemo equip LsdOT"/>
        <s v="Automobile Tax"/>
        <s v=""/>
        <s v="Clg Cross System-gen"/>
        <s v="Security Service"/>
        <s v="Health ben sal"/>
        <s v="ST:Pr CB mESTI a/i"/>
        <s v="DIMAGEM DIAGNOSTICO POR IMAGEM LTDA"/>
        <s v="Pr:Pension fund-a/i"/>
        <s v="LT:Pr OPEB-ufpl-a/i"/>
        <s v="Inp Tax COFINS (BR)"/>
        <s v="Technic. spare parts"/>
        <s v="PREFEITURA MUNICIPAL BELFORD ROXO"/>
        <s v="Altivo Aguiar"/>
        <s v="Robson Soares"/>
        <s v="Alex Lima"/>
        <s v="Thays Rodrigues"/>
        <s v="Carlos Pereira da Silva"/>
        <s v="INSETISAN SERVITOX INSETICIDAS"/>
        <s v="Amauri Moraes"/>
        <s v="ELIEL FIG DIAG MED APOIO LTDA"/>
        <s v="CLEAN AIR AMBIENTAL LTDA"/>
        <s v="AccD RoU F/Fix"/>
        <s v="ABIX TECNOLOGIA LTDA"/>
        <s v="Serv. cust. &amp; excise"/>
        <s v="SEGURPRO TEC SIS SEG EL IN LTDA"/>
        <s v="GUEVARA OTO CLINICA MEDICA LTDA"/>
        <s v="Coll transp staff"/>
        <s v="Wanderley De Almeida"/>
        <s v="Monique Moreira"/>
        <s v="Def charges-op-OT"/>
        <s v="RIO SCREEN B ROXO A LETR LTDA"/>
        <s v="Carolini Lago"/>
        <s v="Julio Henriques"/>
        <s v="Regina da Silva"/>
        <s v="STAR SEC CURSO DE FORM DE VIG LTDA"/>
        <s v="ST:Pr CB mESTI Ud"/>
        <s v="Pens Ex Def Con Plan"/>
        <s v="Anderson Paranhos"/>
        <s v="LSMELLO C D CONSULTORIA EIRELI"/>
        <s v="SUPRICORP SUPRIMENTOS LTDA"/>
        <s v="UNITY GDL GESTAO DOCUM LEGAIS LTDA"/>
        <s v="Receiv fr employees"/>
        <s v="Catherine Hoedemaker"/>
        <s v="13 CARTORIO DE NOTAS DA CAPITAL"/>
        <s v="AIR LIQUIDE BRASIL LTDA"/>
        <s v="AUTOSERVICE LOGISTICA LTDA"/>
        <s v="EMP BRAS DE CORREIOS E TELEGRAFO"/>
        <s v="Agenor Neto"/>
        <s v="FRIENDS FOREVER EDITORA LTDA ME"/>
        <s v="Leandro Ferreira"/>
        <s v="COMPUTECNICA TECNOLOGIA LTDA"/>
        <s v="Out Tax VAT BR ICMS"/>
        <s v="HELIO DAISUKE KOBAYASHI INFORM ME"/>
        <s v="Jean Santos"/>
        <s v="OPERATOR A E ANALIS AMBIENTAIS LTDA"/>
        <s v="Electricity fix"/>
        <s v="Nondeductible VAT"/>
        <s v="UNITY SKILL GESTAO"/>
        <s v="Jessica Breda"/>
        <m/>
      </sharedItems>
    </cacheField>
    <cacheField name="CO partner object name" numFmtId="0">
      <sharedItems containsBlank="1" containsMixedTypes="1" containsNumber="1" containsInteger="1" minValue="660872901" maxValue="660872901"/>
    </cacheField>
    <cacheField name="Purchasing Document" numFmtId="0">
      <sharedItems containsBlank="1"/>
    </cacheField>
    <cacheField name="Partner object type" numFmtId="0">
      <sharedItems containsBlank="1"/>
    </cacheField>
    <cacheField name="Document Number" numFmtId="0">
      <sharedItems containsBlank="1"/>
    </cacheField>
    <cacheField name="User Name" numFmtId="0">
      <sharedItems containsDate="1" containsBlank="1" containsMixedTypes="1" minDate="1900-01-09T23:50:04" maxDate="2026-08-05T00:00:00"/>
    </cacheField>
    <cacheField name="Posting row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">
  <r>
    <x v="0"/>
    <d v="2022-01-19T00:00:00"/>
    <x v="0"/>
    <s v="6711000"/>
    <s v="Security Service"/>
    <s v="MW09C21028"/>
    <s v="Segurança Industrial"/>
    <n v="9380.1299999999992"/>
    <s v="Valor Security Service ref  Docto Nr  15687"/>
    <x v="0"/>
    <s v="660402547"/>
    <s v="4008048892"/>
    <s v="GMGNH"/>
    <s v="1"/>
    <m/>
    <m/>
  </r>
  <r>
    <x v="0"/>
    <d v="2022-02-01T00:00:00"/>
    <x v="1"/>
    <s v="6711000"/>
    <s v="Security Service"/>
    <s v="MW09C21028"/>
    <s v="Segurança Industrial"/>
    <n v="0"/>
    <m/>
    <x v="0"/>
    <m/>
    <m/>
    <m/>
    <m/>
    <m/>
    <m/>
  </r>
  <r>
    <x v="0"/>
    <d v="2022-03-21T00:00:00"/>
    <x v="2"/>
    <s v="6711000"/>
    <s v="Security Service"/>
    <s v="MW09C21028"/>
    <s v="Segurança Industrial"/>
    <n v="9380.1299999999992"/>
    <s v="Valor Security Service ref  Docto Nr  16162"/>
    <x v="0"/>
    <s v="660417440"/>
    <s v="4008162375"/>
    <s v="GMGNH"/>
    <s v="1"/>
    <m/>
    <m/>
  </r>
  <r>
    <x v="0"/>
    <d v="2022-04-01T00:00:00"/>
    <x v="3"/>
    <s v="6711000"/>
    <s v="Security Service"/>
    <s v="MW09C21028"/>
    <s v="Segurança Industrial"/>
    <n v="9380.1299999999992"/>
    <s v="Valor Security Service ref  Docto Nr  16725"/>
    <x v="0"/>
    <s v="660435605"/>
    <s v="4008185718"/>
    <s v="GNEPP"/>
    <s v="1"/>
    <m/>
    <m/>
  </r>
  <r>
    <x v="0"/>
    <d v="2022-04-26T00:00:00"/>
    <x v="3"/>
    <s v="6711000"/>
    <s v="Security Service"/>
    <s v="MW09C21028"/>
    <s v="Segurança Industrial"/>
    <n v="9380.1299999999992"/>
    <s v="Valor Security Service ref  Docto Nr  17151"/>
    <x v="0"/>
    <s v="660452562"/>
    <s v="4008212570"/>
    <s v="GMGNH"/>
    <s v="1"/>
    <m/>
    <m/>
  </r>
  <r>
    <x v="0"/>
    <d v="2022-05-01T00:00:00"/>
    <x v="4"/>
    <s v="6711000"/>
    <s v="Security Service"/>
    <s v="MW09C21028"/>
    <s v="Segurança Industrial"/>
    <n v="0"/>
    <m/>
    <x v="0"/>
    <m/>
    <m/>
    <m/>
    <m/>
    <m/>
    <m/>
  </r>
  <r>
    <x v="0"/>
    <d v="2022-06-01T00:00:00"/>
    <x v="5"/>
    <s v="6711000"/>
    <s v="Security Service"/>
    <s v="MW09C21028"/>
    <s v="Segurança Industrial"/>
    <n v="0"/>
    <m/>
    <x v="0"/>
    <m/>
    <m/>
    <m/>
    <m/>
    <m/>
    <m/>
  </r>
  <r>
    <x v="0"/>
    <d v="2022-07-01T00:00:00"/>
    <x v="6"/>
    <s v="6711000"/>
    <s v="Security Service"/>
    <s v="MW09C21028"/>
    <s v="Segurança Industrial"/>
    <n v="0"/>
    <m/>
    <x v="0"/>
    <m/>
    <m/>
    <m/>
    <m/>
    <m/>
    <m/>
  </r>
  <r>
    <x v="0"/>
    <d v="2022-08-03T00:00:00"/>
    <x v="7"/>
    <s v="6711000"/>
    <s v="Security Service"/>
    <s v="MW09C21028"/>
    <s v="Segurança Industrial"/>
    <n v="9380.1299999999992"/>
    <s v="Valor Security Service ref  Docto Nr  18780"/>
    <x v="0"/>
    <s v="660515480"/>
    <s v="4008414510"/>
    <s v="GMGNH"/>
    <s v="1"/>
    <m/>
    <m/>
  </r>
  <r>
    <x v="0"/>
    <d v="2022-09-21T00:00:00"/>
    <x v="8"/>
    <s v="6711000"/>
    <s v="Security Service"/>
    <s v="MW09C21028"/>
    <s v="Segurança Industrial"/>
    <n v="9380.1299999999992"/>
    <s v="MAN.PREVENTIVA CONTROLE ACESSO BELFORD R"/>
    <x v="0"/>
    <s v="660531973"/>
    <s v="4008521936"/>
    <s v="GMGNH"/>
    <s v="1"/>
    <m/>
    <m/>
  </r>
  <r>
    <x v="0"/>
    <d v="2022-10-14T00:00:00"/>
    <x v="9"/>
    <s v="6711000"/>
    <s v="Security Service"/>
    <s v="MW09C21028"/>
    <s v="Segurança Industrial"/>
    <n v="9380.1299999999992"/>
    <s v="MAN.PREVENTIVA CONTROLE ACESSO BELFORD R"/>
    <x v="0"/>
    <s v="660540610"/>
    <s v="4008588880"/>
    <s v="GNEPP"/>
    <s v="1"/>
    <m/>
    <m/>
  </r>
  <r>
    <x v="0"/>
    <d v="2022-11-25T00:00:00"/>
    <x v="10"/>
    <s v="6711000"/>
    <s v="Security Service"/>
    <s v="MW09C21028"/>
    <s v="Segurança Industrial"/>
    <n v="9396.1299999999992"/>
    <s v="MAN.PREVENTIVA CONTROLE ACESSO BELFORD R"/>
    <x v="0"/>
    <s v="660564447"/>
    <s v="4008702089"/>
    <s v="GEMKD"/>
    <s v="1"/>
    <d v="2022-11-04T00:00:00"/>
    <s v="5107828862"/>
  </r>
  <r>
    <x v="0"/>
    <d v="2022-12-13T00:00:00"/>
    <x v="11"/>
    <s v="6711000"/>
    <s v="Security Service"/>
    <s v="MW09C21028"/>
    <s v="Segurança Industrial"/>
    <n v="9380.1299999999992"/>
    <s v="Valor Security Service ref  Docto Nr  21060"/>
    <x v="0"/>
    <s v="660581613"/>
    <s v="4008759101"/>
    <s v="GNEPP"/>
    <s v="1"/>
    <d v="2022-12-05T00:00:00"/>
    <s v="5107899662"/>
  </r>
  <r>
    <x v="0"/>
    <d v="2022-12-21T00:00:00"/>
    <x v="11"/>
    <s v="6711000"/>
    <s v="Security Service"/>
    <s v="MW09C21028"/>
    <s v="Segurança Industrial"/>
    <n v="28140.39"/>
    <s v="Provisao Seguranca Industrial   G4S Dez 22 - referente aos 3 meses que faltaram"/>
    <x v="0"/>
    <s v=""/>
    <s v="4008771040"/>
    <s v="GNZIM"/>
    <s v="2"/>
    <d v="2022-12-21T00:00:00"/>
    <s v="5070015999"/>
  </r>
  <r>
    <x v="1"/>
    <d v="2023-01-13T00:00:00"/>
    <x v="0"/>
    <s v="6711000"/>
    <s v="Security Service"/>
    <s v="MW09C21028"/>
    <s v="Segurança Industrial"/>
    <n v="9380.1299999999992"/>
    <s v="Valor Security Service ref  Docto Nr  21519"/>
    <x v="0"/>
    <s v="660595082"/>
    <s v="4008803622"/>
    <s v="GNEPP"/>
    <s v="1"/>
    <d v="2023-01-09T00:00:00"/>
    <s v="5108015022"/>
  </r>
  <r>
    <x v="1"/>
    <d v="2023-02-01T00:00:00"/>
    <x v="1"/>
    <s v="6711000"/>
    <s v="Security Service"/>
    <s v="MW09C21028"/>
    <s v="Segurança Industrial"/>
    <n v="9380.1299999999992"/>
    <s v="Valor Security Service ref  Docto Nr  18112"/>
    <x v="0"/>
    <s v="660485006"/>
    <s v="4008844675"/>
    <s v="GEMKD"/>
    <s v="1"/>
    <d v="2022-06-14T00:00:00"/>
    <s v="5108097583"/>
  </r>
  <r>
    <x v="1"/>
    <d v="2023-02-01T00:00:00"/>
    <x v="1"/>
    <s v="6711000"/>
    <s v="Security Service"/>
    <s v="MW09C21028"/>
    <s v="Segurança Industrial"/>
    <n v="9380.1299999999992"/>
    <s v="Valor Security Service ref  Docto Nr  17770"/>
    <x v="0"/>
    <s v="660468986"/>
    <s v="4008845559"/>
    <s v="GEMKD"/>
    <s v="1"/>
    <d v="2022-05-19T00:00:00"/>
    <s v="5108097604"/>
  </r>
  <r>
    <x v="1"/>
    <d v="2023-02-14T00:00:00"/>
    <x v="1"/>
    <s v="6711000"/>
    <s v="Security Service"/>
    <s v="MW09C21028"/>
    <s v="Segurança Industrial"/>
    <n v="9380.1299999999992"/>
    <s v="Valor Security Service ref  Docto Nr  22036"/>
    <x v="0"/>
    <s v="660611345"/>
    <s v="4008878596"/>
    <s v="GEMKD"/>
    <s v="1"/>
    <d v="2023-02-08T00:00:00"/>
    <s v="5108148686"/>
  </r>
  <r>
    <x v="1"/>
    <d v="2023-03-29T00:00:00"/>
    <x v="2"/>
    <s v="6711000"/>
    <s v="Security Service"/>
    <s v="MW09C21028"/>
    <s v="Segurança Industrial"/>
    <n v="9380.1299999999992"/>
    <s v="Valor Security Service ref  Docto Nr  22474"/>
    <x v="0"/>
    <s v="660628675"/>
    <s v="4008949754"/>
    <s v="GEMKD"/>
    <s v="1"/>
    <d v="2023-03-07T00:00:00"/>
    <s v="5108322765"/>
  </r>
  <r>
    <x v="1"/>
    <d v="2023-04-25T00:00:00"/>
    <x v="3"/>
    <s v="6711000"/>
    <s v="Security Service"/>
    <s v="MW09C21028"/>
    <s v="Segurança Industrial"/>
    <n v="9380.1299999999992"/>
    <s v="Valor Security Service ref  Docto Nr  23049"/>
    <x v="0"/>
    <s v="660646394"/>
    <s v="4008980180"/>
    <s v="GEMKD"/>
    <s v="1"/>
    <d v="2023-04-14T00:00:00"/>
    <s v="5108419363"/>
  </r>
  <r>
    <x v="1"/>
    <d v="2023-05-29T00:00:00"/>
    <x v="4"/>
    <s v="6711000"/>
    <s v="Security Service"/>
    <s v="MW09C21028"/>
    <s v="Segurança Industrial"/>
    <n v="9380.1299999999992"/>
    <s v="Valor Security Service ref  Docto Nr  23542"/>
    <x v="0"/>
    <s v="660661149"/>
    <s v="4009007421"/>
    <s v="GEMKD"/>
    <s v="1"/>
    <d v="2023-05-11T00:00:00"/>
    <s v="5108528713"/>
  </r>
  <r>
    <x v="1"/>
    <d v="2023-06-26T00:00:00"/>
    <x v="5"/>
    <s v="6711000"/>
    <s v="Security Service"/>
    <s v="MW09C21028"/>
    <s v="Segurança Industrial"/>
    <n v="9380.1299999999992"/>
    <s v="Valor Security Service ref  Docto Nr  24019"/>
    <x v="0"/>
    <s v="660676958"/>
    <s v="4009027312"/>
    <s v="GEMKD"/>
    <s v="1"/>
    <d v="2023-06-13T00:00:00"/>
    <s v="5108610641"/>
  </r>
  <r>
    <x v="1"/>
    <d v="2023-07-01T00:00:00"/>
    <x v="6"/>
    <s v="6711000"/>
    <s v="Security Service"/>
    <s v="MW09C21028"/>
    <s v="Segurança Industrial"/>
    <n v="0"/>
    <m/>
    <x v="0"/>
    <m/>
    <m/>
    <m/>
    <m/>
    <m/>
    <m/>
  </r>
  <r>
    <x v="1"/>
    <d v="2023-08-23T00:00:00"/>
    <x v="7"/>
    <s v="6711000"/>
    <s v="Security Service"/>
    <s v="MW09C21028"/>
    <s v="Segurança Industrial"/>
    <n v="9380.1299999999992"/>
    <s v="Valor Security Service ref  Docto Nr  18632"/>
    <x v="0"/>
    <s v="660500561"/>
    <s v="4009090184"/>
    <s v="GEMKD"/>
    <s v="1"/>
    <d v="2022-07-05T00:00:00"/>
    <s v="5108777428"/>
  </r>
  <r>
    <x v="1"/>
    <d v="2023-09-13T00:00:00"/>
    <x v="8"/>
    <s v="6711000"/>
    <s v="Security Service"/>
    <s v="MW09C21028"/>
    <s v="Segurança Industrial"/>
    <n v="9380.1299999999992"/>
    <s v="Valor Security Service ref  Docto Nr  25046"/>
    <x v="0"/>
    <s v="660718061"/>
    <s v="4009115354"/>
    <s v="GEMKD"/>
    <s v="1"/>
    <d v="2023-09-06T00:00:00"/>
    <s v="5108844024"/>
  </r>
  <r>
    <x v="1"/>
    <d v="2023-10-04T00:00:00"/>
    <x v="9"/>
    <s v="6711000"/>
    <s v="Security Service"/>
    <s v="MW09C21028"/>
    <s v="Segurança Industrial"/>
    <n v="9380.1299999999992"/>
    <s v="Valor Security Service ref  Docto Nr  25476"/>
    <x v="0"/>
    <s v="660705109"/>
    <s v="4009139775"/>
    <s v="GMGNH"/>
    <s v="1"/>
    <d v="2023-10-02T00:00:00"/>
    <s v="5108921018"/>
  </r>
  <r>
    <x v="1"/>
    <d v="2023-10-26T00:00:00"/>
    <x v="9"/>
    <s v="6711000"/>
    <s v="Security Service"/>
    <s v="MW09C21028"/>
    <s v="Segurança Industrial"/>
    <n v="-9380.1299999999992"/>
    <s v="MAN.PREVENTIVA CONTROLE ACESSO BELFORD R"/>
    <x v="0"/>
    <s v="660705109"/>
    <s v="4009166004"/>
    <s v="EFXNJ"/>
    <s v="1"/>
    <d v="2023-10-02T00:00:00"/>
    <s v="5109001536"/>
  </r>
  <r>
    <x v="1"/>
    <d v="2023-11-24T00:00:00"/>
    <x v="10"/>
    <s v="6711000"/>
    <s v="Security Service"/>
    <s v="MW09C21028"/>
    <s v="Segurança Industrial"/>
    <n v="9380.1299999999992"/>
    <s v="Valor Security Service ref  Docto Nr  26293"/>
    <x v="0"/>
    <s v="660745194"/>
    <s v="4009202949"/>
    <s v="GLRPT"/>
    <s v="1"/>
    <d v="2023-11-10T00:00:00"/>
    <s v="5109109662"/>
  </r>
  <r>
    <x v="1"/>
    <d v="2023-12-04T00:00:00"/>
    <x v="11"/>
    <s v="6711000"/>
    <s v="Security Service"/>
    <s v="MW09C21028"/>
    <s v="Segurança Industrial"/>
    <n v="9380.1299999999992"/>
    <s v="Valor Security Service ref  Docto Nr  24784"/>
    <x v="0"/>
    <s v="660705109"/>
    <s v="4009213633"/>
    <s v="EFXNJ"/>
    <s v="1"/>
    <d v="2023-08-10T00:00:00"/>
    <s v="5109144481"/>
  </r>
  <r>
    <x v="1"/>
    <d v="2023-12-11T00:00:00"/>
    <x v="11"/>
    <s v="6711000"/>
    <s v="Security Service"/>
    <s v="MW09C21028"/>
    <s v="Segurança Industrial"/>
    <n v="9380.1299999999992"/>
    <s v="Valor Security Service ref  Docto Nr  26456"/>
    <x v="0"/>
    <s v="660759604"/>
    <s v="4009228293"/>
    <s v="GEMKD"/>
    <s v="1"/>
    <d v="2023-12-04T00:00:00"/>
    <s v="5109171227"/>
  </r>
  <r>
    <x v="2"/>
    <d v="2024-01-16T00:00:00"/>
    <x v="0"/>
    <s v="6711000"/>
    <s v="Security Service"/>
    <s v="MW09C21028"/>
    <s v="Segurança Industrial"/>
    <n v="9380.1299999999992"/>
    <s v="Valor Security Service ref  Docto Nr  27298"/>
    <x v="0"/>
    <s v="660774004"/>
    <s v="4009253078"/>
    <s v="GEMKD"/>
    <s v="1"/>
    <d v="2024-01-12T00:00:00"/>
    <s v="5109296082"/>
  </r>
  <r>
    <x v="2"/>
    <d v="2024-02-23T00:00:00"/>
    <x v="1"/>
    <s v="6711000"/>
    <s v="Security Service"/>
    <s v="MW09C21028"/>
    <s v="Segurança Industrial"/>
    <n v="9380.1299999999992"/>
    <s v="Valor Security Service ref  Docto Nr  27733"/>
    <x v="0"/>
    <s v="660785817"/>
    <s v="4009285730"/>
    <s v="GEMKD"/>
    <s v="1"/>
    <d v="2024-02-12T00:00:00"/>
    <s v="5109458222"/>
  </r>
  <r>
    <x v="2"/>
    <d v="2024-01-18T00:00:00"/>
    <x v="0"/>
    <s v="6711000"/>
    <s v="Security Service"/>
    <s v="MW09C20095"/>
    <s v="Training"/>
    <n v="9579.73"/>
    <s v="Valor do documento Nr  21994 1"/>
    <x v="0"/>
    <s v="660762305"/>
    <s v="4009254532"/>
    <s v="GNEDC"/>
    <s v="1"/>
    <d v="2023-12-08T00:00:00"/>
    <s v="5109309428"/>
  </r>
  <r>
    <x v="2"/>
    <d v="2024-03-14T00:00:00"/>
    <x v="2"/>
    <s v="6711000"/>
    <s v="Security Service"/>
    <s v="MW09C21028"/>
    <s v="Segurança Industrial"/>
    <n v="10454.41"/>
    <s v="Valor Security Service ref  Docto Nr  28307"/>
    <x v="0"/>
    <s v="660800575"/>
    <s v="4009300866"/>
    <s v="GNEDA"/>
    <s v="1"/>
    <d v="2024-03-12T00:00:00"/>
    <s v="5109543527"/>
  </r>
  <r>
    <x v="2"/>
    <d v="2024-04-08T00:00:00"/>
    <x v="3"/>
    <s v="6711000"/>
    <s v="Security Service"/>
    <s v="MW09C21028"/>
    <s v="Segurança Industrial"/>
    <n v="10454.41"/>
    <s v="Valor Security Service ref  Docto Nr  28466"/>
    <x v="0"/>
    <s v="660814318"/>
    <s v="4009322317"/>
    <s v="EFXNJ"/>
    <s v="1"/>
    <d v="2024-04-03T00:00:00"/>
    <s v="5109642502"/>
  </r>
  <r>
    <x v="2"/>
    <d v="2024-05-27T00:00:00"/>
    <x v="4"/>
    <s v="6711000"/>
    <s v="Security Service"/>
    <s v="MW09C21028"/>
    <s v="Segurança Industrial"/>
    <n v="10454.41"/>
    <s v="Valor Security Service ref  Docto Nr  29267"/>
    <x v="0"/>
    <s v="660831879"/>
    <s v="4009362650"/>
    <s v="EFXNJ"/>
    <s v="1"/>
    <d v="2024-05-20T00:00:00"/>
    <s v="5109800607"/>
  </r>
  <r>
    <x v="2"/>
    <d v="2024-06-22T00:00:00"/>
    <x v="5"/>
    <s v="6711000"/>
    <s v="Security Service"/>
    <s v="MW09C21028"/>
    <s v="Segurança Industrial"/>
    <n v="10454.41"/>
    <s v="Valor Security Service ref  Docto Nr  29598"/>
    <x v="0"/>
    <s v="660846450"/>
    <s v="4009385011"/>
    <s v="GNEDA"/>
    <s v="1"/>
    <d v="2024-06-10T00:00:00"/>
    <s v="5109886518"/>
  </r>
  <r>
    <x v="2"/>
    <d v="2024-06-17T00:00:00"/>
    <x v="5"/>
    <s v="6320000"/>
    <s v="Supplies"/>
    <s v="MW09C21506"/>
    <s v="BEC"/>
    <n v="1564.67"/>
    <s v="Valor do documento Nr  22825 1"/>
    <x v="0"/>
    <s v="660787755"/>
    <s v="4009380121"/>
    <s v="GMGNT"/>
    <s v="1"/>
    <d v="2024-06-06T00:00:00"/>
    <s v="5109869417"/>
  </r>
  <r>
    <x v="2"/>
    <d v="2024-06-17T00:00:00"/>
    <x v="5"/>
    <s v="6320000"/>
    <s v="Supplies"/>
    <s v="MW09C21506"/>
    <s v="BEC"/>
    <n v="937.2"/>
    <s v="Valor do documento Nr  22825 1"/>
    <x v="0"/>
    <s v="660787755"/>
    <s v="4009380121"/>
    <s v="GMGNT"/>
    <s v="2"/>
    <d v="2024-06-06T00:00:00"/>
    <s v="5109869417"/>
  </r>
  <r>
    <x v="2"/>
    <d v="2024-08-06T00:00:00"/>
    <x v="7"/>
    <s v="6711000"/>
    <s v="Security Service"/>
    <s v="MW09C21028"/>
    <s v="Segurança Industrial"/>
    <n v="10454.41"/>
    <s v="Valor Security Service ref  Docto Nr  30140"/>
    <x v="0"/>
    <s v="660859856"/>
    <s v="4009431965"/>
    <s v="EFXNJ"/>
    <s v="1"/>
    <d v="2024-07-11T00:00:00"/>
    <s v="5110026391"/>
  </r>
  <r>
    <x v="2"/>
    <d v="2024-09-29T00:00:00"/>
    <x v="8"/>
    <s v="6711000"/>
    <s v="Security Service"/>
    <s v="MW09C21028"/>
    <s v="Segurança Industrial"/>
    <n v="4308.16"/>
    <s v="Valor Security Service ref  Docto Nr  30856"/>
    <x v="0"/>
    <s v="660885506"/>
    <s v="4009503142"/>
    <s v="GNEDA"/>
    <s v="1"/>
    <d v="2024-09-04T00:00:00"/>
    <s v="5110193691"/>
  </r>
  <r>
    <x v="2"/>
    <d v="2024-11-19T00:00:00"/>
    <x v="10"/>
    <s v="6711000"/>
    <s v="Security Service"/>
    <s v="MW09C21028"/>
    <s v="Segurança Industrial"/>
    <n v="4308.16"/>
    <s v="Valor Security Service ref  Docto Nr  31480"/>
    <x v="0"/>
    <s v="660891232"/>
    <s v="4009590393"/>
    <s v="EAUXB"/>
    <s v="1"/>
    <d v="2024-10-09T00:00:00"/>
    <s v="5110382315"/>
  </r>
  <r>
    <x v="2"/>
    <d v="2024-11-19T00:00:00"/>
    <x v="10"/>
    <s v="6711000"/>
    <s v="Security Service"/>
    <s v="MW09C21028"/>
    <s v="Segurança Industrial"/>
    <n v="4308.16"/>
    <s v="Valor Security Service ref  Docto Nr  31879"/>
    <x v="0"/>
    <s v="660915664"/>
    <s v="4009590398"/>
    <s v="EAUXB"/>
    <s v="1"/>
    <d v="2024-11-11T00:00:00"/>
    <s v="5110382316"/>
  </r>
  <r>
    <x v="2"/>
    <d v="2024-12-13T00:00:00"/>
    <x v="11"/>
    <s v="6280000"/>
    <s v="Technic. spare parts"/>
    <s v="MW09C21028"/>
    <s v="Segurança Industrial"/>
    <n v="4308.16"/>
    <s v="Valor Technic  spare parts ref  Docto Nr  32425"/>
    <x v="0"/>
    <s v="660928920"/>
    <s v="4009641803"/>
    <s v="EAZLZ"/>
    <s v="1"/>
    <d v="2024-12-09T00:00:00"/>
    <s v="5110478717"/>
  </r>
  <r>
    <x v="3"/>
    <d v="2025-02-07T00:00:00"/>
    <x v="1"/>
    <s v="6280000"/>
    <s v="Technic. spare parts"/>
    <s v="MW09C21028"/>
    <s v="Segurança Industrial"/>
    <n v="4308.16"/>
    <s v="Valor Technic  spare parts ref  Docto Nr  32834"/>
    <x v="0"/>
    <s v="660939323"/>
    <s v="4009697549"/>
    <s v="EAUXB"/>
    <s v="1"/>
    <d v="2025-01-09T00:00:00"/>
    <s v="5110678571"/>
  </r>
  <r>
    <x v="3"/>
    <d v="2025-02-12T00:00:00"/>
    <x v="1"/>
    <s v="6280000"/>
    <s v="Technic. spare parts"/>
    <s v="MW09C21028"/>
    <s v="Segurança Industrial"/>
    <n v="4308.16"/>
    <s v="Valor Technic  spare parts ref  Docto Nr  33302"/>
    <x v="0"/>
    <s v="660954615"/>
    <s v="4009702356"/>
    <s v="EAUXB"/>
    <s v="1"/>
    <d v="2025-02-11T00:00:00"/>
    <s v="5110696391"/>
  </r>
  <r>
    <x v="3"/>
    <d v="2025-03-27T00:00:00"/>
    <x v="2"/>
    <s v="6280000"/>
    <s v="Technic. spare parts"/>
    <s v="MW09C21028"/>
    <s v="Segurança Industrial"/>
    <n v="4308.16"/>
    <s v="Valor Technic  spare parts ref  Docto Nr  33826"/>
    <x v="0"/>
    <s v="660969331"/>
    <s v="4009744504"/>
    <s v="EAUXB"/>
    <s v="1"/>
    <n v="45727"/>
    <s v="5110856545"/>
  </r>
  <r>
    <x v="3"/>
    <d v="2025-04-14T00:00:00"/>
    <x v="3"/>
    <s v="6711000"/>
    <s v="Security Service"/>
    <s v="MW09C21028"/>
    <s v="Segurança Industrial"/>
    <n v="4308.16"/>
    <s v="Valor Security Service ref  Docto Nr  34191"/>
    <x v="0"/>
    <s v="660981761"/>
    <s v="4009766908"/>
    <s v="GPDUA"/>
    <s v="1"/>
    <n v="45749"/>
    <s v="5110923944"/>
  </r>
  <r>
    <x v="3"/>
    <d v="2025-06-27T00:00:00"/>
    <x v="5"/>
    <s v="6280000"/>
    <s v="Technic. spare parts"/>
    <s v="MW09C21028"/>
    <s v="Segurança Industrial"/>
    <n v="4308.16"/>
    <s v="Valor Technic  spare parts ref  Docto Nr  34660"/>
    <x v="0"/>
    <s v="660997451"/>
    <s v="4009837463"/>
    <s v="GNEDA"/>
    <s v="1"/>
    <d v="2025-05-12T00:00:00"/>
    <s v="5111140245"/>
  </r>
  <r>
    <x v="3"/>
    <d v="2025-08-04T00:00:00"/>
    <x v="7"/>
    <s v="6280000"/>
    <s v="Technic. spare parts"/>
    <s v="MW09C21028"/>
    <s v="Segurança Industrial"/>
    <n v="4308.16"/>
    <s v="Valor Technic  spare parts ref  Docto Nr  35236"/>
    <x v="1"/>
    <s v="661002858"/>
    <s v="4009899792"/>
    <s v="EFXNJ"/>
    <s v="1"/>
    <n v="45825"/>
    <s v="5111241115"/>
  </r>
  <r>
    <x v="3"/>
    <d v="2025-08-04T00:00:00"/>
    <x v="7"/>
    <s v="6280000"/>
    <s v="Technic. spare parts"/>
    <s v="MW09C21028"/>
    <s v="Segurança Industrial"/>
    <n v="4308.16"/>
    <s v="Valor Technic  spare parts ref  Docto Nr  35592"/>
    <x v="1"/>
    <s v="661021949"/>
    <s v="4009899793"/>
    <s v="EFXNJ"/>
    <s v="1"/>
    <n v="45853"/>
    <s v="5111241116"/>
  </r>
  <r>
    <x v="3"/>
    <d v="2025-08-18T00:00:00"/>
    <x v="7"/>
    <s v="6320000"/>
    <s v="Supplies"/>
    <s v="MW09C21028"/>
    <s v="Segurança Industrial"/>
    <n v="1211.9100000000001"/>
    <s v="Valor do documento Nr  24856 1"/>
    <x v="1"/>
    <s v=""/>
    <s v="4009929183"/>
    <s v="GNEPP"/>
    <s v="1"/>
    <n v="45861"/>
    <s v="4610016207"/>
  </r>
  <r>
    <x v="3"/>
    <d v="2025-08-20T00:00:00"/>
    <x v="7"/>
    <s v="6280000"/>
    <s v="Technic. spare parts"/>
    <s v="MW09C21028"/>
    <s v="Segurança Industrial"/>
    <n v="4308.16"/>
    <s v="Valor Technic  spare parts ref  Docto Nr  36086"/>
    <x v="1"/>
    <s v="661036093"/>
    <s v="4009932220"/>
    <s v="EFXNJ"/>
    <s v="1"/>
    <n v="45887"/>
    <s v="5111281436"/>
  </r>
  <r>
    <x v="3"/>
    <d v="2025-09-18T00:00:00"/>
    <x v="8"/>
    <s v="6280000"/>
    <s v="Technic. spare parts"/>
    <s v="MW09C21028"/>
    <s v="Segurança Industrial"/>
    <n v="4308.16"/>
    <s v="Valor Technic  spare parts ref  Docto Nr  36516"/>
    <x v="1"/>
    <s v="661048936"/>
    <s v="4009978485"/>
    <s v="EFXNJ"/>
    <s v="1"/>
    <n v="45916"/>
    <s v="5111362613"/>
  </r>
  <r>
    <x v="3"/>
    <d v="2025-10-13T00:00:00"/>
    <x v="9"/>
    <s v="6280000"/>
    <s v="Technic. spare parts"/>
    <s v="MW09C21028"/>
    <s v="Segurança Industrial"/>
    <n v="4308.16"/>
    <s v="Valor Technic  spare parts ref  Docto Nr  36886"/>
    <x v="1"/>
    <s v="661063618"/>
    <s v="4010023043"/>
    <s v="EFXNJ"/>
    <s v="1"/>
    <n v="45939"/>
    <s v="5111445644"/>
  </r>
  <r>
    <x v="4"/>
    <d v="2026-01-15T00:00:00"/>
    <x v="0"/>
    <s v="6280000"/>
    <s v="Technic. spare parts"/>
    <s v="MW09C21028"/>
    <s v="Segurança Industrial"/>
    <n v="4308.16"/>
    <s v="Valor Technic  spare parts ref  Docto Nr  38363"/>
    <x v="1"/>
    <s v="661104110"/>
    <s v="4010150952"/>
    <s v="YWEGT"/>
    <s v="1"/>
    <n v="46035"/>
    <s v="5111746963"/>
  </r>
  <r>
    <x v="4"/>
    <d v="2026-02-24T00:00:00"/>
    <x v="1"/>
    <s v="6280000"/>
    <s v="Technic. spare parts"/>
    <s v="MW09C21028"/>
    <s v="Segurança Industrial"/>
    <n v="4308.16"/>
    <s v="Valor Technic  spare parts ref  Docto Nr  38875"/>
    <x v="1"/>
    <s v="661116929"/>
    <s v="4010185480"/>
    <s v="GNEPP"/>
    <s v="1"/>
    <n v="46073"/>
    <s v="5111882664"/>
  </r>
  <r>
    <x v="4"/>
    <d v="2026-03-30T00:00:00"/>
    <x v="2"/>
    <s v="6280000"/>
    <s v="Technic. spare parts"/>
    <s v="MW09C21028"/>
    <s v="Segurança Industrial"/>
    <n v="4308.16"/>
    <s v="Valor Technic  spare parts ref  Docto Nr  39262"/>
    <x v="1"/>
    <s v="661130123"/>
    <s v="4010218040"/>
    <s v="GLRPT"/>
    <s v="1"/>
    <d v="2026-03-20T00:00:00"/>
    <s v="5112007664"/>
  </r>
  <r>
    <x v="4"/>
    <d v="2026-04-17T00:00:00"/>
    <x v="3"/>
    <s v="6280000"/>
    <s v="Technic. spare parts"/>
    <s v="MW09C21028"/>
    <s v="Segurança Industrial"/>
    <n v="4308.16"/>
    <s v="Valor Technic  spare parts ref  Docto Nr  39563"/>
    <x v="1"/>
    <s v="661146355"/>
    <s v="4010241573"/>
    <s v="YWEGT"/>
    <s v="1"/>
    <d v="2026-04-09T00:00:00"/>
    <s v="5112070022"/>
  </r>
  <r>
    <x v="4"/>
    <d v="2026-05-18T00:00:00"/>
    <x v="4"/>
    <s v="6280000"/>
    <s v="Technic. spare parts"/>
    <s v="MW09C21028"/>
    <s v="Segurança Industrial"/>
    <n v="4308.16"/>
    <s v="Valor Technic  spare parts ref  Docto Nr  39948"/>
    <x v="1"/>
    <s v="661160216"/>
    <s v="4010274405"/>
    <s v="YWEGT"/>
    <s v="1"/>
    <d v="2026-05-11T00:00:00"/>
    <s v="5112154573"/>
  </r>
  <r>
    <x v="5"/>
    <m/>
    <x v="12"/>
    <m/>
    <m/>
    <m/>
    <m/>
    <m/>
    <m/>
    <x v="2"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6">
  <r>
    <x v="0"/>
    <d v="2022-01-13T00:00:00"/>
    <x v="0"/>
    <s v="6711000"/>
    <s v="Security Service"/>
    <s v="MW09C21028"/>
    <s v="Segurança Industrial"/>
    <n v="8719.83"/>
    <s v="Valor Security Service ref  Docto Nr  392"/>
    <x v="0"/>
    <s v=""/>
    <s v="660401815"/>
    <s v="4008035625"/>
    <s v="GEMKD"/>
    <s v="1"/>
    <m/>
    <m/>
    <m/>
    <m/>
    <m/>
    <m/>
    <m/>
    <m/>
  </r>
  <r>
    <x v="0"/>
    <d v="2022-02-07T00:00:00"/>
    <x v="1"/>
    <s v="6711000"/>
    <s v="Security Service"/>
    <s v="MW09C21028"/>
    <s v="Segurança Industrial"/>
    <n v="8719.83"/>
    <s v="Valor Security Service ref  Docto Nr  394"/>
    <x v="0"/>
    <s v=""/>
    <s v="660417438"/>
    <s v="4008090051"/>
    <s v="GNEDA"/>
    <s v="1"/>
    <m/>
    <m/>
    <m/>
    <m/>
    <m/>
    <m/>
    <m/>
    <m/>
  </r>
  <r>
    <x v="0"/>
    <d v="2022-03-01T00:00:00"/>
    <x v="2"/>
    <s v="6711000"/>
    <s v="Security Service"/>
    <s v="MW09C21028"/>
    <s v="Segurança Industrial"/>
    <n v="0"/>
    <s v="Valor Security Service ref  Docto Nr  464"/>
    <x v="0"/>
    <m/>
    <m/>
    <m/>
    <m/>
    <m/>
    <m/>
    <m/>
    <m/>
    <m/>
    <m/>
    <m/>
    <m/>
    <m/>
  </r>
  <r>
    <x v="0"/>
    <d v="2022-04-14T00:00:00"/>
    <x v="3"/>
    <s v="6711000"/>
    <s v="Security Service"/>
    <s v="MW09C21028"/>
    <s v="Segurança Industrial"/>
    <n v="9557.0499999999993"/>
    <s v="Valor Security Service ref  Docto Nr  413"/>
    <x v="0"/>
    <s v=""/>
    <s v="660452560"/>
    <s v="4008199345"/>
    <s v="GNEPP"/>
    <s v="1"/>
    <m/>
    <m/>
    <m/>
    <m/>
    <m/>
    <m/>
    <m/>
    <m/>
  </r>
  <r>
    <x v="0"/>
    <d v="2022-04-14T00:00:00"/>
    <x v="3"/>
    <s v="6711000"/>
    <s v="Security Service"/>
    <s v="MW09C21028"/>
    <s v="Segurança Industrial"/>
    <n v="9557.0499999999993"/>
    <s v="Valor Security Service ref  Docto Nr  414"/>
    <x v="0"/>
    <s v=""/>
    <s v="660444383"/>
    <s v="4008199346"/>
    <s v="GNEPP"/>
    <s v="1"/>
    <m/>
    <m/>
    <m/>
    <m/>
    <m/>
    <m/>
    <m/>
    <m/>
  </r>
  <r>
    <x v="0"/>
    <d v="2022-04-27T00:00:00"/>
    <x v="3"/>
    <s v="6420000"/>
    <s v="Transports"/>
    <s v="MW09C21028"/>
    <s v="Segurança Industrial"/>
    <n v="186.9"/>
    <s v="Valor Transports ref  Docto Nr  416"/>
    <x v="0"/>
    <s v=""/>
    <s v=""/>
    <s v="4008214287"/>
    <s v="GNLUA"/>
    <s v="2"/>
    <m/>
    <m/>
    <m/>
    <m/>
    <m/>
    <m/>
    <m/>
    <m/>
  </r>
  <r>
    <x v="0"/>
    <d v="2022-05-16T00:00:00"/>
    <x v="4"/>
    <s v="6711000"/>
    <s v="Security Service"/>
    <s v="MW09C21028"/>
    <s v="Segurança Industrial"/>
    <n v="2395.6"/>
    <s v="Valor Security Service ref  Docto Nr  418"/>
    <x v="0"/>
    <s v=""/>
    <s v=""/>
    <s v="4008249874"/>
    <s v="GNEPP"/>
    <s v="2"/>
    <m/>
    <m/>
    <m/>
    <m/>
    <m/>
    <m/>
    <m/>
    <m/>
  </r>
  <r>
    <x v="0"/>
    <d v="2022-05-18T00:00:00"/>
    <x v="4"/>
    <s v="6711000"/>
    <s v="Security Service"/>
    <s v="MW09C21028"/>
    <s v="Segurança Industrial"/>
    <n v="9557.0499999999993"/>
    <s v="Valor Security Service ref  Docto Nr  423"/>
    <x v="0"/>
    <s v=""/>
    <s v="660469033"/>
    <s v="4008253829"/>
    <s v="GNEPP"/>
    <s v="1"/>
    <m/>
    <m/>
    <m/>
    <m/>
    <m/>
    <m/>
    <m/>
    <m/>
  </r>
  <r>
    <x v="0"/>
    <d v="2022-06-13T00:00:00"/>
    <x v="5"/>
    <s v="6711000"/>
    <s v="Security Service"/>
    <s v="MW09C21028"/>
    <s v="Segurança Industrial"/>
    <n v="9557.0499999999993"/>
    <s v="SEGURANÇA PATRIMONIAL - BELFORD ROXO"/>
    <x v="0"/>
    <s v=""/>
    <s v="660485001"/>
    <s v="4008292056"/>
    <s v="EIMOH"/>
    <s v="1"/>
    <m/>
    <m/>
    <m/>
    <m/>
    <m/>
    <m/>
    <m/>
    <m/>
  </r>
  <r>
    <x v="0"/>
    <d v="2022-06-21T00:00:00"/>
    <x v="5"/>
    <s v="6711000"/>
    <s v="Security Service"/>
    <s v="MW09C21028"/>
    <s v="Segurança Industrial"/>
    <n v="1448.05"/>
    <s v="Valor NF 424"/>
    <x v="0"/>
    <s v=""/>
    <s v=""/>
    <s v="4008304253"/>
    <s v="GEMKD"/>
    <s v="3"/>
    <m/>
    <m/>
    <m/>
    <m/>
    <m/>
    <m/>
    <m/>
    <m/>
  </r>
  <r>
    <x v="0"/>
    <d v="2022-06-21T00:00:00"/>
    <x v="5"/>
    <s v="6711000"/>
    <s v="Security Service"/>
    <s v="MW09C21028"/>
    <s v="Segurança Industrial"/>
    <n v="188.7"/>
    <s v="Valor NF 424"/>
    <x v="0"/>
    <s v=""/>
    <s v=""/>
    <s v="4008304253"/>
    <s v="GEMKD"/>
    <s v="1"/>
    <m/>
    <m/>
    <m/>
    <m/>
    <m/>
    <m/>
    <m/>
    <m/>
  </r>
  <r>
    <x v="0"/>
    <d v="2022-07-07T00:00:00"/>
    <x v="6"/>
    <s v="6711000"/>
    <s v="Security Service"/>
    <s v="MW09C21028"/>
    <s v="Segurança Industrial"/>
    <n v="9557.0499999999993"/>
    <s v="SEGURANÇA PATRIMONIAL - BELFORD ROXO"/>
    <x v="0"/>
    <s v=""/>
    <s v="660500557"/>
    <s v="4008342156"/>
    <s v="GNLUA"/>
    <s v="1"/>
    <m/>
    <m/>
    <m/>
    <m/>
    <m/>
    <m/>
    <m/>
    <m/>
  </r>
  <r>
    <x v="0"/>
    <d v="2022-07-19T00:00:00"/>
    <x v="6"/>
    <s v="6420000"/>
    <s v="Transports"/>
    <s v="MW09C21028"/>
    <s v="Segurança Industrial"/>
    <n v="5453.12"/>
    <s v="Valor do documento NF 439"/>
    <x v="0"/>
    <s v=""/>
    <s v=""/>
    <s v="4008383911"/>
    <s v="GNLUA"/>
    <s v="1"/>
    <m/>
    <m/>
    <m/>
    <m/>
    <m/>
    <m/>
    <m/>
    <m/>
  </r>
  <r>
    <x v="0"/>
    <d v="2022-07-28T00:00:00"/>
    <x v="6"/>
    <s v="6711000"/>
    <s v="Security Service"/>
    <s v="MW09C21028"/>
    <s v="Segurança Industrial"/>
    <n v="2287.38"/>
    <s v="Valor Security Service ref  Docto Nr  440"/>
    <x v="0"/>
    <s v=""/>
    <s v=""/>
    <s v="4008401423"/>
    <s v="GNEDA"/>
    <s v="1"/>
    <m/>
    <m/>
    <m/>
    <m/>
    <m/>
    <m/>
    <m/>
    <m/>
  </r>
  <r>
    <x v="0"/>
    <d v="2022-08-08T00:00:00"/>
    <x v="7"/>
    <s v="6711000"/>
    <s v="Security Service"/>
    <s v="MW09C21028"/>
    <s v="Segurança Industrial"/>
    <n v="9557.0499999999993"/>
    <s v="Valor Security Service ref  Docto Nr  441"/>
    <x v="0"/>
    <s v=""/>
    <s v="660515476"/>
    <s v="4008422564"/>
    <s v="GNLUA"/>
    <s v="1"/>
    <m/>
    <m/>
    <m/>
    <m/>
    <m/>
    <m/>
    <m/>
    <m/>
  </r>
  <r>
    <x v="0"/>
    <d v="2022-09-13T00:00:00"/>
    <x v="8"/>
    <s v="6711000"/>
    <s v="Security Service"/>
    <s v="MW09C21028"/>
    <s v="Segurança Industrial"/>
    <n v="9557.0499999999993"/>
    <s v="SEGURANÇA PATRIMONIAL - BELFORD ROXO"/>
    <x v="0"/>
    <s v=""/>
    <s v="660532976"/>
    <s v="4008495809"/>
    <s v="GNLUA"/>
    <s v="1"/>
    <m/>
    <m/>
    <m/>
    <m/>
    <m/>
    <m/>
    <m/>
    <m/>
  </r>
  <r>
    <x v="0"/>
    <d v="2022-10-10T00:00:00"/>
    <x v="9"/>
    <s v="6711000"/>
    <s v="Security Service"/>
    <s v="MW09C21028"/>
    <s v="Segurança Industrial"/>
    <n v="9557.0499999999993"/>
    <s v="SEGURANÇA PATRIMONIAL - BELFORD ROXO"/>
    <x v="0"/>
    <s v=""/>
    <s v="660540609"/>
    <s v="4008579599"/>
    <s v="GMGNH"/>
    <s v="1"/>
    <m/>
    <m/>
    <m/>
    <m/>
    <m/>
    <m/>
    <m/>
    <m/>
  </r>
  <r>
    <x v="0"/>
    <d v="2022-10-31T00:00:00"/>
    <x v="9"/>
    <s v="6711000"/>
    <s v="Security Service"/>
    <s v="MW09C21028"/>
    <s v="Segurança Industrial"/>
    <n v="3885.83"/>
    <s v="Valor Security Service ref  Docto Nr  454"/>
    <x v="0"/>
    <s v=""/>
    <s v=""/>
    <s v="4008633962"/>
    <s v="GMGNH"/>
    <s v="1"/>
    <m/>
    <m/>
    <m/>
    <m/>
    <m/>
    <m/>
    <m/>
    <m/>
  </r>
  <r>
    <x v="0"/>
    <d v="2022-11-11T00:00:00"/>
    <x v="10"/>
    <s v="6711000"/>
    <s v="Security Service"/>
    <s v="MW09C21028"/>
    <s v="Segurança Industrial"/>
    <n v="9557.0499999999993"/>
    <s v="Valor Security Service ref  Docto Nr  464"/>
    <x v="0"/>
    <s v=""/>
    <s v="660564444"/>
    <s v="4008664168"/>
    <s v="GNEDA"/>
    <s v="1"/>
    <m/>
    <m/>
    <m/>
    <m/>
    <m/>
    <m/>
    <m/>
    <m/>
  </r>
  <r>
    <x v="0"/>
    <d v="2022-12-15T00:00:00"/>
    <x v="11"/>
    <s v="6711000"/>
    <s v="Security Service"/>
    <s v="MW09C21028"/>
    <s v="Segurança Industrial"/>
    <n v="9557.0499999999993"/>
    <s v="Valor Security Service ref  Docto Nr  470"/>
    <x v="0"/>
    <m/>
    <s v="660581612"/>
    <s v="4008763157"/>
    <s v="GNLUA"/>
    <s v="1"/>
    <n v="44902"/>
    <s v="5107909178"/>
    <n v="44910"/>
    <s v="13122226300374"/>
    <m/>
    <m/>
    <m/>
    <m/>
  </r>
  <r>
    <x v="0"/>
    <d v="2022-12-21T00:00:00"/>
    <x v="11"/>
    <s v="6711000"/>
    <s v="Security Service"/>
    <s v="MW09C21028"/>
    <s v="Segurança Industrial"/>
    <n v="9557.0499999999993"/>
    <s v="Valor Security Service ref  Docto Nr  464"/>
    <x v="0"/>
    <m/>
    <s v="660564444"/>
    <s v="4008771633"/>
    <s v="GNEDA"/>
    <s v="1"/>
    <n v="44872"/>
    <s v="5107934922"/>
    <n v="44916"/>
    <s v="09112226301185"/>
    <m/>
    <m/>
    <m/>
    <m/>
  </r>
  <r>
    <x v="0"/>
    <d v="2022-12-21T00:00:00"/>
    <x v="11"/>
    <s v="6711000"/>
    <s v="Security Service"/>
    <s v="MW09C21028"/>
    <s v="Segurança Industrial"/>
    <n v="-9557.0499999999993"/>
    <s v="SEGURANÇA PATRIMONIAL - BELFORD ROXO"/>
    <x v="0"/>
    <m/>
    <s v="660564444"/>
    <s v="4008771631"/>
    <s v="GNEDA"/>
    <s v="1"/>
    <n v="44872"/>
    <s v="5107934921"/>
    <n v="44916"/>
    <s v="09112226301185"/>
    <m/>
    <m/>
    <m/>
    <m/>
  </r>
  <r>
    <x v="0"/>
    <d v="2022-12-28T00:00:00"/>
    <x v="11"/>
    <s v="6711000"/>
    <s v="Security Service"/>
    <s v="MW09C21028"/>
    <s v="Segurança Industrial"/>
    <n v="1311.48"/>
    <s v="Valor Security Service ref  Docto Nr  477"/>
    <x v="0"/>
    <m/>
    <s v=""/>
    <s v="4008775172"/>
    <s v="GEMKD"/>
    <s v="1"/>
    <n v="44914"/>
    <s v="4640012534"/>
    <n v="44923"/>
    <s v="23122226303965"/>
    <m/>
    <m/>
    <m/>
    <m/>
  </r>
  <r>
    <x v="1"/>
    <d v="2023-01-13T00:00:00"/>
    <x v="0"/>
    <s v="6711000"/>
    <s v="Security Service"/>
    <s v="MW09C21028"/>
    <s v="Segurança Industrial"/>
    <n v="9557.0499999999993"/>
    <s v="Valor Security Service ref  Docto Nr  486"/>
    <x v="0"/>
    <m/>
    <s v="660595079"/>
    <s v="4008803477"/>
    <s v="GNEPP"/>
    <s v="1"/>
    <n v="44937"/>
    <s v="5108014908"/>
    <n v="44939"/>
    <s v=""/>
    <m/>
    <m/>
    <m/>
    <m/>
  </r>
  <r>
    <x v="1"/>
    <d v="2023-02-16T00:00:00"/>
    <x v="1"/>
    <s v="6711000"/>
    <s v="Security Service"/>
    <s v="MW09C21028"/>
    <s v="Segurança Industrial"/>
    <n v="9557.0499999999993"/>
    <s v="Valor Security Service ref  Docto Nr  491"/>
    <x v="0"/>
    <m/>
    <s v="660611344"/>
    <s v="4008883788"/>
    <s v="GEMKD"/>
    <s v="1"/>
    <n v="44966"/>
    <s v="5108158785"/>
    <n v="44973"/>
    <s v="13022326300501"/>
    <m/>
    <m/>
    <m/>
    <m/>
  </r>
  <r>
    <x v="1"/>
    <d v="2023-02-16T00:00:00"/>
    <x v="1"/>
    <s v="6711000"/>
    <s v="Security Service"/>
    <s v="MW09C21028"/>
    <s v="Segurança Industrial"/>
    <n v="889.46"/>
    <s v="Valor Security Service ref  Docto Nr  475"/>
    <x v="0"/>
    <m/>
    <s v=""/>
    <s v="4008883790"/>
    <s v="GLRPT"/>
    <s v="2"/>
    <n v="44909"/>
    <s v="4640001387"/>
    <n v="44973"/>
    <s v="14022326300705"/>
    <m/>
    <m/>
    <m/>
    <m/>
  </r>
  <r>
    <x v="1"/>
    <d v="2023-02-16T00:00:00"/>
    <x v="1"/>
    <s v="6711000"/>
    <s v="Security Service"/>
    <s v="MW09C21028"/>
    <s v="Segurança Industrial"/>
    <n v="36.11"/>
    <s v="Valor Security Service ref  Docto Nr  476"/>
    <x v="0"/>
    <m/>
    <s v=""/>
    <s v="4008883804"/>
    <s v="GLRPT"/>
    <s v="4"/>
    <n v="44909"/>
    <s v="4640001392"/>
    <n v="44973"/>
    <s v="14022326300683"/>
    <m/>
    <m/>
    <m/>
    <m/>
  </r>
  <r>
    <x v="1"/>
    <d v="2023-03-22T00:00:00"/>
    <x v="2"/>
    <s v="6711000"/>
    <s v="Security Service"/>
    <s v="MW09C21028"/>
    <s v="Segurança Industrial"/>
    <n v="9557.0499999999993"/>
    <s v="Valor Security Service ref  Docto Nr  506"/>
    <x v="0"/>
    <m/>
    <s v="660628674"/>
    <s v="4008940368"/>
    <s v="GEMKD"/>
    <s v="1"/>
    <d v="2023-03-14T00:00:00"/>
    <s v="5108290119"/>
    <d v="2023-03-22T00:00:00"/>
    <s v="17032326300271"/>
    <m/>
    <m/>
    <m/>
    <m/>
  </r>
  <r>
    <x v="1"/>
    <d v="2023-03-27T00:00:00"/>
    <x v="2"/>
    <s v="6711000"/>
    <s v="Security Service"/>
    <s v="MW09C21028"/>
    <s v="Segurança Industrial"/>
    <n v="5031.28"/>
    <s v="Valor Security Service ref  Docto Nr  508"/>
    <x v="0"/>
    <m/>
    <s v=""/>
    <s v="4008946263"/>
    <s v="GEMKD"/>
    <s v="1"/>
    <d v="2023-03-14T00:00:00"/>
    <s v="4640002491"/>
    <d v="2023-03-27T00:00:00"/>
    <s v="17032326300190"/>
    <m/>
    <m/>
    <m/>
    <m/>
  </r>
  <r>
    <x v="1"/>
    <d v="2023-03-21T00:00:00"/>
    <x v="2"/>
    <s v="6711000"/>
    <s v="Security Service"/>
    <s v="MW09C21028"/>
    <s v="Segurança Industrial"/>
    <n v="1717.3"/>
    <s v="Valor Security Service ref  Docto Nr  507"/>
    <x v="0"/>
    <m/>
    <s v=""/>
    <s v="4008938846"/>
    <s v="GEMKD"/>
    <s v="2"/>
    <d v="2023-03-14T00:00:00"/>
    <s v="4640002326"/>
    <d v="2023-03-21T00:00:00"/>
    <s v="17032326300441"/>
    <m/>
    <m/>
    <m/>
    <m/>
  </r>
  <r>
    <x v="1"/>
    <d v="2023-03-21T00:00:00"/>
    <x v="2"/>
    <s v="6711000"/>
    <s v="Security Service"/>
    <s v="MW09C21028"/>
    <s v="Segurança Industrial"/>
    <n v="844.66"/>
    <s v="Valor Security Service ref  Docto Nr  507"/>
    <x v="0"/>
    <m/>
    <s v=""/>
    <s v="4008938846"/>
    <s v="GEMKD"/>
    <s v="3"/>
    <d v="2023-03-14T00:00:00"/>
    <s v="4640002326"/>
    <d v="2023-03-21T00:00:00"/>
    <s v="17032326300441"/>
    <m/>
    <m/>
    <m/>
    <m/>
  </r>
  <r>
    <x v="1"/>
    <d v="2023-04-27T00:00:00"/>
    <x v="3"/>
    <s v="6711000"/>
    <s v="Security Service"/>
    <s v="MW09C21028"/>
    <s v="Segurança Industrial"/>
    <n v="9557.0499999999993"/>
    <s v="Valor Security Service ref  Docto Nr  517"/>
    <x v="0"/>
    <m/>
    <s v="660646393"/>
    <s v="4008983034"/>
    <s v="GEMKD"/>
    <s v="1"/>
    <n v="45041"/>
    <s v="5108427796"/>
    <n v="45043"/>
    <s v="25042326300725"/>
    <m/>
    <m/>
    <m/>
    <m/>
  </r>
  <r>
    <x v="1"/>
    <d v="2023-05-22T00:00:00"/>
    <x v="4"/>
    <s v="6711000"/>
    <s v="Security Service"/>
    <s v="MW09C21028"/>
    <s v="Segurança Industrial"/>
    <n v="9557.0499999999993"/>
    <s v="Valor Security Service ref  Docto Nr  523"/>
    <x v="0"/>
    <m/>
    <s v="660665208"/>
    <s v="4009005049"/>
    <s v="GEMKD"/>
    <s v="1"/>
    <n v="45061"/>
    <s v="5108506806"/>
    <n v="45068"/>
    <s v="17052326300464"/>
    <s v="SEGURANÇA PATRIMONIAL - BELFORD ROXO"/>
    <m/>
    <m/>
    <m/>
  </r>
  <r>
    <x v="1"/>
    <d v="2023-05-29T00:00:00"/>
    <x v="4"/>
    <s v="6711000"/>
    <s v="Security Service"/>
    <s v="MW09C21028"/>
    <s v="Segurança Industrial"/>
    <n v="4795.29"/>
    <s v="Valor Security Service ref  Docto Nr  524"/>
    <x v="0"/>
    <m/>
    <s v=""/>
    <s v="4009007465"/>
    <s v="GEMKD"/>
    <s v="1"/>
    <n v="45061"/>
    <s v="4640004372"/>
    <n v="45075"/>
    <s v="17052326300278"/>
    <s v=""/>
    <m/>
    <m/>
    <m/>
  </r>
  <r>
    <x v="1"/>
    <d v="2023-06-16T00:00:00"/>
    <x v="5"/>
    <s v="6711000"/>
    <s v="Security Service"/>
    <s v="MW09C21028"/>
    <s v="Segurança Industrial"/>
    <n v="10207.89"/>
    <s v="Valor Security Service ref  Docto Nr  534"/>
    <x v="0"/>
    <m/>
    <s v="660676959"/>
    <s v="4009020272"/>
    <s v="GEMKD"/>
    <s v="1"/>
    <d v="2023-06-06T00:00:00"/>
    <s v="5108584698"/>
    <d v="2023-06-16T00:00:00"/>
    <s v="13062326300903"/>
    <s v="SEGURANÇA PATRIMONIAL - BELFORD ROXO"/>
    <m/>
    <m/>
    <m/>
  </r>
  <r>
    <x v="1"/>
    <d v="2023-06-15T00:00:00"/>
    <x v="5"/>
    <s v="6711000"/>
    <s v="Security Service"/>
    <s v="MW09C21028"/>
    <s v="Segurança Industrial"/>
    <n v="6919.12"/>
    <s v="Valor Security Service ref  Docto Nr  535"/>
    <x v="0"/>
    <m/>
    <s v=""/>
    <s v="4009019246"/>
    <s v="GEMKD"/>
    <s v="1"/>
    <d v="2023-06-06T00:00:00"/>
    <s v="4640004738"/>
    <d v="2023-06-15T00:00:00"/>
    <s v="13062326300938"/>
    <s v=""/>
    <m/>
    <m/>
    <m/>
  </r>
  <r>
    <x v="1"/>
    <d v="2023-06-05T00:00:00"/>
    <x v="5"/>
    <s v="6711000"/>
    <s v="Security Service"/>
    <s v="MW09C21028"/>
    <s v="Segurança Industrial"/>
    <n v="3446.5"/>
    <s v="Valor Security Service ref  Docto Nr  516"/>
    <x v="0"/>
    <m/>
    <s v=""/>
    <s v="4009011093"/>
    <s v="GEMKD"/>
    <s v="3"/>
    <d v="2023-04-25T00:00:00"/>
    <s v="4640004521"/>
    <d v="2023-06-05T00:00:00"/>
    <s v="25042326300709"/>
    <s v=""/>
    <m/>
    <m/>
    <m/>
  </r>
  <r>
    <x v="1"/>
    <d v="2023-06-12T00:00:00"/>
    <x v="5"/>
    <s v="6711000"/>
    <s v="Security Service"/>
    <s v="MW09C21028"/>
    <s v="Segurança Industrial"/>
    <n v="2603.36"/>
    <s v="Valor Security Service ref  Docto Nr  527"/>
    <x v="0"/>
    <m/>
    <s v=""/>
    <s v="4009016508"/>
    <s v="GEMKD"/>
    <s v="1"/>
    <d v="2023-06-01T00:00:00"/>
    <s v="4640004603"/>
    <d v="2023-06-12T00:00:00"/>
    <s v="05062326300520"/>
    <s v=""/>
    <m/>
    <m/>
    <m/>
  </r>
  <r>
    <x v="1"/>
    <d v="2023-06-05T00:00:00"/>
    <x v="5"/>
    <s v="6711000"/>
    <s v="Security Service"/>
    <s v="MW09C20011"/>
    <s v="Site logistics"/>
    <n v="1335.18"/>
    <s v="Valor Security Service ref  Docto Nr  516"/>
    <x v="0"/>
    <m/>
    <s v=""/>
    <s v="4009011093"/>
    <s v="GEMKD"/>
    <s v="2"/>
    <d v="2023-04-25T00:00:00"/>
    <s v="4640004521"/>
    <d v="2023-06-05T00:00:00"/>
    <s v="25042326300709"/>
    <s v=""/>
    <m/>
    <m/>
    <m/>
  </r>
  <r>
    <x v="1"/>
    <d v="2023-06-05T00:00:00"/>
    <x v="5"/>
    <s v="6711000"/>
    <s v="Security Service"/>
    <s v="MW09C20000"/>
    <s v="Manag. of Ind. Oper."/>
    <n v="645.88"/>
    <s v="Valor Security Service ref  Docto Nr  516"/>
    <x v="0"/>
    <m/>
    <s v=""/>
    <s v="4009011093"/>
    <s v="GEMKD"/>
    <s v="1"/>
    <d v="2023-04-25T00:00:00"/>
    <s v="4640004521"/>
    <d v="2023-06-05T00:00:00"/>
    <s v="25042326300709"/>
    <s v=""/>
    <m/>
    <m/>
    <m/>
  </r>
  <r>
    <x v="1"/>
    <d v="2023-07-19T00:00:00"/>
    <x v="6"/>
    <s v="6711000"/>
    <s v="Security Service"/>
    <s v="MW09C21028"/>
    <s v="Segurança Industrial"/>
    <n v="612.36"/>
    <s v="Valor Security Service ref  Docto Nr  541"/>
    <x v="0"/>
    <m/>
    <s v=""/>
    <s v="4009049411"/>
    <s v="GEMKD"/>
    <s v="1"/>
    <d v="2023-07-13T00:00:00"/>
    <s v="4640005961"/>
    <d v="2023-07-19T00:00:00"/>
    <s v="18072326301159"/>
    <s v=""/>
    <m/>
    <m/>
    <m/>
  </r>
  <r>
    <x v="1"/>
    <d v="2023-07-21T00:00:00"/>
    <x v="6"/>
    <s v="6711000"/>
    <s v="Security Service"/>
    <s v="MW09C21028"/>
    <s v="Segurança Industrial"/>
    <n v="10207.879999999999"/>
    <s v="Valor Security Service ref  Docto Nr  540"/>
    <x v="0"/>
    <m/>
    <s v="660693380"/>
    <s v="4009050992"/>
    <s v="GEMKD"/>
    <s v="1"/>
    <d v="2023-07-12T00:00:00"/>
    <s v="5108687652"/>
    <d v="2023-07-21T00:00:00"/>
    <s v="18072326301060"/>
    <s v="SEGURANÇA PATRIMONIAL - BELFORD ROXO"/>
    <m/>
    <m/>
    <m/>
  </r>
  <r>
    <x v="1"/>
    <d v="2023-07-26T00:00:00"/>
    <x v="6"/>
    <s v="6711000"/>
    <s v="Security Service"/>
    <s v="MW09C21028"/>
    <s v="Segurança Industrial"/>
    <n v="3584.52"/>
    <s v="Valor Security Service ref  Docto Nr  542"/>
    <x v="0"/>
    <m/>
    <s v=""/>
    <s v="4009057242"/>
    <s v="GLRPT"/>
    <s v="1"/>
    <d v="2023-07-13T00:00:00"/>
    <s v="4640006157"/>
    <d v="2023-07-26T00:00:00"/>
    <s v="18072326301116"/>
    <s v=""/>
    <m/>
    <m/>
    <m/>
  </r>
  <r>
    <x v="1"/>
    <d v="2023-08-14T00:00:00"/>
    <x v="7"/>
    <s v="6711000"/>
    <s v="Security Service"/>
    <s v="MW09C21028"/>
    <s v="Segurança Industrial"/>
    <n v="10207.879999999999"/>
    <s v="Valor Security Service ref  Docto Nr  548"/>
    <x v="0"/>
    <m/>
    <s v="660705110"/>
    <s v="4009079159"/>
    <s v="GEMKD"/>
    <s v="1"/>
    <d v="2023-08-07T00:00:00"/>
    <s v="5108751476"/>
    <d v="2023-08-14T00:00:00"/>
    <s v="11082326300227"/>
    <s v="SEGURANÇA PATRIMONIAL - BELFORD ROXO"/>
    <n v="1"/>
    <s v=""/>
    <s v=""/>
  </r>
  <r>
    <x v="1"/>
    <d v="2023-08-15T00:00:00"/>
    <x v="7"/>
    <s v="6711000"/>
    <s v="Security Service"/>
    <s v="MW09C21028"/>
    <s v="Segurança Industrial"/>
    <n v="1991.98"/>
    <s v="Valor Security Service ref  Docto Nr  547"/>
    <x v="0"/>
    <m/>
    <s v=""/>
    <s v="4009080511"/>
    <s v="GEMKD"/>
    <s v="2"/>
    <d v="2023-08-07T00:00:00"/>
    <s v="4640006673"/>
    <d v="2023-08-15T00:00:00"/>
    <s v="11082326300170"/>
    <s v=""/>
    <n v="0"/>
    <s v=""/>
    <s v=""/>
  </r>
  <r>
    <x v="1"/>
    <d v="2023-09-11T00:00:00"/>
    <x v="8"/>
    <s v="6711000"/>
    <s v="Security Service"/>
    <s v="MW09C21028"/>
    <s v="Segurança Industrial"/>
    <n v="10207.879999999999"/>
    <s v="Valor Security Service ref  Docto Nr  549"/>
    <x v="0"/>
    <m/>
    <s v="660718063"/>
    <s v="4009112519"/>
    <s v="GEMKD"/>
    <s v="1"/>
    <d v="2023-09-05T00:00:00"/>
    <s v="5108834119"/>
    <d v="2023-09-11T00:00:00"/>
    <s v="06092326300273"/>
    <s v="SEGURANÇA PATRIMONIAL - BELFORD ROXO"/>
    <n v="1"/>
    <s v=""/>
    <s v=""/>
  </r>
  <r>
    <x v="1"/>
    <d v="2023-09-15T00:00:00"/>
    <x v="8"/>
    <s v="6711000"/>
    <s v="Security Service"/>
    <s v="MW09C20000"/>
    <s v="Manag. of Ind. Oper."/>
    <n v="995.82"/>
    <s v="Valor Security Service ref  Docto Nr  550"/>
    <x v="0"/>
    <m/>
    <s v=""/>
    <s v="4009117729"/>
    <s v="GEMKD"/>
    <s v="1"/>
    <d v="2023-09-05T00:00:00"/>
    <s v="4640007539"/>
    <d v="2023-09-15T00:00:00"/>
    <s v="06092326300249"/>
    <s v=""/>
    <n v="0"/>
    <s v=""/>
    <s v=""/>
  </r>
  <r>
    <x v="1"/>
    <d v="2023-09-15T00:00:00"/>
    <x v="8"/>
    <s v="6711000"/>
    <s v="Security Service"/>
    <s v="MW09C20000"/>
    <s v="Manag. of Ind. Oper."/>
    <n v="413.1"/>
    <s v="Valor Security Service ref  Docto Nr  550"/>
    <x v="0"/>
    <m/>
    <s v=""/>
    <s v="4009117729"/>
    <s v="GEMKD"/>
    <s v="2"/>
    <d v="2023-09-05T00:00:00"/>
    <s v="4640007539"/>
    <d v="2023-09-15T00:00:00"/>
    <s v="06092326300249"/>
    <s v=""/>
    <n v="0"/>
    <s v=""/>
    <s v=""/>
  </r>
  <r>
    <x v="1"/>
    <d v="2023-10-16T00:00:00"/>
    <x v="9"/>
    <s v="6711000"/>
    <s v="Security Service"/>
    <s v="MW09C21028"/>
    <s v="Segurança Industrial"/>
    <n v="10207.879999999999"/>
    <s v="Valor Security Service ref  Docto Nr  561"/>
    <x v="0"/>
    <m/>
    <s v="660732945"/>
    <s v="4009155220"/>
    <s v="GEMKD"/>
    <s v="1"/>
    <d v="2023-10-09T00:00:00"/>
    <s v="5108962725"/>
    <d v="2023-10-16T00:00:00"/>
    <s v="10102326300238"/>
    <s v="SEGURANÇA PATRIMONIAL - BELFORD ROXO"/>
    <n v="1"/>
    <s v=""/>
    <s v=""/>
  </r>
  <r>
    <x v="1"/>
    <d v="2023-10-16T00:00:00"/>
    <x v="9"/>
    <s v="6711000"/>
    <s v="Security Service"/>
    <s v="MW09C20000"/>
    <s v="Manag. of Ind. Oper."/>
    <n v="720.49"/>
    <s v="Valor Security Service ref  Docto Nr  562"/>
    <x v="0"/>
    <m/>
    <s v=""/>
    <s v="4009155111"/>
    <s v="GEMKD"/>
    <s v="1"/>
    <d v="2023-10-09T00:00:00"/>
    <s v="4640008299"/>
    <d v="2023-10-16T00:00:00"/>
    <s v="10102326300270"/>
    <s v=""/>
    <n v="0"/>
    <s v=""/>
    <s v=""/>
  </r>
  <r>
    <x v="1"/>
    <d v="2023-10-16T00:00:00"/>
    <x v="9"/>
    <s v="6711000"/>
    <s v="Security Service"/>
    <s v="MW09C21028"/>
    <s v="Segurança Industrial"/>
    <n v="352.24"/>
    <s v="Valor Security Service ref  Docto Nr  562"/>
    <x v="0"/>
    <m/>
    <s v=""/>
    <s v="4009155111"/>
    <s v="GEMKD"/>
    <s v="3"/>
    <d v="2023-10-09T00:00:00"/>
    <s v="4640008299"/>
    <d v="2023-10-16T00:00:00"/>
    <s v="10102326300270"/>
    <s v=""/>
    <n v="0"/>
    <s v=""/>
    <s v=""/>
  </r>
  <r>
    <x v="1"/>
    <d v="2023-11-13T00:00:00"/>
    <x v="10"/>
    <s v="6711000"/>
    <s v="Security Service"/>
    <s v="MW09C21028"/>
    <s v="Segurança Industrial"/>
    <n v="10207.879999999999"/>
    <s v="Valor Security Service ref  Docto Nr  564"/>
    <x v="0"/>
    <m/>
    <s v="660745187"/>
    <s v="4009189135"/>
    <s v="GMGNH"/>
    <s v="1"/>
    <d v="2023-11-06T00:00:00"/>
    <s v="5109067971"/>
    <d v="2023-11-13T00:00:00"/>
    <s v="09112326300663"/>
    <s v="SEGURANÇA PATRIMONIAL - BELFORD ROXO"/>
    <n v="1"/>
    <s v=""/>
    <s v=""/>
  </r>
  <r>
    <x v="1"/>
    <d v="2023-11-13T00:00:00"/>
    <x v="10"/>
    <s v="6711000"/>
    <s v="Security Service"/>
    <s v="MW09C20000"/>
    <s v="Manag. of Ind. Oper."/>
    <n v="3508.08"/>
    <s v="Valor Security Service ref  Docto Nr  563"/>
    <x v="0"/>
    <m/>
    <s v=""/>
    <s v="4009189060"/>
    <s v="GEMKD"/>
    <s v="2"/>
    <d v="2023-11-06T00:00:00"/>
    <s v="4640009175"/>
    <d v="2023-11-13T00:00:00"/>
    <s v="09112326300515"/>
    <s v=""/>
    <n v="0"/>
    <s v=""/>
    <s v=""/>
  </r>
  <r>
    <x v="1"/>
    <d v="2023-11-13T00:00:00"/>
    <x v="10"/>
    <s v="6711000"/>
    <s v="Security Service"/>
    <s v="MW09C21028"/>
    <s v="Segurança Industrial"/>
    <n v="151.12"/>
    <s v="Valor Security Service ref  Docto Nr  563"/>
    <x v="0"/>
    <m/>
    <s v=""/>
    <s v="4009189060"/>
    <s v="GEMKD"/>
    <s v="1"/>
    <d v="2023-11-06T00:00:00"/>
    <s v="4640009175"/>
    <d v="2023-11-13T00:00:00"/>
    <s v="09112326300515"/>
    <s v=""/>
    <n v="0"/>
    <s v=""/>
    <s v=""/>
  </r>
  <r>
    <x v="1"/>
    <d v="2023-12-08T00:00:00"/>
    <x v="11"/>
    <s v="6711000"/>
    <s v="Security Service"/>
    <s v="MW09C21028"/>
    <s v="Segurança Industrial"/>
    <n v="10207.879999999999"/>
    <s v="Valor Security Service ref  Docto Nr  569"/>
    <x v="0"/>
    <m/>
    <s v="660759605"/>
    <s v="4009226490"/>
    <s v="GNEPP"/>
    <s v="1"/>
    <d v="2023-12-04T00:00:00"/>
    <s v="5109165059"/>
    <d v="2023-12-08T00:00:00"/>
    <s v="06122326301183"/>
    <s v="SEGURANÇA PATRIMONIAL - BELFORD ROXO"/>
    <n v="1"/>
    <s v=""/>
    <s v=""/>
  </r>
  <r>
    <x v="1"/>
    <d v="2023-12-08T00:00:00"/>
    <x v="11"/>
    <s v="6711000"/>
    <s v="Security Service"/>
    <s v="MW09C20000"/>
    <s v="Manag. of Ind. Oper."/>
    <n v="3886.58"/>
    <s v="Valor Security Service ref  Docto Nr  570"/>
    <x v="0"/>
    <m/>
    <s v=""/>
    <s v="4009226415"/>
    <s v="GEMKD"/>
    <s v="5"/>
    <d v="2023-12-04T00:00:00"/>
    <s v="4640010594"/>
    <d v="2023-12-08T00:00:00"/>
    <s v="06122326301175"/>
    <s v=""/>
    <n v="0"/>
    <s v=""/>
    <s v=""/>
  </r>
  <r>
    <x v="1"/>
    <d v="2023-12-08T00:00:00"/>
    <x v="11"/>
    <s v="6711000"/>
    <s v="Security Service"/>
    <s v="MW09C20000"/>
    <s v="Manag. of Ind. Oper."/>
    <n v="2736.97"/>
    <s v="Valor Security Service ref  Docto Nr  570"/>
    <x v="0"/>
    <m/>
    <s v=""/>
    <s v="4009226415"/>
    <s v="GEMKD"/>
    <s v="1"/>
    <d v="2023-12-04T00:00:00"/>
    <s v="4640010594"/>
    <d v="2023-12-08T00:00:00"/>
    <s v="06122326301175"/>
    <s v=""/>
    <n v="0"/>
    <s v=""/>
    <s v=""/>
  </r>
  <r>
    <x v="1"/>
    <d v="2023-12-08T00:00:00"/>
    <x v="11"/>
    <s v="6711000"/>
    <s v="Security Service"/>
    <s v="MW09C21501"/>
    <s v="Saúde Ocupacional"/>
    <n v="2125.34"/>
    <s v="Valor Security Service ref  Docto Nr  570"/>
    <x v="0"/>
    <m/>
    <s v=""/>
    <s v="4009226415"/>
    <s v="GEMKD"/>
    <s v="4"/>
    <d v="2023-12-04T00:00:00"/>
    <s v="4640010594"/>
    <d v="2023-12-08T00:00:00"/>
    <s v="06122326301175"/>
    <s v=""/>
    <n v="0"/>
    <s v=""/>
    <s v=""/>
  </r>
  <r>
    <x v="1"/>
    <d v="2023-12-08T00:00:00"/>
    <x v="11"/>
    <s v="6711000"/>
    <s v="Security Service"/>
    <s v="MW09C20000"/>
    <s v="Manag. of Ind. Oper."/>
    <n v="324.22000000000003"/>
    <s v="Valor Security Service ref  Docto Nr  570"/>
    <x v="0"/>
    <m/>
    <s v=""/>
    <s v="4009226415"/>
    <s v="GEMKD"/>
    <s v="2"/>
    <d v="2023-12-04T00:00:00"/>
    <s v="4640010594"/>
    <d v="2023-12-08T00:00:00"/>
    <s v="06122326301175"/>
    <s v=""/>
    <n v="0"/>
    <s v=""/>
    <s v=""/>
  </r>
  <r>
    <x v="1"/>
    <d v="2023-12-08T00:00:00"/>
    <x v="11"/>
    <s v="6711000"/>
    <s v="Security Service"/>
    <s v="MW09C21028"/>
    <s v="Segurança Industrial"/>
    <n v="32.729999999999997"/>
    <s v="Valor Security Service ref  Docto Nr  570"/>
    <x v="0"/>
    <m/>
    <s v=""/>
    <s v="4009226415"/>
    <s v="GEMKD"/>
    <s v="3"/>
    <d v="2023-12-04T00:00:00"/>
    <s v="4640010594"/>
    <d v="2023-12-08T00:00:00"/>
    <s v="06122326301175"/>
    <s v=""/>
    <n v="0"/>
    <s v=""/>
    <s v=""/>
  </r>
  <r>
    <x v="2"/>
    <d v="2024-01-17T00:00:00"/>
    <x v="0"/>
    <s v="6711000"/>
    <s v="Security Service"/>
    <s v="MW09C21028"/>
    <s v="Segurança Industrial"/>
    <n v="10207.879999999999"/>
    <s v="Valor Security Service ref  Docto Nr  587"/>
    <x v="0"/>
    <m/>
    <s v="660774027"/>
    <s v="4009253597"/>
    <s v="GEMKD"/>
    <s v="1"/>
    <d v="2024-01-16T00:00:00"/>
    <s v="5109301536"/>
    <d v="2024-01-17T00:00:00"/>
    <s v="16012426301094"/>
    <s v="SEGURANÇA PATRIMONIAL - BELFORD ROXO"/>
    <n v="1"/>
    <s v=""/>
    <s v=""/>
  </r>
  <r>
    <x v="2"/>
    <d v="2024-01-24T00:00:00"/>
    <x v="0"/>
    <s v="6711000"/>
    <s v="Security Service"/>
    <s v="MW09C21028"/>
    <s v="Segurança Industrial"/>
    <n v="332.95"/>
    <s v="Valor Security Service ref  Docto Nr  586"/>
    <x v="0"/>
    <m/>
    <s v=""/>
    <s v="4009258925"/>
    <s v="GEMKD"/>
    <s v="3"/>
    <d v="2024-01-16T00:00:00"/>
    <s v="4640000561"/>
    <d v="2024-01-24T00:00:00"/>
    <s v="16012426301000"/>
    <s v=""/>
    <n v="0"/>
    <s v=""/>
    <s v=""/>
  </r>
  <r>
    <x v="2"/>
    <d v="2024-01-24T00:00:00"/>
    <x v="0"/>
    <s v="6711000"/>
    <s v="Security Service"/>
    <s v="MW09C20000"/>
    <s v="Manag. of Ind. Oper."/>
    <n v="2.96"/>
    <s v="Valor Security Service ref  Docto Nr  586"/>
    <x v="0"/>
    <m/>
    <s v=""/>
    <s v="4009258925"/>
    <s v="GEMKD"/>
    <s v="2"/>
    <d v="2024-01-16T00:00:00"/>
    <s v="4640000561"/>
    <d v="2024-01-24T00:00:00"/>
    <s v="16012426301000"/>
    <s v=""/>
    <n v="0"/>
    <s v=""/>
    <s v=""/>
  </r>
  <r>
    <x v="2"/>
    <d v="2024-02-21T00:00:00"/>
    <x v="1"/>
    <s v="6711000"/>
    <s v="Security Service"/>
    <s v="MW09C21028"/>
    <s v="Segurança Industrial"/>
    <n v="10207.879999999999"/>
    <s v="Valor Security Service ref  Docto Nr  592"/>
    <x v="0"/>
    <m/>
    <s v="660785825"/>
    <s v="4009283317"/>
    <s v="EFXNJ"/>
    <s v="1"/>
    <d v="2024-02-16T00:00:00"/>
    <s v="5109444801"/>
    <d v="2024-02-21T00:00:00"/>
    <s v="19022426300716"/>
    <s v="SEGURANÇA PATRIMONIAL - BELFORD ROXO"/>
    <n v="1"/>
    <s v=""/>
    <s v=""/>
  </r>
  <r>
    <x v="2"/>
    <d v="2024-03-07T00:00:00"/>
    <x v="2"/>
    <s v="6711000"/>
    <s v="Security Service"/>
    <s v="MW09C21028"/>
    <s v="Segurança Industrial"/>
    <n v="10207.879999999999"/>
    <s v="Valor Security Service ref  Docto Nr  593"/>
    <x v="0"/>
    <m/>
    <s v="660800576"/>
    <s v="4009295030"/>
    <s v="EFXNJ"/>
    <s v="1"/>
    <d v="2024-03-04T00:00:00"/>
    <s v="5109513362"/>
    <d v="2024-03-07T00:00:00"/>
    <s v="05032426301271"/>
    <s v="SEGURANÇA PATRIMONIAL - BELFORD ROXO"/>
    <n v="1"/>
    <s v=""/>
    <s v=""/>
  </r>
  <r>
    <x v="2"/>
    <d v="2024-03-07T00:00:00"/>
    <x v="2"/>
    <s v="6711000"/>
    <s v="Security Service"/>
    <s v="MW09C21028"/>
    <s v="Segurança Industrial"/>
    <n v="1169.6600000000001"/>
    <s v="Valor Security Service ref  Docto Nr  594"/>
    <x v="0"/>
    <m/>
    <s v=""/>
    <s v="4009295078"/>
    <s v="EFXNJ"/>
    <s v="1"/>
    <d v="2024-03-04T00:00:00"/>
    <s v="4640001795"/>
    <d v="2024-03-07T00:00:00"/>
    <s v="05032426301239"/>
    <s v=""/>
    <n v="0"/>
    <s v=""/>
    <s v=""/>
  </r>
  <r>
    <x v="2"/>
    <d v="2024-03-07T00:00:00"/>
    <x v="2"/>
    <s v="6711000"/>
    <s v="Security Service"/>
    <s v="MW09C20005"/>
    <s v="Engineering"/>
    <n v="742.29"/>
    <s v="Valor Security Service ref  Docto Nr  594"/>
    <x v="0"/>
    <m/>
    <s v=""/>
    <s v="4009295078"/>
    <s v="EFXNJ"/>
    <s v="2"/>
    <d v="2024-03-04T00:00:00"/>
    <s v="4640001795"/>
    <d v="2024-03-07T00:00:00"/>
    <s v="05032426301239"/>
    <s v=""/>
    <n v="0"/>
    <s v=""/>
    <s v=""/>
  </r>
  <r>
    <x v="2"/>
    <d v="2024-03-07T00:00:00"/>
    <x v="2"/>
    <s v="6711000"/>
    <s v="Security Service"/>
    <s v="MW09C20000"/>
    <s v="Manag. of Ind. Oper."/>
    <n v="337.4"/>
    <s v="Valor Security Service ref  Docto Nr  594"/>
    <x v="0"/>
    <m/>
    <s v=""/>
    <s v="4009295078"/>
    <s v="EFXNJ"/>
    <s v="3"/>
    <d v="2024-03-04T00:00:00"/>
    <s v="4640001795"/>
    <d v="2024-03-07T00:00:00"/>
    <s v="05032426301239"/>
    <s v=""/>
    <n v="0"/>
    <s v=""/>
    <s v=""/>
  </r>
  <r>
    <x v="2"/>
    <d v="2024-04-04T00:00:00"/>
    <x v="3"/>
    <s v="6711000"/>
    <s v="Security Service"/>
    <s v="MW09C20000"/>
    <s v="Manag. of Ind. Oper."/>
    <n v="436.69"/>
    <s v="Valor Security Service ref  Docto Nr  606"/>
    <x v="0"/>
    <m/>
    <s v=""/>
    <s v="4009319264"/>
    <s v="EFXNJ"/>
    <s v="1"/>
    <d v="2024-04-02T00:00:00"/>
    <s v="4640002610"/>
    <d v="2024-04-04T00:00:00"/>
    <s v="03042426301174"/>
    <s v=""/>
    <n v="0"/>
    <s v=""/>
    <s v=""/>
  </r>
  <r>
    <x v="2"/>
    <d v="2024-04-04T00:00:00"/>
    <x v="3"/>
    <s v="6711000"/>
    <s v="Security Service"/>
    <s v="MW09C21028"/>
    <s v="Segurança Industrial"/>
    <n v="10207.879999999999"/>
    <s v="Valor Security Service ref  Docto Nr  605"/>
    <x v="0"/>
    <m/>
    <s v="660814319"/>
    <s v="4009319249"/>
    <s v="EFXNJ"/>
    <s v="1"/>
    <d v="2024-04-02T00:00:00"/>
    <s v="5109628988"/>
    <d v="2024-04-04T00:00:00"/>
    <s v="03042426301131"/>
    <s v="SEGURANÇA PATRIMONIAL - BELFORD ROXO"/>
    <n v="1"/>
    <s v=""/>
    <s v=""/>
  </r>
  <r>
    <x v="2"/>
    <d v="2024-04-04T00:00:00"/>
    <x v="3"/>
    <s v="6711000"/>
    <s v="Security Service"/>
    <s v="MW09C21028"/>
    <s v="Segurança Industrial"/>
    <n v="133.69"/>
    <s v="Valor Security Service ref  Docto Nr  606"/>
    <x v="0"/>
    <m/>
    <s v=""/>
    <s v="4009319264"/>
    <s v="EFXNJ"/>
    <s v="2"/>
    <d v="2024-04-02T00:00:00"/>
    <s v="4640002610"/>
    <d v="2024-04-04T00:00:00"/>
    <s v="03042426301174"/>
    <s v=""/>
    <n v="0"/>
    <s v=""/>
    <s v=""/>
  </r>
  <r>
    <x v="2"/>
    <d v="2024-04-22T00:00:00"/>
    <x v="3"/>
    <s v="6711000"/>
    <s v="Security Service"/>
    <s v="MW09C21028"/>
    <s v="Segurança Industrial"/>
    <n v="1145.31"/>
    <s v="Valor Security Service ref  Docto Nr  613"/>
    <x v="0"/>
    <m/>
    <s v=""/>
    <s v="4009333723"/>
    <s v="GEMKD"/>
    <s v="1"/>
    <d v="2024-04-16T00:00:00"/>
    <s v="4640003126"/>
    <d v="2024-04-22T00:00:00"/>
    <s v="18042426300977"/>
    <s v=""/>
    <n v="0"/>
    <s v=""/>
    <s v=""/>
  </r>
  <r>
    <x v="2"/>
    <d v="2024-05-17T00:00:00"/>
    <x v="4"/>
    <s v="6711000"/>
    <s v="Security Service"/>
    <s v="MW09C20000"/>
    <s v="Manag. of Ind. Oper."/>
    <n v="2325.85"/>
    <s v="Valor Security Service ref  Docto Nr  615"/>
    <x v="0"/>
    <m/>
    <s v=""/>
    <s v="4009354606"/>
    <s v="GNEDA"/>
    <s v="2"/>
    <d v="2024-05-06T00:00:00"/>
    <s v="4640003730"/>
    <d v="2024-05-17T00:00:00"/>
    <s v="13052426302226"/>
    <s v=""/>
    <n v="0"/>
    <s v=""/>
    <s v=""/>
  </r>
  <r>
    <x v="2"/>
    <d v="2024-05-22T00:00:00"/>
    <x v="4"/>
    <s v="6711000"/>
    <s v="Security Service"/>
    <s v="MW09C20000"/>
    <s v="Manag. of Ind. Oper."/>
    <n v="93.67"/>
    <s v="Valor Security Service ref  Docto Nr  616"/>
    <x v="0"/>
    <m/>
    <s v=""/>
    <s v="4009358595"/>
    <s v="EFXNJ"/>
    <s v="1"/>
    <d v="2024-05-06T00:00:00"/>
    <s v="4640003896"/>
    <d v="2024-05-22T00:00:00"/>
    <s v="14052426300081"/>
    <s v=""/>
    <n v="0"/>
    <s v=""/>
    <s v=""/>
  </r>
  <r>
    <x v="2"/>
    <d v="2024-05-17T00:00:00"/>
    <x v="4"/>
    <s v="6711000"/>
    <s v="Security Service"/>
    <s v="MW09C21028"/>
    <s v="Segurança Industrial"/>
    <n v="10589.65"/>
    <s v="Valor Security Service ref  Docto Nr  614"/>
    <x v="0"/>
    <m/>
    <s v="660831894"/>
    <s v="4009354679"/>
    <s v="EFXNJ"/>
    <s v="1"/>
    <d v="2024-05-06T00:00:00"/>
    <s v="5109772654"/>
    <d v="2024-05-17T00:00:00"/>
    <s v="14052426300073"/>
    <s v="SEGURANÇA PATRIMONIAL - BELFORD ROXO"/>
    <n v="1"/>
    <s v=""/>
    <s v=""/>
  </r>
  <r>
    <x v="2"/>
    <d v="2024-05-22T00:00:00"/>
    <x v="4"/>
    <s v="6711000"/>
    <s v="Security Service"/>
    <s v="MW09C21028"/>
    <s v="Segurança Industrial"/>
    <n v="15.6"/>
    <s v="Valor Security Service ref  Docto Nr  616"/>
    <x v="0"/>
    <m/>
    <s v=""/>
    <s v="4009358595"/>
    <s v="EFXNJ"/>
    <s v="2"/>
    <d v="2024-05-06T00:00:00"/>
    <s v="4640003896"/>
    <d v="2024-05-22T00:00:00"/>
    <s v="14052426300081"/>
    <s v=""/>
    <n v="0"/>
    <s v=""/>
    <s v=""/>
  </r>
  <r>
    <x v="2"/>
    <d v="2024-06-14T00:00:00"/>
    <x v="5"/>
    <s v="6711000"/>
    <s v="Security Service"/>
    <s v="MW09C21028"/>
    <s v="Segurança Industrial"/>
    <n v="10589.65"/>
    <s v="Valor Security Service ref  Docto Nr  621"/>
    <x v="0"/>
    <m/>
    <s v="660846453"/>
    <s v="4009377597"/>
    <s v="EFXNJ"/>
    <s v="1"/>
    <d v="2024-06-07T00:00:00"/>
    <s v="5109862946"/>
    <d v="2024-06-14T00:00:00"/>
    <s v="07062426301746"/>
    <s v="SEGURANÇA PATRIMONIAL - BELFORD ROXO"/>
    <n v="1"/>
    <s v=""/>
    <s v=""/>
  </r>
  <r>
    <x v="2"/>
    <d v="2024-06-14T00:00:00"/>
    <x v="5"/>
    <s v="6711000"/>
    <s v="Security Service"/>
    <s v="MW09C20000"/>
    <s v="Manag. of Ind. Oper."/>
    <n v="29.9"/>
    <s v="Valor Security Service ref  Docto Nr  623"/>
    <x v="0"/>
    <m/>
    <s v=""/>
    <s v="4009378197"/>
    <s v="EFXNJ"/>
    <s v="3"/>
    <d v="2024-06-07T00:00:00"/>
    <s v="4640005028"/>
    <d v="2024-06-14T00:00:00"/>
    <s v="07062426301690"/>
    <s v=""/>
    <n v="0"/>
    <s v=""/>
    <s v=""/>
  </r>
  <r>
    <x v="2"/>
    <d v="2024-06-14T00:00:00"/>
    <x v="5"/>
    <s v="6711000"/>
    <s v="Security Service"/>
    <s v="MW09C20000"/>
    <s v="Manag. of Ind. Oper."/>
    <n v="113.16"/>
    <s v="Valor Security Service ref  Docto Nr  622"/>
    <x v="0"/>
    <m/>
    <s v=""/>
    <s v="4009378204"/>
    <s v="EFXNJ"/>
    <s v="2"/>
    <d v="2024-06-07T00:00:00"/>
    <s v="4640005031"/>
    <d v="2024-06-14T00:00:00"/>
    <s v="07062426301916"/>
    <s v=""/>
    <n v="0"/>
    <s v=""/>
    <s v=""/>
  </r>
  <r>
    <x v="2"/>
    <d v="2024-06-14T00:00:00"/>
    <x v="5"/>
    <s v="6711000"/>
    <s v="Security Service"/>
    <s v="MW09C21028"/>
    <s v="Segurança Industrial"/>
    <n v="54.56"/>
    <s v="Valor Security Service ref  Docto Nr  623"/>
    <x v="0"/>
    <m/>
    <s v=""/>
    <s v="4009378197"/>
    <s v="EFXNJ"/>
    <s v="2"/>
    <d v="2024-06-07T00:00:00"/>
    <s v="4640005028"/>
    <d v="2024-06-14T00:00:00"/>
    <s v="07062426301690"/>
    <s v=""/>
    <n v="0"/>
    <s v=""/>
    <s v=""/>
  </r>
  <r>
    <x v="2"/>
    <d v="2024-06-14T00:00:00"/>
    <x v="5"/>
    <s v="6711000"/>
    <s v="Security Service"/>
    <s v="MW09C21028"/>
    <s v="Segurança Industrial"/>
    <n v="264.05"/>
    <s v="Valor Security Service ref  Docto Nr  622"/>
    <x v="0"/>
    <m/>
    <s v=""/>
    <s v="4009378204"/>
    <s v="EFXNJ"/>
    <s v="1"/>
    <d v="2024-06-07T00:00:00"/>
    <s v="4640005031"/>
    <d v="2024-06-14T00:00:00"/>
    <s v="07062426301916"/>
    <s v=""/>
    <n v="0"/>
    <s v=""/>
    <s v=""/>
  </r>
  <r>
    <x v="2"/>
    <d v="2024-07-24T00:00:00"/>
    <x v="6"/>
    <s v="6711000"/>
    <s v="Security Service"/>
    <s v="MW09C21028"/>
    <s v="Segurança Industrial"/>
    <n v="10589.65"/>
    <s v="Valor Security Service ref  Docto Nr  633"/>
    <x v="0"/>
    <m/>
    <s v="660857258"/>
    <s v="4009418371"/>
    <s v="GNEDA"/>
    <s v="1"/>
    <d v="2024-07-05T00:00:00"/>
    <s v="5109986967"/>
    <d v="2024-07-24T00:00:00"/>
    <s v="05072431034358"/>
    <s v="SEGURANÇA PATRIMONIAL - BELFORD ROXO"/>
    <n v="1"/>
    <s v=""/>
    <s v=""/>
  </r>
  <r>
    <x v="2"/>
    <d v="2024-07-24T00:00:00"/>
    <x v="6"/>
    <s v="6711000"/>
    <s v="Security Service"/>
    <s v="MW09C20000"/>
    <s v="Manag. of Ind. Oper."/>
    <n v="413.54"/>
    <s v="Valor Security Service ref  Docto Nr  635"/>
    <x v="0"/>
    <m/>
    <s v=""/>
    <s v="4009418374"/>
    <s v="GNEDA"/>
    <s v="1"/>
    <d v="2024-07-05T00:00:00"/>
    <s v="4640006241"/>
    <d v="2024-07-24T00:00:00"/>
    <s v="05072431034366"/>
    <s v=""/>
    <n v="0"/>
    <s v=""/>
    <s v=""/>
  </r>
  <r>
    <x v="2"/>
    <d v="2024-07-24T00:00:00"/>
    <x v="6"/>
    <s v="6711000"/>
    <s v="Security Service"/>
    <s v="MW09C20005"/>
    <s v="Engineering"/>
    <n v="1068.31"/>
    <s v="Valor Security Service ref  Docto Nr  635"/>
    <x v="0"/>
    <m/>
    <s v=""/>
    <s v="4009418374"/>
    <s v="GNEDA"/>
    <s v="3"/>
    <d v="2024-07-05T00:00:00"/>
    <s v="4640006241"/>
    <d v="2024-07-24T00:00:00"/>
    <s v="05072431034366"/>
    <s v=""/>
    <n v="0"/>
    <s v=""/>
    <s v=""/>
  </r>
  <r>
    <x v="2"/>
    <d v="2024-07-26T00:00:00"/>
    <x v="6"/>
    <s v="6711000"/>
    <s v="Security Service"/>
    <s v="MW09C20000"/>
    <s v="Manag. of Ind. Oper."/>
    <n v="22.74"/>
    <s v="Valor Security Service ref  Docto Nr  636"/>
    <x v="0"/>
    <m/>
    <s v=""/>
    <s v="4009419703"/>
    <s v="GLRPT"/>
    <s v="2"/>
    <d v="2024-07-05T00:00:00"/>
    <s v="4640006309"/>
    <d v="2024-07-26T00:00:00"/>
    <s v="05072431034374"/>
    <s v=""/>
    <n v="0"/>
    <s v=""/>
    <s v=""/>
  </r>
  <r>
    <x v="2"/>
    <d v="2024-07-26T00:00:00"/>
    <x v="6"/>
    <s v="6711000"/>
    <s v="Security Service"/>
    <s v="MW09C21028"/>
    <s v="Segurança Industrial"/>
    <n v="35.53"/>
    <s v="Valor Security Service ref  Docto Nr  636"/>
    <x v="0"/>
    <m/>
    <s v=""/>
    <s v="4009419703"/>
    <s v="GLRPT"/>
    <s v="4"/>
    <d v="2024-07-05T00:00:00"/>
    <s v="4640006309"/>
    <d v="2024-07-26T00:00:00"/>
    <s v="05072431034374"/>
    <s v=""/>
    <n v="0"/>
    <s v=""/>
    <s v=""/>
  </r>
  <r>
    <x v="2"/>
    <d v="2024-07-26T00:00:00"/>
    <x v="6"/>
    <s v="6711000"/>
    <s v="Security Service"/>
    <s v="MW09C21028"/>
    <s v="Segurança Industrial"/>
    <n v="5.67"/>
    <s v="Valor Security Service ref  Docto Nr  636"/>
    <x v="0"/>
    <m/>
    <s v=""/>
    <s v="4009419703"/>
    <s v="GLRPT"/>
    <s v="5"/>
    <d v="2024-07-05T00:00:00"/>
    <s v="4640006309"/>
    <d v="2024-07-26T00:00:00"/>
    <s v="05072431034374"/>
    <s v=""/>
    <n v="0"/>
    <s v=""/>
    <s v=""/>
  </r>
  <r>
    <x v="2"/>
    <d v="2024-09-06T00:00:00"/>
    <x v="8"/>
    <s v="6711000"/>
    <s v="Security Service"/>
    <s v="MW09C21028"/>
    <s v="Segurança Industrial"/>
    <n v="119.34"/>
    <s v="Valor Security Service ref  Docto Nr  639"/>
    <x v="0"/>
    <m/>
    <s v=""/>
    <s v="4009475233"/>
    <s v="GNEDA"/>
    <s v="1"/>
    <d v="2024-08-03T00:00:00"/>
    <s v="4640007424"/>
    <d v="2024-09-06T00:00:00"/>
    <s v="05082431032633"/>
    <s v=""/>
    <n v="0"/>
    <s v=""/>
    <s v=""/>
  </r>
  <r>
    <x v="2"/>
    <d v="2024-09-06T00:00:00"/>
    <x v="8"/>
    <s v="6711000"/>
    <s v="Security Service"/>
    <s v="MW09C20000"/>
    <s v="Manag. of Ind. Oper."/>
    <n v="207.63"/>
    <s v="Valor Security Service ref  Docto Nr  639"/>
    <x v="0"/>
    <m/>
    <s v=""/>
    <s v="4009475233"/>
    <s v="GNEDA"/>
    <s v="2"/>
    <d v="2024-08-03T00:00:00"/>
    <s v="4640007424"/>
    <d v="2024-09-06T00:00:00"/>
    <s v="05082431032633"/>
    <s v=""/>
    <n v="0"/>
    <s v=""/>
    <s v=""/>
  </r>
  <r>
    <x v="2"/>
    <d v="2024-09-06T00:00:00"/>
    <x v="8"/>
    <s v="6711000"/>
    <s v="Security Service"/>
    <s v="MW09C20000"/>
    <s v="Manag. of Ind. Oper."/>
    <n v="21.02"/>
    <s v="Valor Security Service ref  Docto Nr  643"/>
    <x v="0"/>
    <m/>
    <s v=""/>
    <s v="4009475235"/>
    <s v="GNEDA"/>
    <s v="1"/>
    <d v="2024-08-05T00:00:00"/>
    <s v="4640007425"/>
    <d v="2024-09-06T00:00:00"/>
    <s v="05082431032641"/>
    <s v=""/>
    <n v="0"/>
    <s v=""/>
    <s v=""/>
  </r>
  <r>
    <x v="2"/>
    <d v="2024-09-24T00:00:00"/>
    <x v="8"/>
    <s v="6711000"/>
    <s v="Security Service"/>
    <s v="MW09C21028"/>
    <s v="Segurança Industrial"/>
    <n v="10589.65"/>
    <s v="Valor Security Service ref  Docto Nr  638"/>
    <x v="0"/>
    <m/>
    <n v="660871748"/>
    <s v="4009496441"/>
    <s v="GNEDA"/>
    <s v="1"/>
    <d v="2024-08-03T00:00:00"/>
    <s v="5110173794"/>
    <d v="2024-09-24T00:00:00"/>
    <s v="05082431032625"/>
    <s v="SEGURANÇA PATRIMONIAL - BELFORD ROXO"/>
    <n v="1"/>
    <s v=""/>
    <s v=""/>
  </r>
  <r>
    <x v="2"/>
    <d v="2024-10-18T00:00:00"/>
    <x v="9"/>
    <s v="6711000"/>
    <s v="Security Service"/>
    <s v="MW09C21028"/>
    <s v="Segurança Industrial"/>
    <n v="10589.65"/>
    <s v="Valor Security Service ref  Docto Nr  649"/>
    <x v="0"/>
    <m/>
    <s v="660885487"/>
    <s v="4009531923"/>
    <s v="EAUVD"/>
    <s v="1"/>
    <d v="2024-09-09T00:00:00"/>
    <s v="5110267767"/>
    <d v="2024-10-18T00:00:00"/>
    <s v="09092431028626"/>
    <s v="SEGURANÇA PATRIMONIAL - BELFORD ROXO"/>
    <n v="1"/>
    <s v=""/>
    <s v=""/>
  </r>
  <r>
    <x v="2"/>
    <d v="2024-10-19T00:00:00"/>
    <x v="9"/>
    <s v="6711000"/>
    <s v="Security Service"/>
    <s v="MW09C20000"/>
    <s v="Manag. of Ind. Oper."/>
    <n v="4272.75"/>
    <s v="Valor Security Service ref  Docto Nr  650"/>
    <x v="0"/>
    <m/>
    <s v=""/>
    <s v="4009532886"/>
    <s v="GNEDA"/>
    <s v="1"/>
    <d v="2024-09-09T00:00:00"/>
    <s v="4640009045"/>
    <d v="2024-10-19T00:00:00"/>
    <s v="09092431028634"/>
    <s v=""/>
    <n v="0"/>
    <s v=""/>
    <s v=""/>
  </r>
  <r>
    <x v="2"/>
    <d v="2024-10-19T00:00:00"/>
    <x v="9"/>
    <s v="6711000"/>
    <s v="Security Service"/>
    <s v="MW09C20000"/>
    <s v="Manag. of Ind. Oper."/>
    <n v="173.1"/>
    <s v="Valor Security Service ref  Docto Nr  651"/>
    <x v="0"/>
    <m/>
    <s v=""/>
    <s v="4009532887"/>
    <s v="GNEDA"/>
    <s v="1"/>
    <d v="2024-09-09T00:00:00"/>
    <s v="4640009046"/>
    <d v="2024-10-19T00:00:00"/>
    <s v="09092431028642"/>
    <s v=""/>
    <n v="0"/>
    <s v=""/>
    <s v=""/>
  </r>
  <r>
    <x v="2"/>
    <d v="2024-10-22T00:00:00"/>
    <x v="9"/>
    <s v="6711000"/>
    <s v="Security Service"/>
    <s v="MW09C21028"/>
    <s v="Segurança Industrial"/>
    <n v="10589.65"/>
    <s v="Valor Security Service ref  Docto Nr  656"/>
    <x v="0"/>
    <m/>
    <s v="660891231"/>
    <s v="4009538190"/>
    <s v="EAUXB"/>
    <s v="1"/>
    <d v="2024-10-07T00:00:00"/>
    <s v="5110279751"/>
    <d v="2024-10-22T00:00:00"/>
    <s v="07102431042860"/>
    <s v="SEGURANÇA PATRIMONIAL - BELFORD ROXO"/>
    <n v="1"/>
    <s v=""/>
    <s v=""/>
  </r>
  <r>
    <x v="2"/>
    <d v="2024-10-29T00:00:00"/>
    <x v="9"/>
    <s v="6711000"/>
    <s v="Security Service"/>
    <s v="MW09C20000"/>
    <s v="Manag. of Ind. Oper."/>
    <n v="313.7"/>
    <s v="Valor Security Service ref  Docto Nr  657"/>
    <x v="0"/>
    <m/>
    <s v=""/>
    <s v="4009547789"/>
    <s v="EFXNJ"/>
    <s v="1"/>
    <d v="2024-10-07T00:00:00"/>
    <s v="4640009773"/>
    <d v="2024-10-29T00:00:00"/>
    <s v="07102431042879"/>
    <s v=""/>
    <n v="0"/>
    <s v=""/>
    <s v=""/>
  </r>
  <r>
    <x v="2"/>
    <d v="2024-10-29T00:00:00"/>
    <x v="9"/>
    <s v="6711000"/>
    <s v="Security Service"/>
    <s v="MW09C21507"/>
    <s v="Projetos Sociais"/>
    <n v="116.03"/>
    <s v="Valor Security Service ref  Docto Nr  657"/>
    <x v="0"/>
    <m/>
    <s v=""/>
    <s v="4009547789"/>
    <s v="EFXNJ"/>
    <s v="2"/>
    <d v="2024-10-07T00:00:00"/>
    <s v="4640009773"/>
    <d v="2024-10-29T00:00:00"/>
    <s v="07102431042879"/>
    <s v=""/>
    <n v="0"/>
    <s v=""/>
    <s v=""/>
  </r>
  <r>
    <x v="2"/>
    <d v="2024-10-29T00:00:00"/>
    <x v="9"/>
    <s v="6711000"/>
    <s v="Security Service"/>
    <s v="MW09C21028"/>
    <s v="Segurança Industrial"/>
    <n v="5.0199999999999996"/>
    <s v="Valor Security Service ref  Docto Nr  658"/>
    <x v="0"/>
    <m/>
    <s v=""/>
    <s v="4009547790"/>
    <s v="EFXNJ"/>
    <s v="1"/>
    <d v="2024-10-07T00:00:00"/>
    <s v="4640009774"/>
    <d v="2024-10-29T00:00:00"/>
    <s v="07102431042887"/>
    <s v=""/>
    <n v="0"/>
    <s v=""/>
    <s v=""/>
  </r>
  <r>
    <x v="2"/>
    <d v="2024-10-29T00:00:00"/>
    <x v="9"/>
    <s v="6711000"/>
    <s v="Security Service"/>
    <s v="MW09C21507"/>
    <s v="Projetos Sociais"/>
    <n v="25.01"/>
    <s v="Valor Security Service ref  Docto Nr  658"/>
    <x v="0"/>
    <m/>
    <s v=""/>
    <s v="4009547790"/>
    <s v="EFXNJ"/>
    <s v="2"/>
    <d v="2024-10-07T00:00:00"/>
    <s v="4640009774"/>
    <d v="2024-10-29T00:00:00"/>
    <s v="07102431042887"/>
    <s v=""/>
    <n v="0"/>
    <s v=""/>
    <s v=""/>
  </r>
  <r>
    <x v="2"/>
    <d v="2024-11-05T00:00:00"/>
    <x v="10"/>
    <s v="6711000"/>
    <s v="Security Service"/>
    <s v="MW09C21028"/>
    <s v="Segurança Industrial"/>
    <n v="10589.65"/>
    <s v="Valor Security Service ref  Docto Nr  662"/>
    <x v="0"/>
    <m/>
    <s v="660914910"/>
    <s v="4009562146"/>
    <s v="EAUXB"/>
    <s v="1"/>
    <d v="2024-11-05T00:00:00"/>
    <s v="5110329259"/>
    <d v="2024-11-05T00:00:00"/>
    <s v="05112431020513"/>
    <s v="SEGURANÇA PATRIMONIAL - BELFORD ROXO"/>
    <n v="1"/>
    <s v=""/>
    <s v=""/>
  </r>
  <r>
    <x v="2"/>
    <d v="2024-12-06T00:00:00"/>
    <x v="11"/>
    <s v="6711000"/>
    <s v="Security Service"/>
    <s v="MW09C21028"/>
    <s v="Segurança Industrial"/>
    <n v="10589.65"/>
    <s v="Valor Security Service ref  Docto Nr  670"/>
    <x v="0"/>
    <m/>
    <s v="660928885"/>
    <s v="4009631281"/>
    <s v="EAUVD"/>
    <s v="1"/>
    <d v="2024-12-04T00:00:00"/>
    <s v="5110449966"/>
    <d v="2024-12-06T00:00:00"/>
    <s v="04122431058528"/>
    <s v="SEGURANÇA PATRIMONIAL - BELFORD ROXO"/>
    <n v="1"/>
    <s v=""/>
    <s v=""/>
  </r>
  <r>
    <x v="2"/>
    <d v="2024-12-16T00:00:00"/>
    <x v="11"/>
    <s v="6711000"/>
    <s v="Security Service"/>
    <s v="MW09C20000"/>
    <s v="Manag. of Ind. Oper."/>
    <n v="3336.2"/>
    <s v="Valor Security Service ref  Docto Nr  664"/>
    <x v="0"/>
    <m/>
    <s v=""/>
    <s v="4009645043"/>
    <s v="EFXNJ"/>
    <s v="1"/>
    <d v="2024-11-19T00:00:00"/>
    <s v="4640013034"/>
    <d v="2024-12-16T00:00:00"/>
    <s v="19112431019201"/>
    <s v=""/>
    <n v="0"/>
    <s v=""/>
    <s v=""/>
  </r>
  <r>
    <x v="2"/>
    <d v="2024-12-16T00:00:00"/>
    <x v="11"/>
    <s v="6711000"/>
    <s v="Security Service"/>
    <s v="MW09C21028"/>
    <s v="Segurança Industrial"/>
    <n v="236.34"/>
    <s v="Valor Security Service ref  Docto Nr  664"/>
    <x v="0"/>
    <m/>
    <s v=""/>
    <s v="4009645043"/>
    <s v="EFXNJ"/>
    <s v="2"/>
    <d v="2024-11-19T00:00:00"/>
    <s v="4640013034"/>
    <d v="2024-12-16T00:00:00"/>
    <s v="19112431019201"/>
    <s v=""/>
    <n v="0"/>
    <s v=""/>
    <s v=""/>
  </r>
  <r>
    <x v="2"/>
    <d v="2024-12-16T00:00:00"/>
    <x v="11"/>
    <s v="6711000"/>
    <s v="Security Service"/>
    <s v="MW09C21028"/>
    <s v="Segurança Industrial"/>
    <n v="1923.67"/>
    <s v="Valor Security Service ref  Docto Nr  664"/>
    <x v="0"/>
    <m/>
    <s v=""/>
    <s v="4009645043"/>
    <s v="EFXNJ"/>
    <s v="3"/>
    <d v="2024-11-19T00:00:00"/>
    <s v="4640013034"/>
    <d v="2024-12-16T00:00:00"/>
    <s v="19112431019201"/>
    <s v=""/>
    <n v="0"/>
    <s v=""/>
    <s v=""/>
  </r>
  <r>
    <x v="3"/>
    <d v="2025-01-07T00:00:00"/>
    <x v="0"/>
    <s v="6711000"/>
    <s v="Security Service"/>
    <s v="MW09C21028"/>
    <s v="Segurança Industrial"/>
    <n v="10589.65"/>
    <s v="Valor Security Service ref  Docto Nr  677"/>
    <x v="0"/>
    <m/>
    <s v="660939304"/>
    <s v="4009662300"/>
    <s v="EAUVD"/>
    <s v="1"/>
    <d v="2025-01-07T00:00:00"/>
    <s v="5110555290"/>
    <d v="2025-01-07T00:00:00"/>
    <s v="07012531036557"/>
    <s v="SEGURANÇA PATRIMONIAL - BELFORD ROXO"/>
    <n v="1"/>
    <s v=""/>
    <s v=""/>
  </r>
  <r>
    <x v="3"/>
    <d v="2025-01-10T00:00:00"/>
    <x v="0"/>
    <s v="6711000"/>
    <s v="Security Service"/>
    <s v="MW09C21028"/>
    <s v="Segurança Industrial"/>
    <n v="37.03"/>
    <s v="Valor Security Service ref  Docto Nr  679"/>
    <x v="0"/>
    <m/>
    <s v=""/>
    <s v="4009665257"/>
    <s v="EAUXB"/>
    <s v="1"/>
    <d v="2025-01-09T00:00:00"/>
    <s v="4640000264"/>
    <d v="2025-01-10T00:00:00"/>
    <s v="10012531014018"/>
    <s v=""/>
    <n v="0"/>
    <s v=""/>
    <s v=""/>
  </r>
  <r>
    <x v="3"/>
    <d v="2025-01-10T00:00:00"/>
    <x v="0"/>
    <s v="6711000"/>
    <s v="Security Service"/>
    <s v="MW09C21028"/>
    <s v="Segurança Industrial"/>
    <n v="74.16"/>
    <s v="Valor Security Service ref  Docto Nr  680"/>
    <x v="0"/>
    <m/>
    <s v=""/>
    <s v="4009665270"/>
    <s v="EAUXB"/>
    <s v="1"/>
    <d v="2025-01-09T00:00:00"/>
    <s v="4640000265"/>
    <d v="2025-01-10T00:00:00"/>
    <s v="10012531014026"/>
    <s v=""/>
    <n v="0"/>
    <s v=""/>
    <s v=""/>
  </r>
  <r>
    <x v="3"/>
    <d v="2025-01-10T00:00:00"/>
    <x v="0"/>
    <s v="6711000"/>
    <s v="Security Service"/>
    <s v="MW09C20000"/>
    <s v="Manag. of Ind. Oper."/>
    <n v="638.04"/>
    <s v="Valor Security Service ref  Docto Nr  681"/>
    <x v="0"/>
    <m/>
    <s v=""/>
    <s v="4009665280"/>
    <s v="EAUXB"/>
    <s v="2"/>
    <d v="2025-01-09T00:00:00"/>
    <s v="4640000266"/>
    <d v="2025-01-10T00:00:00"/>
    <s v="10012531014034"/>
    <s v=""/>
    <n v="0"/>
    <s v=""/>
    <s v=""/>
  </r>
  <r>
    <x v="3"/>
    <d v="2025-01-10T00:00:00"/>
    <x v="0"/>
    <s v="6711000"/>
    <s v="Security Service"/>
    <s v="MW09C21028"/>
    <s v="Segurança Industrial"/>
    <n v="557.66"/>
    <s v="Valor Security Service ref  Docto Nr  681"/>
    <x v="0"/>
    <m/>
    <s v=""/>
    <s v="4009665280"/>
    <s v="EAUXB"/>
    <s v="3"/>
    <d v="2025-01-09T00:00:00"/>
    <s v="4640000266"/>
    <d v="2025-01-10T00:00:00"/>
    <s v="10012531014034"/>
    <s v=""/>
    <n v="0"/>
    <s v=""/>
    <s v=""/>
  </r>
  <r>
    <x v="3"/>
    <d v="2025-01-10T00:00:00"/>
    <x v="0"/>
    <s v="6711000"/>
    <s v="Security Service"/>
    <s v="MW09C20000"/>
    <s v="Manag. of Ind. Oper."/>
    <n v="241.38"/>
    <s v="Valor Security Service ref  Docto Nr  678"/>
    <x v="0"/>
    <m/>
    <s v=""/>
    <s v="4009665288"/>
    <s v="EAUXB"/>
    <s v="2"/>
    <d v="2025-01-09T00:00:00"/>
    <s v="4640000267"/>
    <d v="2025-01-10T00:00:00"/>
    <s v="10012531014042"/>
    <s v=""/>
    <n v="0"/>
    <s v=""/>
    <s v=""/>
  </r>
  <r>
    <x v="3"/>
    <d v="2025-01-10T00:00:00"/>
    <x v="0"/>
    <s v="6711000"/>
    <s v="Security Service"/>
    <s v="MW09C21028"/>
    <s v="Segurança Industrial"/>
    <n v="636.36"/>
    <s v="Valor Security Service ref  Docto Nr  678"/>
    <x v="0"/>
    <m/>
    <s v=""/>
    <s v="4009665288"/>
    <s v="EAUXB"/>
    <s v="3"/>
    <d v="2025-01-09T00:00:00"/>
    <s v="4640000267"/>
    <d v="2025-01-10T00:00:00"/>
    <s v="10012531014042"/>
    <s v=""/>
    <n v="0"/>
    <s v=""/>
    <s v=""/>
  </r>
  <r>
    <x v="3"/>
    <d v="2025-02-10T00:00:00"/>
    <x v="1"/>
    <s v="6711000"/>
    <s v="Security Service"/>
    <s v="MW09C21028"/>
    <s v="Segurança Industrial"/>
    <n v="10589.65"/>
    <s v="Valor Security Service ref  Docto Nr  686"/>
    <x v="0"/>
    <m/>
    <s v="660954601"/>
    <s v="4009699947"/>
    <s v="EAUXB"/>
    <s v="1"/>
    <d v="2025-02-07T00:00:00"/>
    <s v="5110687082"/>
    <d v="2025-02-10T00:00:00"/>
    <s v="07022531033221"/>
    <s v="SEGURANÇA PATRIMONIAL - BELFORD ROXO"/>
    <n v="1"/>
    <s v=""/>
    <s v=""/>
  </r>
  <r>
    <x v="3"/>
    <d v="2025-03-11T00:00:00"/>
    <x v="2"/>
    <s v="6711000"/>
    <s v="Security Service"/>
    <s v="MW09C21028"/>
    <s v="Segurança Industrial"/>
    <n v="10589.65"/>
    <s v="Valor Security Service ref  Docto Nr  694"/>
    <x v="0"/>
    <m/>
    <s v="660969300"/>
    <s v="4009731204"/>
    <s v="GNEDA"/>
    <s v="1"/>
    <n v="45723"/>
    <s v="5110796983"/>
    <n v="45727"/>
    <s v="07032531027503"/>
    <s v="SEGURANÇA PATRIMONIAL - BELFORD ROXO"/>
    <n v="1"/>
    <s v=""/>
    <s v=""/>
  </r>
  <r>
    <x v="3"/>
    <d v="2025-03-14T00:00:00"/>
    <x v="2"/>
    <s v="6711000"/>
    <s v="Security Service"/>
    <s v="MW09C20000"/>
    <s v="Manag. of Ind. Oper."/>
    <n v="402.04"/>
    <s v="Valor Security Service ref  Docto Nr  696"/>
    <x v="0"/>
    <m/>
    <s v=""/>
    <s v="4009734399"/>
    <s v="EAUXB"/>
    <s v="1"/>
    <n v="45729"/>
    <s v="4640002457"/>
    <n v="45730"/>
    <s v="13032531036415"/>
    <s v=""/>
    <n v="0"/>
    <s v=""/>
    <s v=""/>
  </r>
  <r>
    <x v="3"/>
    <d v="2025-03-14T00:00:00"/>
    <x v="2"/>
    <s v="6711000"/>
    <s v="Security Service"/>
    <s v="MW09C21028"/>
    <s v="Segurança Industrial"/>
    <n v="36.799999999999997"/>
    <s v="Valor Security Service ref  Docto Nr  696"/>
    <x v="0"/>
    <m/>
    <s v=""/>
    <s v="4009734399"/>
    <s v="EAUXB"/>
    <s v="2"/>
    <n v="45729"/>
    <s v="4640002457"/>
    <n v="45730"/>
    <s v="13032531036415"/>
    <s v=""/>
    <n v="0"/>
    <s v=""/>
    <s v=""/>
  </r>
  <r>
    <x v="3"/>
    <d v="2025-03-14T00:00:00"/>
    <x v="2"/>
    <s v="6711000"/>
    <s v="Security Service"/>
    <s v="MW09C20005"/>
    <s v="Engineering"/>
    <n v="21.16"/>
    <s v="Valor Security Service ref  Docto Nr  696"/>
    <x v="0"/>
    <m/>
    <s v=""/>
    <s v="4009734399"/>
    <s v="EAUXB"/>
    <s v="3"/>
    <n v="45729"/>
    <s v="4640002457"/>
    <n v="45730"/>
    <s v="13032531036415"/>
    <s v=""/>
    <n v="0"/>
    <s v=""/>
    <s v=""/>
  </r>
  <r>
    <x v="3"/>
    <d v="2025-03-14T00:00:00"/>
    <x v="2"/>
    <s v="6711000"/>
    <s v="Security Service"/>
    <s v="MW09C20000"/>
    <s v="Manag. of Ind. Oper."/>
    <n v="8617.8700000000008"/>
    <s v="Valor Security Service ref  Docto Nr  697"/>
    <x v="0"/>
    <m/>
    <s v=""/>
    <s v="4009734400"/>
    <s v="EAUXB"/>
    <s v="1"/>
    <n v="45729"/>
    <s v="4640002461"/>
    <n v="45730"/>
    <s v="13032531036440"/>
    <s v=""/>
    <n v="0"/>
    <s v=""/>
    <s v=""/>
  </r>
  <r>
    <x v="3"/>
    <d v="2025-03-14T00:00:00"/>
    <x v="2"/>
    <s v="6711000"/>
    <s v="Security Service"/>
    <s v="MW09C21028"/>
    <s v="Segurança Industrial"/>
    <n v="46.38"/>
    <s v="Valor Security Service ref  Docto Nr  697"/>
    <x v="0"/>
    <m/>
    <s v=""/>
    <s v="4009734400"/>
    <s v="EAUXB"/>
    <s v="2"/>
    <n v="45729"/>
    <s v="4640002461"/>
    <n v="45730"/>
    <s v="13032531036440"/>
    <s v=""/>
    <n v="0"/>
    <s v=""/>
    <s v=""/>
  </r>
  <r>
    <x v="3"/>
    <d v="2025-03-14T00:00:00"/>
    <x v="2"/>
    <s v="6711000"/>
    <s v="Security Service"/>
    <s v="MW09C20005"/>
    <s v="Engineering"/>
    <n v="612.25"/>
    <s v="Valor Security Service ref  Docto Nr  697"/>
    <x v="0"/>
    <m/>
    <s v=""/>
    <s v="4009734400"/>
    <s v="EAUXB"/>
    <s v="3"/>
    <n v="45729"/>
    <s v="4640002461"/>
    <n v="45730"/>
    <s v="13032531036440"/>
    <s v=""/>
    <n v="0"/>
    <s v=""/>
    <s v=""/>
  </r>
  <r>
    <x v="3"/>
    <d v="2025-04-03T00:00:00"/>
    <x v="3"/>
    <s v="6711000"/>
    <s v="Security Service"/>
    <s v="MW09C20000"/>
    <s v="Manag. of Ind. Oper."/>
    <n v="1976.76"/>
    <s v="Valor Security Service ref  Docto Nr  699"/>
    <x v="0"/>
    <s v=""/>
    <m/>
    <s v="4009753345"/>
    <s v="GNEDA"/>
    <s v="1"/>
    <n v="45730"/>
    <s v="4640003097"/>
    <n v="45750"/>
    <s v="14032531013089"/>
    <s v=""/>
    <n v="0"/>
    <s v=""/>
    <s v=""/>
  </r>
  <r>
    <x v="3"/>
    <d v="2025-04-14T00:00:00"/>
    <x v="3"/>
    <s v="6711000"/>
    <s v="Security Service"/>
    <s v="MW09C21028"/>
    <s v="Segurança Industrial"/>
    <n v="10589.65"/>
    <s v="Valor Security Service ref  Docto Nr  705"/>
    <x v="0"/>
    <m/>
    <s v="660981732"/>
    <s v="4009767112"/>
    <s v="EFXNJ"/>
    <s v="1"/>
    <n v="45757"/>
    <s v="5110924156"/>
    <n v="45761"/>
    <s v="11042531035530"/>
    <s v="SEGURANÇA PATRIMONIAL - BELFORD ROXO"/>
    <n v="1"/>
    <s v=""/>
    <s v=""/>
  </r>
  <r>
    <x v="3"/>
    <d v="2025-04-30T00:00:00"/>
    <x v="3"/>
    <s v="6711000"/>
    <s v="Security Service"/>
    <s v="MW09C21028"/>
    <s v="Segurança Industrial"/>
    <n v="549.39"/>
    <s v="Valor Security Service ref  Docto Nr  707"/>
    <x v="0"/>
    <s v=""/>
    <m/>
    <s v="4009774977"/>
    <s v="EAUXB"/>
    <s v="2"/>
    <n v="45757"/>
    <s v="4640004106"/>
    <n v="45777"/>
    <s v="11042531035556"/>
    <s v=""/>
    <n v="0"/>
    <s v=""/>
    <s v=""/>
  </r>
  <r>
    <x v="3"/>
    <d v="2025-04-30T00:00:00"/>
    <x v="3"/>
    <s v="6711000"/>
    <s v="Security Service"/>
    <s v="MW09C21018"/>
    <s v="Infraestrutura"/>
    <n v="1251.8800000000001"/>
    <s v="Valor Security Service ref  Docto Nr  707"/>
    <x v="0"/>
    <s v=""/>
    <m/>
    <s v="4009774977"/>
    <s v="EAUXB"/>
    <s v="3"/>
    <n v="45757"/>
    <s v="4640004106"/>
    <n v="45777"/>
    <s v="11042531035556"/>
    <s v=""/>
    <n v="0"/>
    <s v=""/>
    <s v=""/>
  </r>
  <r>
    <x v="3"/>
    <d v="2025-04-30T00:00:00"/>
    <x v="3"/>
    <s v="6711000"/>
    <s v="Security Service"/>
    <s v="MW09C20400"/>
    <s v="Manufac. Personnel"/>
    <n v="684.48"/>
    <s v="Valor Security Service ref  Docto Nr  707"/>
    <x v="0"/>
    <s v=""/>
    <m/>
    <s v="4009774977"/>
    <s v="EAUXB"/>
    <s v="4"/>
    <n v="45757"/>
    <s v="4640004106"/>
    <n v="45777"/>
    <s v="11042531035556"/>
    <s v=""/>
    <n v="0"/>
    <s v=""/>
    <s v=""/>
  </r>
  <r>
    <x v="3"/>
    <d v="2025-04-30T00:00:00"/>
    <x v="3"/>
    <s v="6711000"/>
    <s v="Security Service"/>
    <s v="MW09C21028"/>
    <s v="Segurança Industrial"/>
    <n v="27.2"/>
    <s v="Valor Security Service ref  Docto Nr  706"/>
    <x v="0"/>
    <s v=""/>
    <m/>
    <s v="4009774982"/>
    <s v="EAUXB"/>
    <s v="1"/>
    <n v="45757"/>
    <s v="4640004107"/>
    <n v="45777"/>
    <s v="11042531035548"/>
    <s v=""/>
    <n v="0"/>
    <s v=""/>
    <s v=""/>
  </r>
  <r>
    <x v="3"/>
    <d v="2025-04-30T00:00:00"/>
    <x v="3"/>
    <s v="6711000"/>
    <s v="Security Service"/>
    <s v="MW09C21028"/>
    <s v="Segurança Industrial"/>
    <n v="87.38"/>
    <s v="Valor Security Service ref  Docto Nr  706"/>
    <x v="0"/>
    <s v=""/>
    <m/>
    <s v="4009774982"/>
    <s v="EAUXB"/>
    <s v="3"/>
    <n v="45757"/>
    <s v="4640004107"/>
    <n v="45777"/>
    <s v="11042531035548"/>
    <s v=""/>
    <n v="0"/>
    <s v=""/>
    <s v=""/>
  </r>
  <r>
    <x v="3"/>
    <d v="2025-04-30T00:00:00"/>
    <x v="3"/>
    <s v="6711000"/>
    <s v="Security Service"/>
    <s v="MW09C20400"/>
    <s v="Manufac. Personnel"/>
    <n v="17"/>
    <s v="Valor Security Service ref  Docto Nr  706"/>
    <x v="0"/>
    <s v=""/>
    <m/>
    <s v="4009774982"/>
    <s v="EAUXB"/>
    <s v="4"/>
    <n v="45757"/>
    <s v="4640004107"/>
    <n v="45777"/>
    <s v="11042531035548"/>
    <s v=""/>
    <n v="0"/>
    <s v=""/>
    <s v=""/>
  </r>
  <r>
    <x v="3"/>
    <d v="2025-05-12T00:00:00"/>
    <x v="4"/>
    <s v="6711000"/>
    <s v="Security Service"/>
    <s v="MW09C21028"/>
    <s v="Segurança Industrial"/>
    <n v="11203.85"/>
    <s v="Valor Security Service ref  Docto Nr  713"/>
    <x v="0"/>
    <m/>
    <s v="660997421"/>
    <s v="4009787321"/>
    <s v="GPDUA"/>
    <s v="1"/>
    <d v="2025-05-09T00:00:00"/>
    <s v="5111007257"/>
    <d v="2025-05-12T00:00:00"/>
    <s v="09052531022286"/>
    <s v="SEGURANÇA PATRIMONIAL - BELFORD ROXO"/>
    <n v="1"/>
    <s v=""/>
    <s v=""/>
  </r>
  <r>
    <x v="3"/>
    <d v="2025-06-06T00:00:00"/>
    <x v="5"/>
    <s v="6711000"/>
    <s v="Security Service"/>
    <s v="MW09C20000"/>
    <s v="Manag. of Ind. Oper."/>
    <n v="66.98"/>
    <s v="Valor Security Service ref  Docto Nr  717"/>
    <x v="0"/>
    <s v=""/>
    <m/>
    <s v="4009810344"/>
    <s v="GNEDA"/>
    <s v="2"/>
    <d v="2025-05-26T00:00:00"/>
    <s v="4640005375"/>
    <d v="2025-06-06T00:00:00"/>
    <s v="26052531014498"/>
    <s v=""/>
    <n v="0"/>
    <s v=""/>
    <s v=""/>
  </r>
  <r>
    <x v="3"/>
    <d v="2025-06-09T00:00:00"/>
    <x v="5"/>
    <s v="6711000"/>
    <s v="Security Service"/>
    <s v="MW09C21028"/>
    <s v="Segurança Industrial"/>
    <n v="11203.85"/>
    <s v="Valor Security Service ref  Docto Nr  718"/>
    <x v="0"/>
    <m/>
    <s v="661002855"/>
    <s v="4009814450"/>
    <s v="GNEDA"/>
    <s v="1"/>
    <d v="2025-06-05T00:00:00"/>
    <s v="5111086676"/>
    <d v="2025-06-09T00:00:00"/>
    <s v="05062531017226"/>
    <s v="SEGURANÇA PATRIMONIAL - BELFORD ROXO"/>
    <n v="1"/>
    <s v=""/>
    <s v=""/>
  </r>
  <r>
    <x v="3"/>
    <d v="2025-06-26T00:00:00"/>
    <x v="5"/>
    <s v="6711000"/>
    <s v="Security Service"/>
    <s v="MW09C20000"/>
    <s v="Manag. of Ind. Oper."/>
    <n v="570.62"/>
    <s v="Valor Security Service ref  Docto Nr  719"/>
    <x v="0"/>
    <s v=""/>
    <m/>
    <s v="4009836595"/>
    <s v="GNEDA"/>
    <s v="1"/>
    <d v="2025-06-05T00:00:00"/>
    <s v="4640006125"/>
    <d v="2025-06-26T00:00:00"/>
    <s v="05062531017234"/>
    <s v=""/>
    <n v="0"/>
    <s v=""/>
    <s v=""/>
  </r>
  <r>
    <x v="3"/>
    <d v="2025-06-26T00:00:00"/>
    <x v="5"/>
    <s v="6711000"/>
    <s v="Security Service"/>
    <s v="MW09C20005"/>
    <s v="Engineering"/>
    <n v="456.5"/>
    <s v="Valor Security Service ref  Docto Nr  719"/>
    <x v="0"/>
    <s v=""/>
    <m/>
    <s v="4009836595"/>
    <s v="GNEDA"/>
    <s v="2"/>
    <d v="2025-06-05T00:00:00"/>
    <s v="4640006125"/>
    <d v="2025-06-26T00:00:00"/>
    <s v="05062531017234"/>
    <s v=""/>
    <n v="0"/>
    <s v=""/>
    <s v=""/>
  </r>
  <r>
    <x v="3"/>
    <d v="2025-06-26T00:00:00"/>
    <x v="5"/>
    <s v="6711000"/>
    <s v="Security Service"/>
    <s v="MW09C21028"/>
    <s v="Segurança Industrial"/>
    <n v="551.61"/>
    <s v="Valor Security Service ref  Docto Nr  719"/>
    <x v="0"/>
    <s v=""/>
    <m/>
    <s v="4009836595"/>
    <s v="GNEDA"/>
    <s v="4"/>
    <d v="2025-06-05T00:00:00"/>
    <s v="4640006125"/>
    <d v="2025-06-26T00:00:00"/>
    <s v="05062531017234"/>
    <s v=""/>
    <n v="0"/>
    <s v=""/>
    <s v=""/>
  </r>
  <r>
    <x v="3"/>
    <d v="2025-06-26T00:00:00"/>
    <x v="5"/>
    <s v="6711000"/>
    <s v="Security Service"/>
    <s v="MW09C20000"/>
    <s v="Manag. of Ind. Oper."/>
    <n v="21.01"/>
    <s v="Valor Security Service ref  Docto Nr  720"/>
    <x v="0"/>
    <s v=""/>
    <m/>
    <s v="4009836599"/>
    <s v="GNEDA"/>
    <s v="1"/>
    <d v="2025-06-05T00:00:00"/>
    <s v="4640006127"/>
    <d v="2025-06-26T00:00:00"/>
    <s v="05062531017242"/>
    <s v=""/>
    <n v="0"/>
    <s v=""/>
    <s v=""/>
  </r>
  <r>
    <x v="3"/>
    <d v="2025-06-26T00:00:00"/>
    <x v="5"/>
    <s v="6711000"/>
    <s v="Security Service"/>
    <s v="MW09C20005"/>
    <s v="Engineering"/>
    <n v="22.01"/>
    <s v="Valor Security Service ref  Docto Nr  720"/>
    <x v="0"/>
    <s v=""/>
    <m/>
    <s v="4009836599"/>
    <s v="GNEDA"/>
    <s v="2"/>
    <d v="2025-06-05T00:00:00"/>
    <s v="4640006127"/>
    <d v="2025-06-26T00:00:00"/>
    <s v="05062531017242"/>
    <s v=""/>
    <n v="0"/>
    <s v=""/>
    <s v=""/>
  </r>
  <r>
    <x v="3"/>
    <d v="2025-06-26T00:00:00"/>
    <x v="5"/>
    <s v="6711000"/>
    <s v="Security Service"/>
    <s v="MW09C21028"/>
    <s v="Segurança Industrial"/>
    <n v="39"/>
    <s v="Valor Security Service ref  Docto Nr  720"/>
    <x v="0"/>
    <s v=""/>
    <m/>
    <s v="4009836599"/>
    <s v="GNEDA"/>
    <s v="4"/>
    <d v="2025-06-05T00:00:00"/>
    <s v="4640006127"/>
    <d v="2025-06-26T00:00:00"/>
    <s v="05062531017242"/>
    <s v=""/>
    <n v="0"/>
    <s v=""/>
    <s v=""/>
  </r>
  <r>
    <x v="3"/>
    <d v="2025-06-27T00:00:00"/>
    <x v="5"/>
    <s v="6711000"/>
    <s v="Security Service"/>
    <s v="MW09C20000"/>
    <s v="Manag. of Ind. Oper."/>
    <n v="1587.14"/>
    <s v="Valor Security Service ref  Docto Nr  716"/>
    <x v="0"/>
    <s v=""/>
    <m/>
    <s v="4009836900"/>
    <s v="EAUXB"/>
    <s v="2"/>
    <d v="2025-05-26T00:00:00"/>
    <s v="4640006129"/>
    <d v="2025-06-27T00:00:00"/>
    <s v="26052531014480"/>
    <s v=""/>
    <n v="0"/>
    <s v=""/>
    <s v=""/>
  </r>
  <r>
    <x v="3"/>
    <d v="2025-06-27T00:00:00"/>
    <x v="5"/>
    <s v="6711000"/>
    <s v="Security Service"/>
    <s v="MW09C21028"/>
    <s v="Segurança Industrial"/>
    <n v="264.52"/>
    <s v="Valor Security Service ref  Docto Nr  716"/>
    <x v="0"/>
    <s v=""/>
    <m/>
    <s v="4009836900"/>
    <s v="EAUXB"/>
    <s v="3"/>
    <d v="2025-05-26T00:00:00"/>
    <s v="4640006129"/>
    <d v="2025-06-27T00:00:00"/>
    <s v="26052531014480"/>
    <s v=""/>
    <n v="0"/>
    <s v=""/>
    <s v=""/>
  </r>
  <r>
    <x v="3"/>
    <d v="2025-06-27T00:00:00"/>
    <x v="5"/>
    <s v="6711000"/>
    <s v="Security Service"/>
    <s v="MW09C21028"/>
    <s v="Segurança Industrial"/>
    <n v="1670.28"/>
    <s v="Valor Security Service ref  Docto Nr  716"/>
    <x v="0"/>
    <s v=""/>
    <m/>
    <s v="4009836900"/>
    <s v="EAUXB"/>
    <s v="4"/>
    <d v="2025-05-26T00:00:00"/>
    <s v="4640006129"/>
    <d v="2025-06-27T00:00:00"/>
    <s v="26052531014480"/>
    <s v=""/>
    <n v="0"/>
    <s v=""/>
    <s v=""/>
  </r>
  <r>
    <x v="3"/>
    <d v="2025-07-17T00:00:00"/>
    <x v="6"/>
    <s v="6711000"/>
    <s v="Security Service"/>
    <s v="MW09C21028"/>
    <s v="Segurança Industrial"/>
    <n v="11203.85"/>
    <s v="Valor Security Service ref  Docto Nr  730"/>
    <x v="0"/>
    <m/>
    <s v="661021975"/>
    <s v="661021975"/>
    <s v="4009869605"/>
    <s v="GNEDA"/>
    <s v="1"/>
    <n v="45853"/>
    <s v="5111194587"/>
    <n v="45855"/>
    <s v="15072531016401"/>
    <s v="SEGURANÇA PATRIMONIAL - BELFORD ROXO"/>
    <n v="1"/>
    <m/>
  </r>
  <r>
    <x v="3"/>
    <d v="2025-08-11T00:00:00"/>
    <x v="7"/>
    <s v="6711000"/>
    <s v="Security Service"/>
    <s v="MW09C20005"/>
    <s v="Engineering"/>
    <n v="509.63"/>
    <s v="Valor Security Service ref  Docto Nr  736"/>
    <x v="0"/>
    <s v=""/>
    <s v="4009914710"/>
    <s v="4009914710"/>
    <s v="EFXNJ"/>
    <s v="1"/>
    <n v="45876"/>
    <s v="4640007593"/>
    <n v="45880"/>
    <s v="07082531035016"/>
    <s v=""/>
    <n v="0"/>
    <s v=""/>
    <s v=""/>
  </r>
  <r>
    <x v="3"/>
    <d v="2025-08-11T00:00:00"/>
    <x v="7"/>
    <s v="6711000"/>
    <s v="Security Service"/>
    <s v="MW09C20241"/>
    <s v="Packing Adm"/>
    <n v="234.1"/>
    <s v="Valor Security Service ref  Docto Nr  736"/>
    <x v="0"/>
    <s v=""/>
    <s v="4009914710"/>
    <s v="4009914710"/>
    <s v="EFXNJ"/>
    <s v="2"/>
    <n v="45876"/>
    <s v="4640007593"/>
    <n v="45880"/>
    <s v="07082531035016"/>
    <s v=""/>
    <n v="0"/>
    <s v=""/>
    <s v=""/>
  </r>
  <r>
    <x v="3"/>
    <d v="2025-08-11T00:00:00"/>
    <x v="7"/>
    <s v="6711000"/>
    <s v="Security Service"/>
    <s v="MW09C20000"/>
    <s v="Manag. of Ind. Oper."/>
    <n v="1008.45"/>
    <s v="Valor Security Service ref  Docto Nr  736"/>
    <x v="0"/>
    <s v=""/>
    <s v="4009914710"/>
    <s v="4009914710"/>
    <s v="EFXNJ"/>
    <s v="3"/>
    <n v="45876"/>
    <s v="4640007593"/>
    <n v="45880"/>
    <s v="07082531035016"/>
    <s v=""/>
    <n v="0"/>
    <s v=""/>
    <s v=""/>
  </r>
  <r>
    <x v="3"/>
    <d v="2025-08-11T00:00:00"/>
    <x v="7"/>
    <s v="6711000"/>
    <s v="Security Service"/>
    <s v="MW09C21028"/>
    <s v="Segurança Industrial"/>
    <n v="48.63"/>
    <s v="Valor Security Service ref  Docto Nr  736"/>
    <x v="0"/>
    <s v=""/>
    <s v="4009914710"/>
    <s v="4009914710"/>
    <s v="EFXNJ"/>
    <s v="4"/>
    <n v="45876"/>
    <s v="4640007593"/>
    <n v="45880"/>
    <s v="07082531035016"/>
    <s v=""/>
    <n v="0"/>
    <s v=""/>
    <s v=""/>
  </r>
  <r>
    <x v="3"/>
    <d v="2025-08-11T00:00:00"/>
    <x v="7"/>
    <s v="6711000"/>
    <s v="Security Service"/>
    <s v="MW09C21028"/>
    <s v="Segurança Industrial"/>
    <n v="10167.5"/>
    <s v="Valor Security Service ref  Docto Nr  734"/>
    <x v="0"/>
    <s v="661036095"/>
    <s v="4009914712"/>
    <s v="4009914712"/>
    <s v="EFXNJ"/>
    <s v="1"/>
    <n v="45876"/>
    <s v="5111257834"/>
    <n v="45880"/>
    <s v="07082531034998"/>
    <s v="SEGURANÇA PATRIMONIAL - BELFORD ROXO"/>
    <n v="1"/>
    <s v=""/>
    <s v=""/>
  </r>
  <r>
    <x v="3"/>
    <d v="2025-08-14T00:00:00"/>
    <x v="7"/>
    <s v="6711000"/>
    <s v="Security Service"/>
    <s v="MW09C20000"/>
    <s v="Manag. of Ind. Oper."/>
    <n v="232.11"/>
    <s v="Valor Security Service ref  Docto Nr  731"/>
    <x v="0"/>
    <s v=""/>
    <s v="4009920962"/>
    <s v="4009920962"/>
    <s v="EFXNJ"/>
    <s v="1"/>
    <n v="45853"/>
    <s v="4640007786"/>
    <n v="45883"/>
    <s v="15072531016380"/>
    <s v=""/>
    <n v="0"/>
    <s v=""/>
    <s v=""/>
  </r>
  <r>
    <x v="3"/>
    <d v="2025-08-14T00:00:00"/>
    <x v="7"/>
    <s v="6711000"/>
    <s v="Security Service"/>
    <s v="MW09C21028"/>
    <s v="Segurança Industrial"/>
    <n v="132.09"/>
    <s v="Valor Security Service ref  Docto Nr  731"/>
    <x v="0"/>
    <s v=""/>
    <s v="4009920962"/>
    <s v="4009920962"/>
    <s v="EFXNJ"/>
    <s v="2"/>
    <n v="45853"/>
    <s v="4640007786"/>
    <n v="45883"/>
    <s v="15072531016380"/>
    <s v=""/>
    <n v="0"/>
    <s v=""/>
    <s v=""/>
  </r>
  <r>
    <x v="3"/>
    <d v="2025-08-14T00:00:00"/>
    <x v="7"/>
    <s v="6711000"/>
    <s v="Security Service"/>
    <s v="MW09C21022"/>
    <s v="Segurança do Trabalh"/>
    <n v="62.2"/>
    <s v="Valor Security Service ref  Docto Nr  731"/>
    <x v="0"/>
    <s v=""/>
    <s v="4009920962"/>
    <s v="4009920962"/>
    <s v="EFXNJ"/>
    <s v="3"/>
    <n v="45853"/>
    <s v="4640007786"/>
    <n v="45883"/>
    <s v="15072531016380"/>
    <s v=""/>
    <n v="0"/>
    <s v=""/>
    <s v=""/>
  </r>
  <r>
    <x v="3"/>
    <d v="2025-08-14T00:00:00"/>
    <x v="7"/>
    <s v="6711000"/>
    <s v="Security Service"/>
    <s v="MW09C20005"/>
    <s v="Engineering"/>
    <n v="179.54"/>
    <s v="Valor Security Service ref  Docto Nr  731"/>
    <x v="0"/>
    <s v=""/>
    <s v="4009920962"/>
    <s v="4009920962"/>
    <s v="EFXNJ"/>
    <s v="4"/>
    <n v="45853"/>
    <s v="4640007786"/>
    <n v="45883"/>
    <s v="15072531016380"/>
    <s v=""/>
    <n v="0"/>
    <s v=""/>
    <s v=""/>
  </r>
  <r>
    <x v="3"/>
    <d v="2025-08-14T00:00:00"/>
    <x v="7"/>
    <s v="6711000"/>
    <s v="Security Service"/>
    <s v="MW09C20000"/>
    <s v="Manag. of Ind. Oper."/>
    <n v="38.86"/>
    <s v="Valor Security Service ref  Docto Nr  731"/>
    <x v="0"/>
    <s v=""/>
    <s v="4009920962"/>
    <s v="4009920962"/>
    <s v="EFXNJ"/>
    <s v="5"/>
    <n v="45853"/>
    <s v="4640007786"/>
    <n v="45883"/>
    <s v="15072531016380"/>
    <s v=""/>
    <n v="0"/>
    <s v=""/>
    <s v=""/>
  </r>
  <r>
    <x v="3"/>
    <d v="2025-08-14T00:00:00"/>
    <x v="7"/>
    <s v="6711000"/>
    <s v="Security Service"/>
    <s v="MW09C20000"/>
    <s v="Manag. of Ind. Oper."/>
    <n v="2894.53"/>
    <s v="Valor Security Service ref  Docto Nr  732"/>
    <x v="0"/>
    <s v=""/>
    <s v="4009920965"/>
    <s v="4009920965"/>
    <s v="EFXNJ"/>
    <s v="1"/>
    <n v="45853"/>
    <s v="4640007787"/>
    <n v="45883"/>
    <s v="15072531016398"/>
    <s v=""/>
    <n v="0"/>
    <s v=""/>
    <s v=""/>
  </r>
  <r>
    <x v="3"/>
    <d v="2025-08-14T00:00:00"/>
    <x v="7"/>
    <s v="6711000"/>
    <s v="Security Service"/>
    <s v="MW09C21022"/>
    <s v="Segurança do Trabalh"/>
    <n v="998.11"/>
    <s v="Valor Security Service ref  Docto Nr  732"/>
    <x v="0"/>
    <s v=""/>
    <s v="4009920965"/>
    <s v="4009920965"/>
    <s v="EFXNJ"/>
    <s v="2"/>
    <n v="45853"/>
    <s v="4640007787"/>
    <n v="45883"/>
    <s v="15072531016398"/>
    <s v=""/>
    <n v="0"/>
    <s v=""/>
    <s v=""/>
  </r>
  <r>
    <x v="3"/>
    <d v="2025-08-14T00:00:00"/>
    <x v="7"/>
    <s v="6711000"/>
    <s v="Security Service"/>
    <s v="MW09C21028"/>
    <s v="Segurança Industrial"/>
    <n v="329.38"/>
    <s v="Valor Security Service ref  Docto Nr  732"/>
    <x v="0"/>
    <s v=""/>
    <s v="4009920965"/>
    <s v="4009920965"/>
    <s v="EFXNJ"/>
    <s v="3"/>
    <n v="45853"/>
    <s v="4640007787"/>
    <n v="45883"/>
    <s v="15072531016398"/>
    <s v=""/>
    <n v="0"/>
    <s v=""/>
    <s v=""/>
  </r>
  <r>
    <x v="3"/>
    <d v="2025-08-14T00:00:00"/>
    <x v="7"/>
    <s v="6711000"/>
    <s v="Security Service"/>
    <s v="MW09C20005"/>
    <s v="Engineering"/>
    <n v="3912.59"/>
    <s v="Valor Security Service ref  Docto Nr  732"/>
    <x v="0"/>
    <s v=""/>
    <s v="4009920965"/>
    <s v="4009920965"/>
    <s v="EFXNJ"/>
    <s v="4"/>
    <n v="45853"/>
    <s v="4640007787"/>
    <n v="45883"/>
    <s v="15072531016398"/>
    <s v=""/>
    <n v="0"/>
    <s v=""/>
    <s v=""/>
  </r>
  <r>
    <x v="3"/>
    <d v="2025-08-14T00:00:00"/>
    <x v="7"/>
    <s v="6711000"/>
    <s v="Security Service"/>
    <s v="MW09C21028"/>
    <s v="Segurança Industrial"/>
    <n v="1846.49"/>
    <s v="Valor Security Service ref  Docto Nr  732"/>
    <x v="0"/>
    <s v=""/>
    <s v="4009920965"/>
    <s v="4009920965"/>
    <s v="EFXNJ"/>
    <s v="5"/>
    <n v="45853"/>
    <s v="4640007787"/>
    <n v="45883"/>
    <s v="15072531016398"/>
    <s v=""/>
    <n v="0"/>
    <s v=""/>
    <s v=""/>
  </r>
  <r>
    <x v="3"/>
    <d v="2025-08-22T00:00:00"/>
    <x v="7"/>
    <s v="6711000"/>
    <s v="Security Service"/>
    <s v="MW09C21028"/>
    <s v="Segurança Industrial"/>
    <n v="-10167.5"/>
    <s v="SEGURANÇA PATRIMONIAL - BELFORD ROXO"/>
    <x v="0"/>
    <s v="661036095"/>
    <s v="4009935917"/>
    <s v="4009935917"/>
    <s v="EFXNJ"/>
    <s v="1"/>
    <n v="45876"/>
    <s v="5111287612"/>
    <n v="45880"/>
    <s v="07082531034998"/>
    <s v="SEGURANÇA PATRIMONIAL - BELFORD ROXO"/>
    <n v="-1"/>
    <s v=""/>
    <s v=""/>
  </r>
  <r>
    <x v="3"/>
    <d v="2025-08-22T00:00:00"/>
    <x v="7"/>
    <s v="6711000"/>
    <s v="Security Service"/>
    <s v="MW09C20005"/>
    <s v="Engineering"/>
    <n v="-509.63"/>
    <s v="Valor Security Service ref  Docto Nr  736"/>
    <x v="0"/>
    <s v=""/>
    <s v="4009935918"/>
    <s v="4009935918"/>
    <s v="EFXNJ"/>
    <s v="1"/>
    <n v="45876"/>
    <s v="4690000364"/>
    <n v="45880"/>
    <s v="07082531035016"/>
    <s v=""/>
    <n v="0"/>
    <s v=""/>
    <s v=""/>
  </r>
  <r>
    <x v="3"/>
    <d v="2025-08-22T00:00:00"/>
    <x v="7"/>
    <s v="6711000"/>
    <s v="Security Service"/>
    <s v="MW09C20241"/>
    <s v="Packing Adm"/>
    <n v="-234.1"/>
    <s v="Valor Security Service ref  Docto Nr  736"/>
    <x v="0"/>
    <s v=""/>
    <s v="4009935918"/>
    <s v="4009935918"/>
    <s v="EFXNJ"/>
    <s v="2"/>
    <n v="45876"/>
    <s v="4690000364"/>
    <n v="45880"/>
    <s v="07082531035016"/>
    <s v=""/>
    <n v="0"/>
    <s v=""/>
    <s v=""/>
  </r>
  <r>
    <x v="3"/>
    <d v="2025-08-22T00:00:00"/>
    <x v="7"/>
    <s v="6711000"/>
    <s v="Security Service"/>
    <s v="MW09C20000"/>
    <s v="Manag. of Ind. Oper."/>
    <n v="-1008.45"/>
    <s v="Valor Security Service ref  Docto Nr  736"/>
    <x v="0"/>
    <s v=""/>
    <s v="4009935918"/>
    <s v="4009935918"/>
    <s v="EFXNJ"/>
    <s v="3"/>
    <n v="45876"/>
    <s v="4690000364"/>
    <n v="45880"/>
    <s v="07082531035016"/>
    <s v=""/>
    <n v="0"/>
    <s v=""/>
    <s v=""/>
  </r>
  <r>
    <x v="3"/>
    <d v="2025-08-22T00:00:00"/>
    <x v="7"/>
    <s v="6711000"/>
    <s v="Security Service"/>
    <s v="MW09C21028"/>
    <s v="Segurança Industrial"/>
    <n v="-48.63"/>
    <s v="Valor Security Service ref  Docto Nr  736"/>
    <x v="0"/>
    <s v=""/>
    <s v="4009935918"/>
    <s v="4009935918"/>
    <s v="EFXNJ"/>
    <s v="4"/>
    <n v="45876"/>
    <s v="4690000364"/>
    <n v="45880"/>
    <s v="07082531035016"/>
    <s v=""/>
    <n v="0"/>
    <s v=""/>
    <s v=""/>
  </r>
  <r>
    <x v="3"/>
    <d v="2025-08-22T00:00:00"/>
    <x v="7"/>
    <s v="6711000"/>
    <s v="Security Service"/>
    <s v="MW09C20000"/>
    <s v="Manag. of Ind. Oper."/>
    <n v="-2894.53"/>
    <s v="Valor Security Service ref  Docto Nr  732"/>
    <x v="0"/>
    <s v=""/>
    <s v="4009935919"/>
    <s v="4009935919"/>
    <s v="EFXNJ"/>
    <s v="1"/>
    <n v="45853"/>
    <s v="4690000365"/>
    <n v="45883"/>
    <s v="15072531016398"/>
    <s v=""/>
    <n v="0"/>
    <s v=""/>
    <s v=""/>
  </r>
  <r>
    <x v="3"/>
    <d v="2025-08-22T00:00:00"/>
    <x v="7"/>
    <s v="6711000"/>
    <s v="Security Service"/>
    <s v="MW09C21022"/>
    <s v="Segurança do Trabalh"/>
    <n v="-998.11"/>
    <s v="Valor Security Service ref  Docto Nr  732"/>
    <x v="0"/>
    <s v=""/>
    <s v="4009935919"/>
    <s v="4009935919"/>
    <s v="EFXNJ"/>
    <s v="2"/>
    <n v="45853"/>
    <s v="4690000365"/>
    <n v="45883"/>
    <s v="15072531016398"/>
    <s v=""/>
    <n v="0"/>
    <s v=""/>
    <s v=""/>
  </r>
  <r>
    <x v="3"/>
    <d v="2025-08-22T00:00:00"/>
    <x v="7"/>
    <s v="6711000"/>
    <s v="Security Service"/>
    <s v="MW09C21028"/>
    <s v="Segurança Industrial"/>
    <n v="-329.38"/>
    <s v="Valor Security Service ref  Docto Nr  732"/>
    <x v="0"/>
    <s v=""/>
    <s v="4009935919"/>
    <s v="4009935919"/>
    <s v="EFXNJ"/>
    <s v="3"/>
    <n v="45853"/>
    <s v="4690000365"/>
    <n v="45883"/>
    <s v="15072531016398"/>
    <s v=""/>
    <n v="0"/>
    <s v=""/>
    <s v=""/>
  </r>
  <r>
    <x v="3"/>
    <d v="2025-08-22T00:00:00"/>
    <x v="7"/>
    <s v="6711000"/>
    <s v="Security Service"/>
    <s v="MW09C20005"/>
    <s v="Engineering"/>
    <n v="-3912.59"/>
    <s v="Valor Security Service ref  Docto Nr  732"/>
    <x v="0"/>
    <s v=""/>
    <s v="4009935919"/>
    <s v="4009935919"/>
    <s v="EFXNJ"/>
    <s v="4"/>
    <n v="45853"/>
    <s v="4690000365"/>
    <n v="45883"/>
    <s v="15072531016398"/>
    <s v=""/>
    <n v="0"/>
    <s v=""/>
    <s v=""/>
  </r>
  <r>
    <x v="3"/>
    <d v="2025-08-22T00:00:00"/>
    <x v="7"/>
    <s v="6711000"/>
    <s v="Security Service"/>
    <s v="MW09C21028"/>
    <s v="Segurança Industrial"/>
    <n v="-1846.49"/>
    <s v="Valor Security Service ref  Docto Nr  732"/>
    <x v="0"/>
    <s v=""/>
    <s v="4009935919"/>
    <s v="4009935919"/>
    <s v="EFXNJ"/>
    <s v="5"/>
    <n v="45853"/>
    <s v="4690000365"/>
    <n v="45883"/>
    <s v="15072531016398"/>
    <s v=""/>
    <n v="0"/>
    <s v=""/>
    <s v=""/>
  </r>
  <r>
    <x v="3"/>
    <d v="2025-08-22T00:00:00"/>
    <x v="7"/>
    <s v="6711000"/>
    <s v="Security Service"/>
    <s v="MW09C20000"/>
    <s v="Manag. of Ind. Oper."/>
    <n v="-232.11"/>
    <s v="Valor Security Service ref  Docto Nr  731"/>
    <x v="0"/>
    <s v=""/>
    <s v="4009935920"/>
    <s v="4009935920"/>
    <s v="EFXNJ"/>
    <s v="1"/>
    <n v="45853"/>
    <s v="4690000366"/>
    <n v="45883"/>
    <s v="15072531016380"/>
    <s v=""/>
    <n v="0"/>
    <s v=""/>
    <s v=""/>
  </r>
  <r>
    <x v="3"/>
    <d v="2025-08-22T00:00:00"/>
    <x v="7"/>
    <s v="6711000"/>
    <s v="Security Service"/>
    <s v="MW09C21028"/>
    <s v="Segurança Industrial"/>
    <n v="-132.09"/>
    <s v="Valor Security Service ref  Docto Nr  731"/>
    <x v="0"/>
    <s v=""/>
    <s v="4009935920"/>
    <s v="4009935920"/>
    <s v="EFXNJ"/>
    <s v="2"/>
    <n v="45853"/>
    <s v="4690000366"/>
    <n v="45883"/>
    <s v="15072531016380"/>
    <s v=""/>
    <n v="0"/>
    <s v=""/>
    <s v=""/>
  </r>
  <r>
    <x v="3"/>
    <d v="2025-08-22T00:00:00"/>
    <x v="7"/>
    <s v="6711000"/>
    <s v="Security Service"/>
    <s v="MW09C21022"/>
    <s v="Segurança do Trabalh"/>
    <n v="-62.2"/>
    <s v="Valor Security Service ref  Docto Nr  731"/>
    <x v="0"/>
    <s v=""/>
    <s v="4009935920"/>
    <s v="4009935920"/>
    <s v="EFXNJ"/>
    <s v="3"/>
    <n v="45853"/>
    <s v="4690000366"/>
    <n v="45883"/>
    <s v="15072531016380"/>
    <s v=""/>
    <n v="0"/>
    <s v=""/>
    <s v=""/>
  </r>
  <r>
    <x v="3"/>
    <d v="2025-08-22T00:00:00"/>
    <x v="7"/>
    <s v="6711000"/>
    <s v="Security Service"/>
    <s v="MW09C20005"/>
    <s v="Engineering"/>
    <n v="-179.54"/>
    <s v="Valor Security Service ref  Docto Nr  731"/>
    <x v="0"/>
    <s v=""/>
    <s v="4009935920"/>
    <s v="4009935920"/>
    <s v="EFXNJ"/>
    <s v="4"/>
    <n v="45853"/>
    <s v="4690000366"/>
    <n v="45883"/>
    <s v="15072531016380"/>
    <s v=""/>
    <n v="0"/>
    <s v=""/>
    <s v=""/>
  </r>
  <r>
    <x v="3"/>
    <d v="2025-08-22T00:00:00"/>
    <x v="7"/>
    <s v="6711000"/>
    <s v="Security Service"/>
    <s v="MW09C20000"/>
    <s v="Manag. of Ind. Oper."/>
    <n v="-38.86"/>
    <s v="Valor Security Service ref  Docto Nr  731"/>
    <x v="0"/>
    <s v=""/>
    <s v="4009935920"/>
    <s v="4009935920"/>
    <s v="EFXNJ"/>
    <s v="5"/>
    <n v="45853"/>
    <s v="4690000366"/>
    <n v="45883"/>
    <s v="15072531016380"/>
    <s v=""/>
    <n v="0"/>
    <s v=""/>
    <s v=""/>
  </r>
  <r>
    <x v="3"/>
    <d v="2025-08-22T00:00:00"/>
    <x v="7"/>
    <s v="6711000"/>
    <s v="Security Service"/>
    <s v="MW09C21028"/>
    <s v="Segurança Industrial"/>
    <n v="11203.85"/>
    <s v="Valor Security Service ref  Docto Nr  734"/>
    <x v="0"/>
    <s v="661036095"/>
    <s v="4009935922"/>
    <s v="4009935922"/>
    <s v="EFXNJ"/>
    <s v="1"/>
    <n v="45876"/>
    <s v="5111287613"/>
    <n v="45891"/>
    <s v="07082531034998"/>
    <s v="SEGURANÇA PATRIMONIAL - BELFORD ROXO"/>
    <n v="1"/>
    <s v=""/>
    <s v=""/>
  </r>
  <r>
    <x v="3"/>
    <d v="2025-08-22T00:00:00"/>
    <x v="7"/>
    <s v="6711000"/>
    <s v="Security Service"/>
    <s v="MW09C20005"/>
    <s v="Engineering"/>
    <n v="561.58000000000004"/>
    <s v="Valor Security Service ref  Docto Nr  736"/>
    <x v="0"/>
    <s v=""/>
    <s v="4009935924"/>
    <s v="4009935924"/>
    <s v="EFXNJ"/>
    <s v="1"/>
    <n v="45876"/>
    <s v="4640008111"/>
    <n v="45891"/>
    <s v="07082531035016"/>
    <s v=""/>
    <n v="0"/>
    <s v=""/>
    <s v=""/>
  </r>
  <r>
    <x v="3"/>
    <d v="2025-08-22T00:00:00"/>
    <x v="7"/>
    <s v="6711000"/>
    <s v="Security Service"/>
    <s v="MW09C20241"/>
    <s v="Packing Adm"/>
    <n v="257.97000000000003"/>
    <s v="Valor Security Service ref  Docto Nr  736"/>
    <x v="0"/>
    <s v=""/>
    <s v="4009935924"/>
    <s v="4009935924"/>
    <s v="EFXNJ"/>
    <s v="2"/>
    <n v="45876"/>
    <s v="4640008111"/>
    <n v="45891"/>
    <s v="07082531035016"/>
    <s v=""/>
    <n v="0"/>
    <s v=""/>
    <s v=""/>
  </r>
  <r>
    <x v="3"/>
    <d v="2025-08-22T00:00:00"/>
    <x v="7"/>
    <s v="6711000"/>
    <s v="Security Service"/>
    <s v="MW09C20000"/>
    <s v="Manag. of Ind. Oper."/>
    <n v="1111.25"/>
    <s v="Valor Security Service ref  Docto Nr  736"/>
    <x v="0"/>
    <s v=""/>
    <s v="4009935924"/>
    <s v="4009935924"/>
    <s v="EFXNJ"/>
    <s v="3"/>
    <n v="45876"/>
    <s v="4640008111"/>
    <n v="45891"/>
    <s v="07082531035016"/>
    <s v=""/>
    <n v="0"/>
    <s v=""/>
    <s v=""/>
  </r>
  <r>
    <x v="3"/>
    <d v="2025-08-22T00:00:00"/>
    <x v="7"/>
    <s v="6711000"/>
    <s v="Security Service"/>
    <s v="MW09C21028"/>
    <s v="Segurança Industrial"/>
    <n v="53.58"/>
    <s v="Valor Security Service ref  Docto Nr  736"/>
    <x v="0"/>
    <s v=""/>
    <s v="4009935924"/>
    <s v="4009935924"/>
    <s v="EFXNJ"/>
    <s v="4"/>
    <n v="45876"/>
    <s v="4640008111"/>
    <n v="45891"/>
    <s v="07082531035016"/>
    <s v=""/>
    <n v="0"/>
    <s v=""/>
    <s v=""/>
  </r>
  <r>
    <x v="3"/>
    <d v="2025-08-22T00:00:00"/>
    <x v="7"/>
    <s v="6711000"/>
    <s v="Security Service"/>
    <s v="MW09C20000"/>
    <s v="Manag. of Ind. Oper."/>
    <n v="3189.56"/>
    <s v="Valor Security Service ref  Docto Nr  732"/>
    <x v="0"/>
    <s v=""/>
    <s v="4009935925"/>
    <s v="4009935925"/>
    <s v="EFXNJ"/>
    <s v="1"/>
    <n v="45876"/>
    <s v="4640008112"/>
    <n v="45891"/>
    <s v="15072531016398"/>
    <s v=""/>
    <n v="0"/>
    <s v=""/>
    <s v=""/>
  </r>
  <r>
    <x v="3"/>
    <d v="2025-08-22T00:00:00"/>
    <x v="7"/>
    <s v="6711000"/>
    <s v="Security Service"/>
    <s v="MW09C21022"/>
    <s v="Segurança do Trabalh"/>
    <n v="1099.8499999999999"/>
    <s v="Valor Security Service ref  Docto Nr  732"/>
    <x v="0"/>
    <s v=""/>
    <s v="4009935925"/>
    <s v="4009935925"/>
    <s v="EFXNJ"/>
    <s v="2"/>
    <n v="45876"/>
    <s v="4640008112"/>
    <n v="45891"/>
    <s v="15072531016398"/>
    <s v=""/>
    <n v="0"/>
    <s v=""/>
    <s v=""/>
  </r>
  <r>
    <x v="3"/>
    <d v="2025-08-22T00:00:00"/>
    <x v="7"/>
    <s v="6711000"/>
    <s v="Security Service"/>
    <s v="MW09C21028"/>
    <s v="Segurança Industrial"/>
    <n v="362.95"/>
    <s v="Valor Security Service ref  Docto Nr  732"/>
    <x v="0"/>
    <s v=""/>
    <s v="4009935925"/>
    <s v="4009935925"/>
    <s v="EFXNJ"/>
    <s v="3"/>
    <n v="45876"/>
    <s v="4640008112"/>
    <n v="45891"/>
    <s v="15072531016398"/>
    <s v=""/>
    <n v="0"/>
    <s v=""/>
    <s v=""/>
  </r>
  <r>
    <x v="3"/>
    <d v="2025-08-22T00:00:00"/>
    <x v="7"/>
    <s v="6711000"/>
    <s v="Security Service"/>
    <s v="MW09C20005"/>
    <s v="Engineering"/>
    <n v="4311.3999999999996"/>
    <s v="Valor Security Service ref  Docto Nr  732"/>
    <x v="0"/>
    <s v=""/>
    <s v="4009935925"/>
    <s v="4009935925"/>
    <s v="EFXNJ"/>
    <s v="4"/>
    <n v="45876"/>
    <s v="4640008112"/>
    <n v="45891"/>
    <s v="15072531016398"/>
    <s v=""/>
    <n v="0"/>
    <s v=""/>
    <s v=""/>
  </r>
  <r>
    <x v="3"/>
    <d v="2025-08-22T00:00:00"/>
    <x v="7"/>
    <s v="6711000"/>
    <s v="Security Service"/>
    <s v="MW09C21028"/>
    <s v="Segurança Industrial"/>
    <n v="2034.71"/>
    <s v="Valor Security Service ref  Docto Nr  732"/>
    <x v="0"/>
    <s v=""/>
    <s v="4009935925"/>
    <s v="4009935925"/>
    <s v="EFXNJ"/>
    <s v="5"/>
    <n v="45876"/>
    <s v="4640008112"/>
    <n v="45891"/>
    <s v="15072531016398"/>
    <s v=""/>
    <n v="0"/>
    <s v=""/>
    <s v=""/>
  </r>
  <r>
    <x v="3"/>
    <d v="2025-08-22T00:00:00"/>
    <x v="7"/>
    <s v="6711000"/>
    <s v="Security Service"/>
    <s v="MW09C20000"/>
    <s v="Manag. of Ind. Oper."/>
    <n v="255.77"/>
    <s v="Valor Security Service ref  Docto Nr  731"/>
    <x v="0"/>
    <s v=""/>
    <s v="4009935938"/>
    <s v="4009935938"/>
    <s v="EFXNJ"/>
    <s v="1"/>
    <n v="45853"/>
    <s v="4640008113"/>
    <n v="45891"/>
    <s v="15072531016380"/>
    <s v=""/>
    <n v="0"/>
    <s v=""/>
    <s v=""/>
  </r>
  <r>
    <x v="3"/>
    <d v="2025-08-22T00:00:00"/>
    <x v="7"/>
    <s v="6711000"/>
    <s v="Security Service"/>
    <s v="MW09C21028"/>
    <s v="Segurança Industrial"/>
    <n v="145.55000000000001"/>
    <s v="Valor Security Service ref  Docto Nr  731"/>
    <x v="0"/>
    <s v=""/>
    <s v="4009935938"/>
    <s v="4009935938"/>
    <s v="EFXNJ"/>
    <s v="2"/>
    <n v="45853"/>
    <s v="4640008113"/>
    <n v="45891"/>
    <s v="15072531016380"/>
    <s v=""/>
    <n v="0"/>
    <s v=""/>
    <s v=""/>
  </r>
  <r>
    <x v="3"/>
    <d v="2025-08-22T00:00:00"/>
    <x v="7"/>
    <s v="6711000"/>
    <s v="Security Service"/>
    <s v="MW09C21022"/>
    <s v="Segurança do Trabalh"/>
    <n v="68.540000000000006"/>
    <s v="Valor Security Service ref  Docto Nr  731"/>
    <x v="0"/>
    <s v=""/>
    <s v="4009935938"/>
    <s v="4009935938"/>
    <s v="EFXNJ"/>
    <s v="3"/>
    <n v="45853"/>
    <s v="4640008113"/>
    <n v="45891"/>
    <s v="15072531016380"/>
    <s v=""/>
    <n v="0"/>
    <s v=""/>
    <s v=""/>
  </r>
  <r>
    <x v="3"/>
    <d v="2025-08-22T00:00:00"/>
    <x v="7"/>
    <s v="6711000"/>
    <s v="Security Service"/>
    <s v="MW09C20005"/>
    <s v="Engineering"/>
    <n v="197.84"/>
    <s v="Valor Security Service ref  Docto Nr  731"/>
    <x v="0"/>
    <s v=""/>
    <s v="4009935938"/>
    <s v="4009935938"/>
    <s v="EFXNJ"/>
    <s v="4"/>
    <n v="45853"/>
    <s v="4640008113"/>
    <n v="45891"/>
    <s v="15072531016380"/>
    <s v=""/>
    <n v="0"/>
    <s v=""/>
    <s v=""/>
  </r>
  <r>
    <x v="3"/>
    <d v="2025-08-22T00:00:00"/>
    <x v="7"/>
    <s v="6711000"/>
    <s v="Security Service"/>
    <s v="MW09C21028"/>
    <s v="Segurança Industrial"/>
    <n v="38.86"/>
    <s v="Valor Security Service ref  Docto Nr  731"/>
    <x v="0"/>
    <s v=""/>
    <s v="4009935938"/>
    <s v="4009935938"/>
    <s v="EFXNJ"/>
    <s v="5"/>
    <n v="45853"/>
    <s v="4640008113"/>
    <n v="45891"/>
    <s v="15072531016380"/>
    <s v=""/>
    <n v="0"/>
    <s v=""/>
    <s v=""/>
  </r>
  <r>
    <x v="3"/>
    <d v="2025-09-03T00:00:00"/>
    <x v="8"/>
    <s v="6711000"/>
    <s v="Security Service"/>
    <s v="MW09C20000"/>
    <s v="Manag. of Ind. Oper."/>
    <n v="-10998.47"/>
    <s v="estorno"/>
    <x v="0"/>
    <s v=""/>
    <s v="4009950464"/>
    <s v="4009950464"/>
    <s v="EFXNJ"/>
    <s v="1"/>
    <n v="45876"/>
    <s v="4570000114"/>
    <n v="45903"/>
    <s v="15072531016398"/>
    <s v=""/>
    <n v="0"/>
    <s v=""/>
    <s v=""/>
  </r>
  <r>
    <x v="3"/>
    <d v="2025-09-03T00:00:00"/>
    <x v="8"/>
    <s v="6711000"/>
    <s v="Security Service"/>
    <s v="MW09C20000"/>
    <s v="Manag. of Ind. Oper."/>
    <n v="3189.56"/>
    <s v="Valor Security Service ref  Docto Nr  732"/>
    <x v="0"/>
    <s v=""/>
    <s v="4009950466"/>
    <s v="4009950466"/>
    <s v="EFXNJ"/>
    <s v="1"/>
    <n v="45853"/>
    <s v="4640008499"/>
    <n v="45903"/>
    <s v="15072531016398"/>
    <s v=""/>
    <n v="0"/>
    <s v=""/>
    <s v=""/>
  </r>
  <r>
    <x v="3"/>
    <d v="2025-09-03T00:00:00"/>
    <x v="8"/>
    <s v="6711000"/>
    <s v="Security Service"/>
    <s v="MW09C21022"/>
    <s v="Segurança do Trabalh"/>
    <n v="1099.8499999999999"/>
    <s v="Valor Security Service ref  Docto Nr  732"/>
    <x v="0"/>
    <s v=""/>
    <s v="4009950466"/>
    <s v="4009950466"/>
    <s v="EFXNJ"/>
    <s v="2"/>
    <n v="45853"/>
    <s v="4640008499"/>
    <n v="45903"/>
    <s v="15072531016398"/>
    <s v=""/>
    <n v="0"/>
    <s v=""/>
    <s v=""/>
  </r>
  <r>
    <x v="3"/>
    <d v="2025-09-03T00:00:00"/>
    <x v="8"/>
    <s v="6711000"/>
    <s v="Security Service"/>
    <s v="MW09C21028"/>
    <s v="Segurança Industrial"/>
    <n v="362.94"/>
    <s v="Valor Security Service ref  Docto Nr  732"/>
    <x v="0"/>
    <s v=""/>
    <s v="4009950466"/>
    <s v="4009950466"/>
    <s v="EFXNJ"/>
    <s v="3"/>
    <n v="45853"/>
    <s v="4640008499"/>
    <n v="45903"/>
    <s v="15072531016398"/>
    <s v=""/>
    <n v="0"/>
    <s v=""/>
    <s v=""/>
  </r>
  <r>
    <x v="3"/>
    <d v="2025-09-03T00:00:00"/>
    <x v="8"/>
    <s v="6711000"/>
    <s v="Security Service"/>
    <s v="MW09C20005"/>
    <s v="Engineering"/>
    <n v="4311.3999999999996"/>
    <s v="Valor Security Service ref  Docto Nr  732"/>
    <x v="0"/>
    <s v=""/>
    <s v="4009950466"/>
    <s v="4009950466"/>
    <s v="EFXNJ"/>
    <s v="4"/>
    <n v="45853"/>
    <s v="4640008499"/>
    <n v="45903"/>
    <s v="15072531016398"/>
    <s v=""/>
    <n v="0"/>
    <s v=""/>
    <s v=""/>
  </r>
  <r>
    <x v="3"/>
    <d v="2025-09-03T00:00:00"/>
    <x v="8"/>
    <s v="6711000"/>
    <s v="Security Service"/>
    <s v="MW09C21028"/>
    <s v="Segurança Industrial"/>
    <n v="2034.72"/>
    <s v="Valor Security Service ref  Docto Nr  732"/>
    <x v="0"/>
    <s v=""/>
    <s v="4009950466"/>
    <s v="4009950466"/>
    <s v="EFXNJ"/>
    <s v="5"/>
    <n v="45853"/>
    <s v="4640008499"/>
    <n v="45903"/>
    <s v="15072531016398"/>
    <s v=""/>
    <n v="0"/>
    <s v=""/>
    <s v=""/>
  </r>
  <r>
    <x v="3"/>
    <d v="2025-09-05T00:00:00"/>
    <x v="8"/>
    <s v="6711000"/>
    <s v="Security Service"/>
    <s v="MW09C21028"/>
    <s v="Segurança Industrial"/>
    <n v="8313.4599999999991"/>
    <s v="Valor Security Service ref  Docto Nr  735"/>
    <x v="0"/>
    <s v=""/>
    <s v="4009954008"/>
    <s v="4009954008"/>
    <s v="EFXNJ"/>
    <s v="1"/>
    <n v="45876"/>
    <s v="4640008682"/>
    <n v="45905"/>
    <s v="07082531035008"/>
    <s v=""/>
    <n v="0"/>
    <s v=""/>
    <s v=""/>
  </r>
  <r>
    <x v="3"/>
    <d v="2025-09-08T00:00:00"/>
    <x v="8"/>
    <s v="6711000"/>
    <s v="Security Service"/>
    <s v="MW09C20000"/>
    <s v="Manag. of Ind. Oper."/>
    <n v="-3189.56"/>
    <s v="Valor Security Service ref  Docto Nr  732"/>
    <x v="0"/>
    <s v=""/>
    <s v="4009960165"/>
    <s v="4009960165"/>
    <s v="EFXNJ"/>
    <s v="1"/>
    <n v="45853"/>
    <s v="4690000390"/>
    <n v="45903"/>
    <s v="15072531016398"/>
    <s v=""/>
    <n v="0"/>
    <s v=""/>
    <s v=""/>
  </r>
  <r>
    <x v="3"/>
    <d v="2025-09-08T00:00:00"/>
    <x v="8"/>
    <s v="6711000"/>
    <s v="Security Service"/>
    <s v="MW09C21022"/>
    <s v="Segurança do Trabalh"/>
    <n v="-1099.8499999999999"/>
    <s v="Valor Security Service ref  Docto Nr  732"/>
    <x v="0"/>
    <s v=""/>
    <s v="4009960165"/>
    <s v="4009960165"/>
    <s v="EFXNJ"/>
    <s v="2"/>
    <n v="45853"/>
    <s v="4690000390"/>
    <n v="45903"/>
    <s v="15072531016398"/>
    <s v=""/>
    <n v="0"/>
    <s v=""/>
    <s v=""/>
  </r>
  <r>
    <x v="3"/>
    <d v="2025-09-08T00:00:00"/>
    <x v="8"/>
    <s v="6711000"/>
    <s v="Security Service"/>
    <s v="MW09C21028"/>
    <s v="Segurança Industrial"/>
    <n v="-362.94"/>
    <s v="Valor Security Service ref  Docto Nr  732"/>
    <x v="0"/>
    <s v=""/>
    <s v="4009960165"/>
    <s v="4009960165"/>
    <s v="EFXNJ"/>
    <s v="3"/>
    <n v="45853"/>
    <s v="4690000390"/>
    <n v="45903"/>
    <s v="15072531016398"/>
    <s v=""/>
    <n v="0"/>
    <s v=""/>
    <s v=""/>
  </r>
  <r>
    <x v="3"/>
    <d v="2025-09-08T00:00:00"/>
    <x v="8"/>
    <s v="6711000"/>
    <s v="Security Service"/>
    <s v="MW09C20005"/>
    <s v="Engineering"/>
    <n v="-4311.3999999999996"/>
    <s v="Valor Security Service ref  Docto Nr  732"/>
    <x v="0"/>
    <s v=""/>
    <s v="4009960165"/>
    <s v="4009960165"/>
    <s v="EFXNJ"/>
    <s v="4"/>
    <n v="45853"/>
    <s v="4690000390"/>
    <n v="45903"/>
    <s v="15072531016398"/>
    <s v=""/>
    <n v="0"/>
    <s v=""/>
    <s v=""/>
  </r>
  <r>
    <x v="3"/>
    <d v="2025-09-08T00:00:00"/>
    <x v="8"/>
    <s v="6711000"/>
    <s v="Security Service"/>
    <s v="MW09C21028"/>
    <s v="Segurança Industrial"/>
    <n v="-2034.72"/>
    <s v="Valor Security Service ref  Docto Nr  732"/>
    <x v="0"/>
    <s v=""/>
    <s v="4009960165"/>
    <s v="4009960165"/>
    <s v="EFXNJ"/>
    <s v="5"/>
    <n v="45853"/>
    <s v="4690000390"/>
    <n v="45903"/>
    <s v="15072531016398"/>
    <s v=""/>
    <n v="0"/>
    <s v=""/>
    <s v=""/>
  </r>
  <r>
    <x v="3"/>
    <d v="2025-09-09T00:00:00"/>
    <x v="8"/>
    <s v="6711000"/>
    <s v="Security Service"/>
    <s v="MW09C20000"/>
    <s v="Manag. of Ind. Oper."/>
    <n v="3189.56"/>
    <s v="Valor Security Service ref  Docto Nr  732"/>
    <x v="0"/>
    <s v=""/>
    <s v="4009961695"/>
    <s v="4009961695"/>
    <s v="EFXNJ"/>
    <s v="1"/>
    <n v="45853"/>
    <s v="4640008764"/>
    <n v="45909"/>
    <s v="15072531016398"/>
    <s v=""/>
    <n v="0"/>
    <s v=""/>
    <s v=""/>
  </r>
  <r>
    <x v="3"/>
    <d v="2025-09-09T00:00:00"/>
    <x v="8"/>
    <s v="6711000"/>
    <s v="Security Service"/>
    <s v="MW09C21022"/>
    <s v="Segurança do Trabalh"/>
    <n v="1099.8499999999999"/>
    <s v="Valor Security Service ref  Docto Nr  732"/>
    <x v="0"/>
    <s v=""/>
    <s v="4009961695"/>
    <s v="4009961695"/>
    <s v="EFXNJ"/>
    <s v="2"/>
    <n v="45853"/>
    <s v="4640008764"/>
    <n v="45909"/>
    <s v="15072531016398"/>
    <s v=""/>
    <n v="0"/>
    <s v=""/>
    <s v=""/>
  </r>
  <r>
    <x v="3"/>
    <d v="2025-09-09T00:00:00"/>
    <x v="8"/>
    <s v="6711000"/>
    <s v="Security Service"/>
    <s v="MW09C21028"/>
    <s v="Segurança Industrial"/>
    <n v="362.95"/>
    <s v="Valor Security Service ref  Docto Nr  732"/>
    <x v="0"/>
    <s v=""/>
    <s v="4009961695"/>
    <s v="4009961695"/>
    <s v="EFXNJ"/>
    <s v="3"/>
    <n v="45853"/>
    <s v="4640008764"/>
    <n v="45909"/>
    <s v="15072531016398"/>
    <s v=""/>
    <n v="0"/>
    <s v=""/>
    <s v=""/>
  </r>
  <r>
    <x v="3"/>
    <d v="2025-09-09T00:00:00"/>
    <x v="8"/>
    <s v="6711000"/>
    <s v="Security Service"/>
    <s v="MW09C20005"/>
    <s v="Engineering"/>
    <n v="4311.3999999999996"/>
    <s v="Valor Security Service ref  Docto Nr  732"/>
    <x v="0"/>
    <s v=""/>
    <s v="4009961695"/>
    <s v="4009961695"/>
    <s v="EFXNJ"/>
    <s v="4"/>
    <n v="45853"/>
    <s v="4640008764"/>
    <n v="45909"/>
    <s v="15072531016398"/>
    <s v=""/>
    <n v="0"/>
    <s v=""/>
    <s v=""/>
  </r>
  <r>
    <x v="3"/>
    <d v="2025-09-09T00:00:00"/>
    <x v="8"/>
    <s v="6711000"/>
    <s v="Security Service"/>
    <s v="MW09C21028"/>
    <s v="Segurança Industrial"/>
    <n v="2034.71"/>
    <s v="Valor Security Service ref  Docto Nr  732"/>
    <x v="0"/>
    <s v=""/>
    <s v="4009961695"/>
    <s v="4009961695"/>
    <s v="EFXNJ"/>
    <s v="5"/>
    <n v="45853"/>
    <s v="4640008764"/>
    <n v="45909"/>
    <s v="15072531016398"/>
    <s v=""/>
    <n v="0"/>
    <s v=""/>
    <s v=""/>
  </r>
  <r>
    <x v="3"/>
    <d v="2025-09-16T00:00:00"/>
    <x v="8"/>
    <s v="6711000"/>
    <s v="Security Service"/>
    <s v="MW09C21028"/>
    <s v="Segurança Industrial"/>
    <n v="11203.85"/>
    <s v="Valor Security Service ref  Docto Nr  751"/>
    <x v="0"/>
    <s v="661048937"/>
    <s v="4009974744"/>
    <s v="4009974744"/>
    <s v="GNEDA"/>
    <s v="1"/>
    <n v="45912"/>
    <s v="5111355332"/>
    <n v="45916"/>
    <s v="14092531010099"/>
    <s v="SEGURANÇA PATRIMONIAL - BELFORD ROXO"/>
    <n v="1"/>
    <s v=""/>
    <s v=""/>
  </r>
  <r>
    <x v="3"/>
    <d v="2025-09-18T00:00:00"/>
    <x v="8"/>
    <s v="6711000"/>
    <s v="Security Service"/>
    <s v="MW09C21028"/>
    <s v="Segurança Industrial"/>
    <n v="2149.0300000000002"/>
    <s v="Valor Security Service ref  Docto Nr  754"/>
    <x v="0"/>
    <s v=""/>
    <s v="4009978166"/>
    <s v="4009978166"/>
    <s v="GNEDA"/>
    <s v="1"/>
    <n v="45915"/>
    <s v="4640009215"/>
    <n v="45918"/>
    <s v="16092531033546"/>
    <s v=""/>
    <n v="0"/>
    <s v=""/>
    <s v=""/>
  </r>
  <r>
    <x v="3"/>
    <d v="2025-09-18T00:00:00"/>
    <x v="8"/>
    <s v="6711000"/>
    <s v="Security Service"/>
    <s v="MW09C20000"/>
    <s v="Manag. of Ind. Oper."/>
    <n v="799"/>
    <s v="Valor Security Service ref  Docto Nr  754"/>
    <x v="0"/>
    <s v=""/>
    <s v="4009978166"/>
    <s v="4009978166"/>
    <s v="GNEDA"/>
    <s v="2"/>
    <n v="45915"/>
    <s v="4640009215"/>
    <n v="45918"/>
    <s v="16092531033546"/>
    <s v=""/>
    <n v="0"/>
    <s v=""/>
    <s v=""/>
  </r>
  <r>
    <x v="3"/>
    <d v="2025-09-18T00:00:00"/>
    <x v="8"/>
    <s v="6711000"/>
    <s v="Security Service"/>
    <s v="MW09C20005"/>
    <s v="Engineering"/>
    <n v="79.23"/>
    <s v="Valor Security Service ref  Docto Nr  755"/>
    <x v="0"/>
    <s v=""/>
    <s v="4009978171"/>
    <s v="4009978171"/>
    <s v="GNEDA"/>
    <s v="1"/>
    <n v="45915"/>
    <s v="4640009216"/>
    <n v="45918"/>
    <s v="16092531033554"/>
    <s v=""/>
    <n v="0"/>
    <s v=""/>
    <s v=""/>
  </r>
  <r>
    <x v="3"/>
    <d v="2025-09-18T00:00:00"/>
    <x v="8"/>
    <s v="6711000"/>
    <s v="Security Service"/>
    <s v="MW09C20000"/>
    <s v="Manag. of Ind. Oper."/>
    <n v="187.07"/>
    <s v="Valor Security Service ref  Docto Nr  755"/>
    <x v="0"/>
    <s v=""/>
    <s v="4009978171"/>
    <s v="4009978171"/>
    <s v="GNEDA"/>
    <s v="2"/>
    <n v="45915"/>
    <s v="4640009216"/>
    <n v="45918"/>
    <s v="16092531033554"/>
    <s v=""/>
    <n v="0"/>
    <s v=""/>
    <s v=""/>
  </r>
  <r>
    <x v="3"/>
    <d v="2025-10-13T00:00:00"/>
    <x v="9"/>
    <s v="6711000"/>
    <s v="Security Service"/>
    <s v="MW09C21028"/>
    <s v="Segurança Industrial"/>
    <n v="10167.5"/>
    <s v="Valor Security Service ref  Docto Nr  756"/>
    <x v="0"/>
    <s v="661063614"/>
    <s v="4010023055"/>
    <s v="4010023055"/>
    <s v="EFXNJ"/>
    <s v="1"/>
    <d v="2025-10-06T00:00:00"/>
    <s v="5111445664"/>
    <d v="2025-10-13T00:00:00"/>
    <s v="09102531021208"/>
    <s v="SEGURANÇA PATRIMONIAL - BELFORD ROXO"/>
    <n v="1"/>
    <s v=""/>
    <s v=""/>
  </r>
  <r>
    <x v="3"/>
    <d v="2025-10-17T00:00:00"/>
    <x v="9"/>
    <s v="6711000"/>
    <s v="Security Service"/>
    <s v="MW09C20400"/>
    <s v="Manufac. Personnel"/>
    <n v="219.46"/>
    <s v="Valor Security Service ref  Docto Nr  762"/>
    <x v="0"/>
    <s v=""/>
    <s v="4010030573"/>
    <s v="4010030573"/>
    <s v="GNEDA"/>
    <s v="1"/>
    <d v="2025-10-13T00:00:00"/>
    <s v="4640010440"/>
    <d v="2025-10-17T00:00:00"/>
    <s v="15102531025389"/>
    <s v=""/>
    <n v="0"/>
    <s v=""/>
    <s v=""/>
  </r>
  <r>
    <x v="3"/>
    <d v="2025-10-17T00:00:00"/>
    <x v="9"/>
    <s v="6711000"/>
    <s v="Security Service"/>
    <s v="MW09C20000"/>
    <s v="Manag. of Ind. Oper."/>
    <n v="249.47"/>
    <s v="Valor Security Service ref  Docto Nr  762"/>
    <x v="0"/>
    <s v=""/>
    <s v="4010030573"/>
    <s v="4010030573"/>
    <s v="GNEDA"/>
    <s v="2"/>
    <d v="2025-10-13T00:00:00"/>
    <s v="4640010440"/>
    <d v="2025-10-17T00:00:00"/>
    <s v="15102531025389"/>
    <s v=""/>
    <n v="0"/>
    <s v=""/>
    <s v=""/>
  </r>
  <r>
    <x v="3"/>
    <d v="2025-10-17T00:00:00"/>
    <x v="9"/>
    <s v="6711000"/>
    <s v="Security Service"/>
    <s v="MW09C21028"/>
    <s v="Segurança Industrial"/>
    <n v="250.14"/>
    <s v="Valor Security Service ref  Docto Nr  761"/>
    <x v="0"/>
    <s v=""/>
    <s v="4010030574"/>
    <s v="4010030574"/>
    <s v="GNEDA"/>
    <s v="1"/>
    <d v="2025-10-13T00:00:00"/>
    <s v="4640010441"/>
    <d v="2025-10-17T00:00:00"/>
    <s v="15102531025397"/>
    <s v=""/>
    <n v="0"/>
    <s v=""/>
    <s v=""/>
  </r>
  <r>
    <x v="3"/>
    <d v="2025-10-17T00:00:00"/>
    <x v="9"/>
    <s v="6711000"/>
    <s v="Security Service"/>
    <s v="MW09C20400"/>
    <s v="Manufac. Personnel"/>
    <n v="26.96"/>
    <s v="Valor Security Service ref  Docto Nr  761"/>
    <x v="0"/>
    <s v=""/>
    <s v="4010030574"/>
    <s v="4010030574"/>
    <s v="GNEDA"/>
    <s v="2"/>
    <d v="2025-10-13T00:00:00"/>
    <s v="4640010441"/>
    <d v="2025-10-17T00:00:00"/>
    <s v="15102531025397"/>
    <s v=""/>
    <n v="0"/>
    <s v=""/>
    <s v=""/>
  </r>
  <r>
    <x v="3"/>
    <d v="2025-10-17T00:00:00"/>
    <x v="9"/>
    <s v="6711000"/>
    <s v="Security Service"/>
    <s v="MW09C20000"/>
    <s v="Manag. of Ind. Oper."/>
    <n v="17.87"/>
    <s v="Valor Security Service ref  Docto Nr  761"/>
    <x v="0"/>
    <s v=""/>
    <s v="4010030574"/>
    <s v="4010030574"/>
    <s v="GNEDA"/>
    <s v="3"/>
    <d v="2025-10-13T00:00:00"/>
    <s v="4640010441"/>
    <d v="2025-10-17T00:00:00"/>
    <s v="15102531025397"/>
    <s v=""/>
    <n v="0"/>
    <s v=""/>
    <s v=""/>
  </r>
  <r>
    <x v="3"/>
    <d v="2025-10-17T00:00:00"/>
    <x v="9"/>
    <s v="6711000"/>
    <s v="Security Service"/>
    <s v="MW09C20005"/>
    <s v="Engineering"/>
    <n v="18.489999999999998"/>
    <s v="Valor Security Service ref  Docto Nr  761"/>
    <x v="0"/>
    <s v=""/>
    <s v="4010030574"/>
    <s v="4010030574"/>
    <s v="GNEDA"/>
    <s v="4"/>
    <n v="45943"/>
    <s v="4640010441"/>
    <n v="45947"/>
    <s v="15102531025397"/>
    <s v=""/>
    <n v="0"/>
    <s v=""/>
    <s v=""/>
  </r>
  <r>
    <x v="3"/>
    <d v="2025-10-17T00:00:00"/>
    <x v="9"/>
    <s v="6711000"/>
    <s v="Security Service"/>
    <s v="MW09C20000"/>
    <s v="Manag. of Ind. Oper."/>
    <n v="220.74"/>
    <s v="Valor Security Service ref  Docto Nr  763"/>
    <x v="0"/>
    <s v=""/>
    <s v="4010030575"/>
    <s v="4010030575"/>
    <s v="GNEDA"/>
    <s v="1"/>
    <n v="45943"/>
    <s v="4640010442"/>
    <n v="45947"/>
    <s v="15102531025400"/>
    <s v=""/>
    <n v="0"/>
    <s v=""/>
    <s v=""/>
  </r>
  <r>
    <x v="4"/>
    <d v="2026-01-19T00:00:00"/>
    <x v="0"/>
    <s v="6711000"/>
    <s v="Security Service"/>
    <s v="MW09C21028"/>
    <s v="Segurança Industrial"/>
    <n v="11203.85"/>
    <s v="Valor Security Service ref  Docto Nr  11"/>
    <x v="0"/>
    <s v="661104536"/>
    <s v="4010153896"/>
    <s v="4010153896"/>
    <s v="GNEDA"/>
    <s v="1"/>
    <n v="46034"/>
    <s v="5111758621"/>
    <n v="46041"/>
    <s v="15012631026874"/>
    <s v="SEGURANÇA PATRIMONIAL - BELFORD ROXO"/>
    <n v="1"/>
    <s v=""/>
    <s v=""/>
  </r>
  <r>
    <x v="4"/>
    <d v="2026-01-27T00:00:00"/>
    <x v="0"/>
    <s v="6711000"/>
    <s v="Security Service"/>
    <s v="MW09C21028"/>
    <s v="Segurança Industrial"/>
    <n v="1131.1500000000001"/>
    <s v="Valor Security Service ref  Docto Nr  13"/>
    <x v="0"/>
    <s v=""/>
    <s v="4010160118"/>
    <s v="4010160118"/>
    <s v="YWEGT"/>
    <s v="1"/>
    <n v="46044"/>
    <s v="4640000822"/>
    <n v="46049"/>
    <s v="23012631022665"/>
    <s v=""/>
    <n v="0"/>
    <s v=""/>
    <s v=""/>
  </r>
  <r>
    <x v="4"/>
    <d v="2026-01-27T00:00:00"/>
    <x v="0"/>
    <s v="6711000"/>
    <s v="Security Service"/>
    <s v="MW09C21028"/>
    <s v="Segurança Industrial"/>
    <n v="104.77"/>
    <s v="Valor Security Service ref  Docto Nr  12"/>
    <x v="0"/>
    <s v=""/>
    <s v="4010160119"/>
    <s v="4010160119"/>
    <s v="YWEGT"/>
    <s v="1"/>
    <n v="46044"/>
    <s v="4640000823"/>
    <n v="46049"/>
    <s v="23012631022657"/>
    <s v=""/>
    <n v="0"/>
    <s v=""/>
    <s v=""/>
  </r>
  <r>
    <x v="4"/>
    <d v="2026-02-20T00:00:00"/>
    <x v="1"/>
    <s v="6711000"/>
    <s v="Security Service"/>
    <s v="MW09C21028"/>
    <s v="Segurança Industrial"/>
    <n v="11203.85"/>
    <s v="Valor Security Service ref  Docto Nr  23"/>
    <x v="0"/>
    <s v="661116723"/>
    <s v="4010182893"/>
    <s v="4010182893"/>
    <s v="YWEGT"/>
    <s v="1"/>
    <n v="46065"/>
    <s v="5111866863"/>
    <n v="46073"/>
    <s v="18022631017358"/>
    <s v="SEGURANÇA PATRIMONIAL - BELFORD ROXO"/>
    <n v="1"/>
    <s v=""/>
    <s v=""/>
  </r>
  <r>
    <x v="4"/>
    <d v="2026-03-17T00:00:00"/>
    <x v="2"/>
    <s v="6711000"/>
    <s v="Security Service"/>
    <s v="MW09C21028"/>
    <s v="Segurança Industrial"/>
    <n v="978.1"/>
    <s v="Valor Security Service ref  Docto Nr  27"/>
    <x v="0"/>
    <s v=""/>
    <s v="4010210418"/>
    <s v="4010210418"/>
    <s v="YWEGT"/>
    <s v="1"/>
    <d v="2026-03-09T00:00:00"/>
    <s v="4640002564"/>
    <d v="2026-03-17T00:00:00"/>
    <s v="10032631035998"/>
    <s v=""/>
    <n v="0"/>
    <s v=""/>
    <s v=""/>
  </r>
  <r>
    <x v="4"/>
    <d v="2026-03-17T00:00:00"/>
    <x v="2"/>
    <s v="6711000"/>
    <s v="Security Service"/>
    <s v="MW09C21028"/>
    <s v="Segurança Industrial"/>
    <n v="12181.96"/>
    <s v="Valor Security Service ref  Docto Nr  26"/>
    <x v="0"/>
    <s v="661131675"/>
    <s v="4010210419"/>
    <s v="4010210419"/>
    <s v="YWEGT"/>
    <s v="1"/>
    <d v="2026-03-09T00:00:00"/>
    <s v="5111958987"/>
    <d v="2026-03-17T00:00:00"/>
    <s v="10032631036008"/>
    <s v="SEGURANÇA PATRIMONIAL - BELFORD ROXO"/>
    <n v="1"/>
    <s v=""/>
    <s v=""/>
  </r>
  <r>
    <x v="4"/>
    <d v="2026-03-26T00:00:00"/>
    <x v="2"/>
    <s v="6711000"/>
    <s v="Security Service"/>
    <s v="MW09C21028"/>
    <s v="Segurança Industrial"/>
    <n v="2816.38"/>
    <s v="Valor Security Service ref  Docto Nr  38"/>
    <x v="0"/>
    <s v=""/>
    <s v="4010215382"/>
    <s v="4010215382"/>
    <s v="GLRPT"/>
    <s v="1"/>
    <d v="2026-03-18T00:00:00"/>
    <s v="4640002894"/>
    <d v="2026-03-26T00:00:00"/>
    <s v="19032631018354"/>
    <s v=""/>
    <n v="0"/>
    <s v=""/>
    <s v=""/>
  </r>
  <r>
    <x v="4"/>
    <d v="2026-03-26T00:00:00"/>
    <x v="2"/>
    <s v="6711000"/>
    <s v="Security Service"/>
    <s v="MW09C20000"/>
    <s v="Manag. of Ind. Oper."/>
    <n v="3526.82"/>
    <s v="Valor Security Service ref  Docto Nr  38"/>
    <x v="0"/>
    <s v=""/>
    <s v="4010215382"/>
    <s v="4010215382"/>
    <s v="GLRPT"/>
    <s v="2"/>
    <d v="2026-03-18T00:00:00"/>
    <s v="4640002894"/>
    <d v="2026-03-26T00:00:00"/>
    <s v="19032631018354"/>
    <s v=""/>
    <n v="0"/>
    <s v=""/>
    <s v=""/>
  </r>
  <r>
    <x v="4"/>
    <d v="2026-03-26T00:00:00"/>
    <x v="2"/>
    <s v="6711000"/>
    <s v="Security Service"/>
    <s v="MW09C21028"/>
    <s v="Segurança Industrial"/>
    <n v="3732.12"/>
    <s v="Valor Security Service ref  Docto Nr  37"/>
    <x v="0"/>
    <s v=""/>
    <s v="4010215383"/>
    <s v="4010215383"/>
    <s v="GLRPT"/>
    <s v="1"/>
    <d v="2026-03-18T00:00:00"/>
    <s v="4640002895"/>
    <d v="2026-03-26T00:00:00"/>
    <s v="19032631018362"/>
    <s v=""/>
    <n v="0"/>
    <s v=""/>
    <s v=""/>
  </r>
  <r>
    <x v="4"/>
    <d v="2026-03-26T00:00:00"/>
    <x v="2"/>
    <s v="6711000"/>
    <s v="Security Service"/>
    <s v="MW09C20000"/>
    <s v="Manag. of Ind. Oper."/>
    <n v="3296.36"/>
    <s v="Valor Security Service ref  Docto Nr  37"/>
    <x v="0"/>
    <s v=""/>
    <s v="4010215383"/>
    <s v="4010215383"/>
    <s v="GLRPT"/>
    <s v="2"/>
    <d v="2026-03-18T00:00:00"/>
    <s v="4640002895"/>
    <d v="2026-03-26T00:00:00"/>
    <s v="19032631018362"/>
    <s v=""/>
    <n v="0"/>
    <s v=""/>
    <s v=""/>
  </r>
  <r>
    <x v="4"/>
    <d v="2026-03-26T00:00:00"/>
    <x v="2"/>
    <s v="6711000"/>
    <s v="Security Service"/>
    <s v="MW09C20005"/>
    <s v="Engineering"/>
    <n v="2009.71"/>
    <s v="Valor Security Service ref  Docto Nr  40"/>
    <x v="0"/>
    <s v=""/>
    <s v="4010215384"/>
    <s v="4010215384"/>
    <s v="GLRPT"/>
    <s v="1"/>
    <d v="2026-03-18T00:00:00"/>
    <s v="4640002896"/>
    <d v="2026-03-26T00:00:00"/>
    <s v="19032631018370"/>
    <s v=""/>
    <n v="0"/>
    <s v=""/>
    <s v=""/>
  </r>
  <r>
    <x v="4"/>
    <d v="2026-03-26T00:00:00"/>
    <x v="2"/>
    <s v="6711000"/>
    <s v="Security Service"/>
    <s v="MW09C21028"/>
    <s v="Segurança Industrial"/>
    <n v="342.46"/>
    <s v="Valor Security Service ref  Docto Nr  39"/>
    <x v="0"/>
    <s v=""/>
    <s v="4010215385"/>
    <s v="4010215385"/>
    <s v="GLRPT"/>
    <s v="1"/>
    <d v="2026-03-18T00:00:00"/>
    <s v="4640002897"/>
    <d v="2026-03-26T00:00:00"/>
    <s v="19032631018389"/>
    <s v=""/>
    <n v="0"/>
    <s v=""/>
    <s v=""/>
  </r>
  <r>
    <x v="4"/>
    <d v="2026-03-26T00:00:00"/>
    <x v="2"/>
    <s v="6711000"/>
    <s v="Security Service"/>
    <s v="MW09C20000"/>
    <s v="Manag. of Ind. Oper."/>
    <n v="258.33999999999997"/>
    <s v="Valor Security Service ref  Docto Nr  39"/>
    <x v="0"/>
    <s v=""/>
    <s v="4010215385"/>
    <s v="4010215385"/>
    <s v="GLRPT"/>
    <s v="2"/>
    <d v="2026-03-18T00:00:00"/>
    <s v="4640002897"/>
    <d v="2026-03-26T00:00:00"/>
    <s v="19032631018389"/>
    <s v=""/>
    <n v="0"/>
    <s v=""/>
    <s v=""/>
  </r>
  <r>
    <x v="4"/>
    <d v="2026-04-24T00:00:00"/>
    <x v="3"/>
    <s v="6711000"/>
    <s v="Security Service"/>
    <s v="MW09C21028"/>
    <s v="Segurança Industrial"/>
    <n v="12181.96"/>
    <s v="Valor Security Service ref  Docto Nr  51"/>
    <x v="0"/>
    <s v="661146370"/>
    <s v="4010247164"/>
    <s v="4010247164"/>
    <s v="GNEPP"/>
    <s v="1"/>
    <d v="2026-04-15T00:00:00"/>
    <s v="5112084598"/>
    <d v="2026-04-24T00:00:00"/>
    <s v="15042631019541"/>
    <s v="SEGURANÇA PATRIMONIAL - BELFORD ROXO"/>
    <n v="1"/>
    <s v=""/>
    <s v=""/>
  </r>
  <r>
    <x v="4"/>
    <d v="2026-05-18T00:00:00"/>
    <x v="4"/>
    <s v="6711000"/>
    <s v="Security Service"/>
    <s v="MW09C21028"/>
    <s v="Segurança Industrial"/>
    <n v="12181.96"/>
    <s v="Valor Security Service ref  Docto Nr  54"/>
    <x v="0"/>
    <s v="661160211"/>
    <s v="4010274608"/>
    <s v="4010274608"/>
    <s v="GNEDA"/>
    <s v="1"/>
    <d v="2026-05-12T00:00:00"/>
    <s v="5112154750"/>
    <d v="2026-05-18T00:00:00"/>
    <s v="12052631016103"/>
    <s v="SEGURANÇA PATRIMONIAL - BELFORD ROXO"/>
    <n v="1"/>
    <s v=""/>
    <s v=""/>
  </r>
  <r>
    <x v="4"/>
    <d v="2026-05-18T00:00:00"/>
    <x v="4"/>
    <s v="6711000"/>
    <s v="Security Service"/>
    <s v="MW09C20000"/>
    <s v="Manag. of Ind. Oper."/>
    <n v="531.34"/>
    <s v="Valor Security Service ref  Docto Nr  55"/>
    <x v="0"/>
    <s v=""/>
    <s v="4010274811"/>
    <s v="4010274811"/>
    <s v="GNEDA"/>
    <s v="1"/>
    <d v="2026-05-12T00:00:00"/>
    <s v="4640005061"/>
    <d v="2026-05-18T00:00:00"/>
    <s v="&quot;Global due12052631016111"/>
    <s v=""/>
    <n v="0"/>
    <s v=""/>
    <s v=""/>
  </r>
  <r>
    <x v="4"/>
    <d v="2026-05-18T00:00:00"/>
    <x v="4"/>
    <s v="6711000"/>
    <s v="Security Service"/>
    <s v="MW09C21028"/>
    <s v="Segurança Industrial"/>
    <n v="1552.36"/>
    <s v="Valor Security Service ref  Docto Nr  55"/>
    <x v="0"/>
    <s v=""/>
    <s v="4010274811"/>
    <s v="4010274811"/>
    <s v="GNEDA"/>
    <s v="2"/>
    <d v="2026-05-12T00:00:00"/>
    <s v="4640005061"/>
    <d v="2026-05-18T00:00:00"/>
    <s v="&quot;Global due12052631016111"/>
    <s v=""/>
    <n v="0"/>
    <s v=""/>
    <s v=""/>
  </r>
  <r>
    <x v="4"/>
    <d v="2026-05-18T00:00:00"/>
    <x v="4"/>
    <s v="6711000"/>
    <s v="Security Service"/>
    <s v="MW09C21028"/>
    <s v="Segurança Industrial"/>
    <n v="274.27"/>
    <s v="Valor Security Service ref  Docto Nr  56"/>
    <x v="0"/>
    <s v=""/>
    <s v="4010274814"/>
    <s v="4010274814"/>
    <s v="GNEDA"/>
    <s v="1"/>
    <d v="2026-05-12T00:00:00"/>
    <s v="4640005062"/>
    <d v="2026-05-18T00:00:00"/>
    <s v="&quot;Global due12052631016120"/>
    <s v=""/>
    <n v="0"/>
    <s v=""/>
    <s v=""/>
  </r>
  <r>
    <x v="4"/>
    <d v="2026-05-18T00:00:00"/>
    <x v="4"/>
    <s v="6711000"/>
    <s v="Security Service"/>
    <s v="MW09C20000"/>
    <s v="Manag. of Ind. Oper."/>
    <n v="75.56"/>
    <s v="Valor Security Service ref  Docto Nr  56"/>
    <x v="0"/>
    <s v=""/>
    <s v="4010274814"/>
    <s v="4010274814"/>
    <s v="GNEDA"/>
    <s v="2"/>
    <d v="2026-05-12T00:00:00"/>
    <s v="4640005062"/>
    <d v="2026-05-18T00:00:00"/>
    <s v="&quot;Global due12052631016120"/>
    <s v=""/>
    <n v="0"/>
    <s v=""/>
    <s v=""/>
  </r>
  <r>
    <x v="4"/>
    <d v="2026-05-18T00:00:00"/>
    <x v="4"/>
    <s v="6711000"/>
    <s v="Security Service"/>
    <s v="MW09C20000"/>
    <s v="Manag. of Ind. Oper."/>
    <n v="988.38"/>
    <s v="Valor Security Service ref  Docto Nr  57"/>
    <x v="0"/>
    <s v=""/>
    <s v="4010274821"/>
    <s v="4010274821"/>
    <s v="GNEDA"/>
    <s v="1"/>
    <d v="2026-05-06T00:00:00"/>
    <s v="4640005064"/>
    <d v="2026-05-18T00:00:00"/>
    <s v="&quot;Global due12052631016138"/>
    <s v=""/>
    <n v="0"/>
    <s v=""/>
    <s v=""/>
  </r>
  <r>
    <x v="5"/>
    <m/>
    <x v="12"/>
    <m/>
    <m/>
    <m/>
    <m/>
    <m/>
    <m/>
    <x v="1"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">
  <r>
    <x v="0"/>
    <d v="2022-01-18T00:00:00"/>
    <x v="0"/>
    <s v="6711000"/>
    <s v="Security Service"/>
    <s v="MW09C21028"/>
    <s v="Segurança Industrial"/>
    <n v="322580.15999999997"/>
    <s v="Valor Security Service ref  Docto Nr  8349"/>
    <x v="0"/>
    <s v=""/>
    <s v="660404467"/>
    <s v=""/>
    <s v="4008045316"/>
    <s v="GLRPZ"/>
    <s v="1"/>
  </r>
  <r>
    <x v="0"/>
    <d v="2022-02-10T00:00:00"/>
    <x v="1"/>
    <s v="6711000"/>
    <s v="Security Service"/>
    <s v="MW09C21028"/>
    <s v="Segurança Industrial"/>
    <n v="322580.15999999997"/>
    <s v="Valor Security Service ref  Docto Nr  8451"/>
    <x v="0"/>
    <s v=""/>
    <s v="660417446"/>
    <s v=""/>
    <s v="4008093280"/>
    <s v="GMGNH"/>
    <s v="1"/>
  </r>
  <r>
    <x v="0"/>
    <d v="2022-03-29T00:00:00"/>
    <x v="2"/>
    <s v="6711000"/>
    <s v="Security Service"/>
    <s v="MW09C21028"/>
    <s v="Segurança Industrial"/>
    <n v="322580.15000000002"/>
    <s v="Valor Security Service ref  Docto Nr  8666"/>
    <x v="0"/>
    <s v=""/>
    <s v="660435669"/>
    <s v=""/>
    <s v="4008176869"/>
    <s v="GNEDA"/>
    <s v="1"/>
  </r>
  <r>
    <x v="0"/>
    <d v="2022-04-18T00:00:00"/>
    <x v="3"/>
    <s v="6711000"/>
    <s v="Security Service"/>
    <s v="MW09C21028"/>
    <s v="Segurança Industrial"/>
    <n v="321140.63"/>
    <s v="Valor Security Service ref  Docto Nr  8716"/>
    <x v="0"/>
    <s v=""/>
    <s v="660452572"/>
    <s v=""/>
    <s v="4008201971"/>
    <s v="GNLUA"/>
    <s v="1"/>
  </r>
  <r>
    <x v="0"/>
    <d v="2022-05-01T00:00:00"/>
    <x v="4"/>
    <s v="6711000"/>
    <s v="Security Service"/>
    <s v="MW09C21028"/>
    <s v="Segurança Industrial"/>
    <n v="0"/>
    <s v="Valor Security Service ref  Docto Nr  9810"/>
    <x v="0"/>
    <m/>
    <m/>
    <m/>
    <m/>
    <m/>
    <m/>
  </r>
  <r>
    <x v="0"/>
    <d v="2022-06-02T00:00:00"/>
    <x v="5"/>
    <s v="6711000"/>
    <s v="Security Service"/>
    <s v="MW09C21028"/>
    <s v="Segurança Industrial"/>
    <n v="322580.15000000002"/>
    <s v="Valor Security Service ref  Docto Nr  8887"/>
    <x v="0"/>
    <s v=""/>
    <s v="660469447"/>
    <s v=""/>
    <s v="4008278952"/>
    <s v="GLRPZ"/>
    <s v="1"/>
  </r>
  <r>
    <x v="0"/>
    <d v="2022-06-13T00:00:00"/>
    <x v="5"/>
    <s v="6711000"/>
    <s v="Security Service"/>
    <s v="MW09C21028"/>
    <s v="Segurança Industrial"/>
    <n v="322580.15000000002"/>
    <s v="SERV. VIGILÂNCIA- Site BFR"/>
    <x v="0"/>
    <s v=""/>
    <s v="660486831"/>
    <s v=""/>
    <s v="4008292705"/>
    <s v="GNEPP"/>
    <s v="1"/>
  </r>
  <r>
    <x v="0"/>
    <d v="2022-07-01T00:00:00"/>
    <x v="6"/>
    <s v="6711000"/>
    <s v="Security Service"/>
    <s v="MW09C21028"/>
    <s v="Segurança Industrial"/>
    <n v="0"/>
    <s v="Valor Security Service ref  Docto Nr  9810"/>
    <x v="0"/>
    <m/>
    <m/>
    <m/>
    <m/>
    <m/>
    <m/>
  </r>
  <r>
    <x v="0"/>
    <d v="2022-08-01T00:00:00"/>
    <x v="7"/>
    <s v="6711000"/>
    <s v="Security Service"/>
    <s v="MW09C21028"/>
    <s v="Segurança Industrial"/>
    <n v="0"/>
    <s v="Valor Security Service ref  Docto Nr  9810"/>
    <x v="0"/>
    <m/>
    <m/>
    <m/>
    <m/>
    <m/>
    <m/>
  </r>
  <r>
    <x v="0"/>
    <d v="2022-09-01T00:00:00"/>
    <x v="8"/>
    <s v="6711000"/>
    <s v="Security Service"/>
    <s v="MW09C21028"/>
    <s v="Segurança Industrial"/>
    <n v="0"/>
    <s v="Valor Security Service ref  Docto Nr  9810"/>
    <x v="0"/>
    <m/>
    <m/>
    <m/>
    <m/>
    <m/>
    <m/>
  </r>
  <r>
    <x v="0"/>
    <d v="2022-10-05T00:00:00"/>
    <x v="9"/>
    <s v="6711000"/>
    <s v="Security Service"/>
    <s v="MW09C21028"/>
    <s v="Segurança Industrial"/>
    <n v="322580.15000000002"/>
    <s v="Valor Security Service ref  Docto Nr  9266"/>
    <x v="0"/>
    <s v=""/>
    <s v="660515314"/>
    <s v=""/>
    <s v="4008568255"/>
    <s v="GNLUA"/>
    <s v="1"/>
  </r>
  <r>
    <x v="0"/>
    <d v="2022-10-05T00:00:00"/>
    <x v="9"/>
    <s v="6711000"/>
    <s v="Security Service"/>
    <s v="MW09C21028"/>
    <s v="Segurança Industrial"/>
    <n v="322580.15000000002"/>
    <s v="Valor Security Service ref  Docto Nr  9439"/>
    <x v="0"/>
    <s v=""/>
    <s v="660531592"/>
    <s v=""/>
    <s v="4008568302"/>
    <s v="GNLUA"/>
    <s v="1"/>
  </r>
  <r>
    <x v="0"/>
    <d v="2022-10-07T00:00:00"/>
    <x v="9"/>
    <s v="6711000"/>
    <s v="Security Service"/>
    <s v="MW09C21028"/>
    <s v="Segurança Industrial"/>
    <n v="322580.15000000002"/>
    <s v="Valor Security Service ref  Docto Nr  9175"/>
    <x v="0"/>
    <s v=""/>
    <s v="660500530"/>
    <s v=""/>
    <s v="4008574907"/>
    <s v="GLRPZ"/>
    <s v="1"/>
  </r>
  <r>
    <x v="0"/>
    <d v="2022-10-17T00:00:00"/>
    <x v="9"/>
    <s v="6711000"/>
    <s v="Security Service"/>
    <s v="MW09C21028"/>
    <s v="Segurança Industrial"/>
    <n v="322580.15000000002"/>
    <s v="SERV. VIGILÂNCIA- Site BFR"/>
    <x v="0"/>
    <s v=""/>
    <s v="660540019"/>
    <s v=""/>
    <s v="4008595319"/>
    <s v="GNLUA"/>
    <s v="1"/>
  </r>
  <r>
    <x v="0"/>
    <d v="2022-11-01T00:00:00"/>
    <x v="10"/>
    <s v="6711000"/>
    <s v="Security Service"/>
    <s v="MW09C21028"/>
    <s v="Segurança Industrial"/>
    <n v="0"/>
    <s v="Valor Security Service ref  Docto Nr  9810"/>
    <x v="0"/>
    <m/>
    <m/>
    <m/>
    <m/>
    <m/>
    <m/>
  </r>
  <r>
    <x v="0"/>
    <d v="2022-12-01T00:00:00"/>
    <x v="11"/>
    <s v="6711000"/>
    <s v="Security Service"/>
    <s v="MW09C21028"/>
    <s v="Segurança Industrial"/>
    <n v="12634.6"/>
    <s v="Valor Security Service ref  Docto Nr  9796"/>
    <x v="0"/>
    <s v=""/>
    <s v="4008719369"/>
    <s v="GNEPP"/>
    <s v="1"/>
    <n v="44888"/>
    <s v="4640010856"/>
  </r>
  <r>
    <x v="0"/>
    <d v="2022-12-13T00:00:00"/>
    <x v="11"/>
    <s v="6711000"/>
    <s v="Security Service"/>
    <s v="MW09C21028"/>
    <s v="Segurança Industrial"/>
    <n v="357038.16"/>
    <s v="Valor Security Service ref  Docto Nr  9810"/>
    <x v="0"/>
    <s v="660581046"/>
    <s v="4008758672"/>
    <s v="GLRPZ"/>
    <s v="1"/>
    <n v="44897"/>
    <s v="5107898802"/>
  </r>
  <r>
    <x v="0"/>
    <d v="2022-12-27T00:00:00"/>
    <x v="11"/>
    <s v="6711000"/>
    <s v="Security Service"/>
    <s v="MW09C21028"/>
    <s v="Segurança Industrial"/>
    <n v="357038.16"/>
    <s v="Valor Security Service ref  Docto Nr  9909"/>
    <x v="0"/>
    <s v="660587742"/>
    <s v="4008774609"/>
    <s v="GEMKD"/>
    <s v="1"/>
    <n v="44908"/>
    <s v="5107952166"/>
  </r>
  <r>
    <x v="1"/>
    <d v="2023-01-18T00:00:00"/>
    <x v="0"/>
    <s v="6711000"/>
    <s v="Security Service"/>
    <s v="MW09C21028"/>
    <s v="Segurança Industrial"/>
    <n v="357038.16"/>
    <s v="Valor Security Service ref  Docto Nr  9991"/>
    <x v="0"/>
    <s v="660597114"/>
    <s v="4008814113"/>
    <s v="GNEDA"/>
    <s v="1"/>
    <n v="44938"/>
    <s v="5108039269"/>
  </r>
  <r>
    <x v="1"/>
    <d v="2023-02-01T00:00:00"/>
    <x v="12"/>
    <m/>
    <m/>
    <m/>
    <m/>
    <n v="0"/>
    <m/>
    <x v="0"/>
    <m/>
    <m/>
    <m/>
    <m/>
    <m/>
    <m/>
  </r>
  <r>
    <x v="1"/>
    <d v="2023-03-29T00:00:00"/>
    <x v="2"/>
    <s v="6711000"/>
    <s v="Security Service"/>
    <s v="MW09C21028"/>
    <s v="Segurança Industrial"/>
    <n v="357038.16"/>
    <s v="Valor Security Service ref  Docto Nr  10292"/>
    <x v="0"/>
    <s v="660631403"/>
    <s v="4008949736"/>
    <s v="GEMKD"/>
    <s v="1"/>
    <n v="45006"/>
    <s v="5108322605"/>
  </r>
  <r>
    <x v="1"/>
    <d v="2023-04-01T00:00:00"/>
    <x v="3"/>
    <s v="6711000"/>
    <s v="Security Service"/>
    <s v="MW09C21028"/>
    <s v="Segurança Industrial"/>
    <n v="0"/>
    <s v="Valor Security Service ref  Docto Nr  10292"/>
    <x v="0"/>
    <m/>
    <m/>
    <m/>
    <m/>
    <m/>
    <m/>
  </r>
  <r>
    <x v="1"/>
    <d v="2023-05-05T00:00:00"/>
    <x v="4"/>
    <s v="6711000"/>
    <s v="Security Service"/>
    <s v="MW09C21028"/>
    <s v="Segurança Industrial"/>
    <n v="357038.16"/>
    <s v="Valor Security Service ref  Docto Nr  10154"/>
    <x v="0"/>
    <s v="660620541"/>
    <s v="4008995572"/>
    <s v="GMGNH"/>
    <s v="1"/>
    <n v="44972"/>
    <s v="5108458182"/>
  </r>
  <r>
    <x v="1"/>
    <d v="2023-06-22T00:00:00"/>
    <x v="5"/>
    <s v="6711000"/>
    <s v="Security Service"/>
    <s v="MW09C21028"/>
    <s v="Segurança Industrial"/>
    <n v="357038.16"/>
    <s v="Valor Security Service ref  Docto Nr  10413"/>
    <x v="0"/>
    <s v="660650361"/>
    <s v="4009024528"/>
    <s v="GEMKD"/>
    <s v="1"/>
    <d v="2023-04-20T00:00:00"/>
    <s v="5108601237"/>
  </r>
  <r>
    <x v="1"/>
    <d v="2023-07-24T00:00:00"/>
    <x v="6"/>
    <s v="6711000"/>
    <s v="Security Service"/>
    <s v="MW09C21028"/>
    <s v="Segurança Industrial"/>
    <n v="357038.15"/>
    <s v="Valor Security Service ref  Docto Nr  10713"/>
    <x v="0"/>
    <s v="660696459"/>
    <s v="4009054618"/>
    <s v="GLRPT"/>
    <s v="1"/>
    <d v="2023-07-17T00:00:00"/>
    <s v="5108693056"/>
  </r>
  <r>
    <x v="1"/>
    <d v="2023-08-02T00:00:00"/>
    <x v="7"/>
    <s v="6711000"/>
    <s v="Security Service"/>
    <s v="MW09C21028"/>
    <s v="Segurança Industrial"/>
    <n v="357038.16"/>
    <s v="Valor Security Service ref  Docto Nr  10506"/>
    <x v="0"/>
    <s v="660668398"/>
    <s v="4009064891"/>
    <s v="GEMKD"/>
    <s v="1"/>
    <d v="2023-05-18T00:00:00"/>
    <s v="5108721824"/>
  </r>
  <r>
    <x v="1"/>
    <d v="2023-08-02T00:00:00"/>
    <x v="7"/>
    <s v="6711000"/>
    <s v="Security Service"/>
    <s v="MW09C21028"/>
    <s v="Segurança Industrial"/>
    <n v="357038.15"/>
    <s v="Valor Security Service ref  Docto Nr  10632"/>
    <x v="0"/>
    <s v="660680420"/>
    <s v="4009064104"/>
    <s v="GEMKD"/>
    <s v="1"/>
    <d v="2023-06-21T00:00:00"/>
    <s v="5108720290"/>
  </r>
  <r>
    <x v="1"/>
    <d v="2023-08-28T00:00:00"/>
    <x v="7"/>
    <s v="6711000"/>
    <s v="Security Service"/>
    <s v="MW09C21028"/>
    <s v="Segurança Industrial"/>
    <n v="2054.7199999999998"/>
    <s v="Valor Security Service ref  Docto Nr  10636"/>
    <x v="0"/>
    <s v=""/>
    <s v="4009096391"/>
    <s v="GEMKD"/>
    <s v="1"/>
    <d v="2023-06-23T00:00:00"/>
    <s v="4640007086"/>
  </r>
  <r>
    <x v="1"/>
    <d v="2023-08-30T00:00:00"/>
    <x v="7"/>
    <s v="6711000"/>
    <s v="Security Service"/>
    <s v="MW09C21028"/>
    <s v="Segurança Industrial"/>
    <n v="898.94"/>
    <s v="Valor Security Service ref  Docto Nr  10832"/>
    <x v="0"/>
    <s v=""/>
    <s v="4009098641"/>
    <s v="GEMKD"/>
    <s v="1"/>
    <d v="2023-08-16T00:00:00"/>
    <s v="4640007165"/>
  </r>
  <r>
    <x v="1"/>
    <d v="2023-08-31T00:00:00"/>
    <x v="7"/>
    <s v="6711000"/>
    <s v="Security Service"/>
    <s v="MW09C21028"/>
    <s v="Segurança Industrial"/>
    <n v="357038.15"/>
    <s v="Valor Security Service ref  Docto Nr  10826"/>
    <x v="0"/>
    <s v="660708819"/>
    <s v="4009099428"/>
    <s v="GEMKD"/>
    <s v="1"/>
    <d v="2023-08-16T00:00:00"/>
    <s v="5108801162"/>
  </r>
  <r>
    <x v="1"/>
    <d v="2023-09-20T00:00:00"/>
    <x v="8"/>
    <s v="6711000"/>
    <s v="Security Service"/>
    <s v="MW09C21028"/>
    <s v="Segurança Industrial"/>
    <n v="357038.16"/>
    <s v="Valor Security Service ref  Docto Nr  10947"/>
    <x v="0"/>
    <s v="660721050"/>
    <s v="4009123978"/>
    <s v="GEMKD"/>
    <s v="1"/>
    <d v="2023-09-12T00:00:00"/>
    <s v="5108870138"/>
  </r>
  <r>
    <x v="1"/>
    <d v="2023-10-17T00:00:00"/>
    <x v="9"/>
    <s v="6711000"/>
    <s v="Security Service"/>
    <s v="MW09C21028"/>
    <s v="Segurança Industrial"/>
    <n v="357038.15"/>
    <s v="Valor Security Service ref  Docto Nr  11054"/>
    <x v="0"/>
    <s v="660733892"/>
    <s v="4009156511"/>
    <s v="GEMKD"/>
    <s v="1"/>
    <d v="2023-10-09T00:00:00"/>
    <s v="5108967408"/>
  </r>
  <r>
    <x v="1"/>
    <m/>
    <x v="10"/>
    <s v="6711000"/>
    <s v="Security Service"/>
    <s v="MW09C21028"/>
    <s v="Segurança Industrial"/>
    <n v="0"/>
    <m/>
    <x v="0"/>
    <m/>
    <m/>
    <m/>
    <m/>
    <m/>
    <m/>
  </r>
  <r>
    <x v="1"/>
    <d v="2023-12-19T00:00:00"/>
    <x v="11"/>
    <s v="6711000"/>
    <s v="Security Service"/>
    <s v="MW09C21028"/>
    <s v="Segurança Industrial"/>
    <n v="380138.54"/>
    <s v="Valor Security Service ref  Docto Nr  11332"/>
    <x v="0"/>
    <s v="660759892"/>
    <s v="4009235392"/>
    <s v="GEMKD"/>
    <s v="1"/>
    <d v="2023-12-11T00:00:00"/>
    <s v="5109206744"/>
  </r>
  <r>
    <x v="1"/>
    <d v="2023-12-04T00:00:00"/>
    <x v="11"/>
    <s v="6711000"/>
    <s v="Security Service"/>
    <s v="MW09C21028"/>
    <s v="Segurança Industrial"/>
    <n v="380138.54"/>
    <s v="Valor Security Service ref  Docto Nr  11239"/>
    <x v="0"/>
    <s v="660755773"/>
    <s v="4009213729"/>
    <s v="GEMKD"/>
    <s v="1"/>
    <d v="2023-11-24T00:00:00"/>
    <s v="5109144806"/>
  </r>
  <r>
    <x v="2"/>
    <d v="2024-01-24T00:00:00"/>
    <x v="0"/>
    <s v="6711000"/>
    <s v="Security Service"/>
    <s v="MW09C21028"/>
    <s v="Segurança Industrial"/>
    <n v="380138.54"/>
    <s v="Valor Security Service ref  Docto Nr  11499"/>
    <x v="0"/>
    <s v="660773662"/>
    <s v="4009259355"/>
    <s v="GEMKD"/>
    <s v="1"/>
    <d v="2024-01-16T00:00:00"/>
    <s v="5109335542"/>
  </r>
  <r>
    <x v="2"/>
    <d v="2024-01-16T00:00:00"/>
    <x v="0"/>
    <s v="6711000"/>
    <s v="Security Service"/>
    <s v="MW09C21028"/>
    <s v="Segurança Industrial"/>
    <n v="8470.14"/>
    <s v="Valor Security Service ref  Docto Nr  11464"/>
    <x v="0"/>
    <s v=""/>
    <s v="4009252950"/>
    <s v="GNEDA"/>
    <s v="1"/>
    <d v="2024-01-11T00:00:00"/>
    <s v="4640000427"/>
  </r>
  <r>
    <x v="2"/>
    <d v="2024-02-21T00:00:00"/>
    <x v="1"/>
    <s v="6711000"/>
    <s v="Security Service"/>
    <s v="MW09C21028"/>
    <s v="Segurança Industrial"/>
    <n v="380138.54"/>
    <s v="Valor Security Service ref  Docto Nr  11639"/>
    <x v="0"/>
    <s v="660786939"/>
    <s v="4009283576"/>
    <s v="GEMKD"/>
    <s v="1"/>
    <d v="2024-02-13T00:00:00"/>
    <s v="5109447151"/>
  </r>
  <r>
    <x v="2"/>
    <d v="2024-03-20T00:00:00"/>
    <x v="2"/>
    <s v="6711000"/>
    <s v="Security Service"/>
    <s v="MW09C21028"/>
    <s v="Segurança Industrial"/>
    <n v="380138.54"/>
    <s v="Valor Security Service ref  Docto Nr  11806"/>
    <x v="0"/>
    <s v="660800777"/>
    <s v="4009305611"/>
    <s v="EFXNJ"/>
    <s v="1"/>
    <d v="2024-03-14T00:00:00"/>
    <s v="5109568251"/>
  </r>
  <r>
    <x v="2"/>
    <d v="2024-04-10T00:00:00"/>
    <x v="3"/>
    <s v="6711000"/>
    <s v="Security Service"/>
    <s v="MW09C21028"/>
    <s v="Segurança Industrial"/>
    <n v="380138.54"/>
    <s v="Valor Security Service ref  Docto Nr  11854"/>
    <x v="0"/>
    <s v="660814881"/>
    <s v="4009324291"/>
    <s v="GEMKD"/>
    <s v="1"/>
    <d v="2024-04-04T00:00:00"/>
    <s v="5109649762"/>
  </r>
  <r>
    <x v="2"/>
    <d v="2024-05-23T00:00:00"/>
    <x v="4"/>
    <s v="6711000"/>
    <s v="Security Service"/>
    <s v="MW09C21028"/>
    <s v="Segurança Industrial"/>
    <n v="380138.54"/>
    <s v="Valor Security Service ref  Docto Nr  12044"/>
    <x v="0"/>
    <s v="660832229"/>
    <s v="4009359520"/>
    <s v="EFXNJ"/>
    <s v="1"/>
    <d v="2024-05-13T00:00:00"/>
    <s v="5109789889"/>
  </r>
  <r>
    <x v="2"/>
    <d v="2024-07-03T00:00:00"/>
    <x v="6"/>
    <s v="6711000"/>
    <s v="Security Service"/>
    <s v="MW09C21028"/>
    <s v="Segurança Industrial"/>
    <n v="380138.54"/>
    <s v="Valor Security Service ref  Docto Nr  12235"/>
    <x v="0"/>
    <s v="660848221"/>
    <s v="4009395615"/>
    <s v="EFXNJ"/>
    <s v="1"/>
    <d v="2024-06-17T00:00:00"/>
    <s v="5109923825"/>
  </r>
  <r>
    <x v="2"/>
    <d v="2024-08-21T00:00:00"/>
    <x v="7"/>
    <s v="6711000"/>
    <s v="Security Service"/>
    <s v="MW09C21028"/>
    <s v="Segurança Industrial"/>
    <n v="380138.54"/>
    <s v="Valor Security Service ref  Docto Nr  12369"/>
    <x v="0"/>
    <s v="660858019"/>
    <s v="4009452470"/>
    <s v="EFXNJ"/>
    <s v="1"/>
    <d v="2024-07-16T00:00:00"/>
    <s v="5110069350"/>
  </r>
  <r>
    <x v="2"/>
    <d v="2024-08-29T00:00:00"/>
    <x v="7"/>
    <s v="6711000"/>
    <s v="Security Service"/>
    <s v="MW09C21028"/>
    <s v="Segurança Industrial"/>
    <n v="380138.54"/>
    <s v="Valor Security Service ref  Docto Nr  12468"/>
    <x v="0"/>
    <s v="660872348"/>
    <s v="4009463641"/>
    <s v="GNEDA"/>
    <s v="1"/>
    <d v="2024-08-07T00:00:00"/>
    <s v="5110092496"/>
  </r>
  <r>
    <x v="2"/>
    <d v="2024-10-18T00:00:00"/>
    <x v="9"/>
    <s v="6711000"/>
    <s v="Security Service"/>
    <s v="MW09C21028"/>
    <s v="Segurança Industrial"/>
    <n v="380138.54"/>
    <s v="Valor Security Service ref  Docto Nr  12676"/>
    <x v="0"/>
    <s v="660885221"/>
    <s v="4009532348"/>
    <s v="EAUXB"/>
    <s v="1"/>
    <d v="2024-09-05T00:00:00"/>
    <s v="5110269151"/>
  </r>
  <r>
    <x v="2"/>
    <d v="2024-10-24T00:00:00"/>
    <x v="9"/>
    <s v="6711000"/>
    <s v="Security Service"/>
    <s v="MW09C21028"/>
    <s v="Segurança Industrial"/>
    <n v="380138.54"/>
    <s v="Valor Security Service ref  Docto Nr  12900"/>
    <x v="0"/>
    <s v="660903437"/>
    <s v="4009541137"/>
    <s v="EAUXB"/>
    <s v="1"/>
    <d v="2024-10-09T00:00:00"/>
    <s v="5110287077"/>
  </r>
  <r>
    <x v="2"/>
    <d v="2024-12-11T00:00:00"/>
    <x v="11"/>
    <s v="6711000"/>
    <s v="Security Service"/>
    <s v="MW09C21028"/>
    <s v="Segurança Industrial"/>
    <n v="398765.33"/>
    <s v="Valor Security Service ref  Docto Nr  13133"/>
    <x v="0"/>
    <s v="660915754"/>
    <s v="4009638355"/>
    <s v="EAZLZ"/>
    <s v="1"/>
    <d v="2024-11-21T00:00:00"/>
    <s v="5110468130"/>
  </r>
  <r>
    <x v="2"/>
    <d v="2024-12-11T00:00:00"/>
    <x v="11"/>
    <s v="6711000"/>
    <s v="Security Service"/>
    <s v="MW09C21028"/>
    <s v="Segurança Industrial"/>
    <n v="18626.79"/>
    <s v="Valor Security Service ref  Docto Nr  13134"/>
    <x v="0"/>
    <s v=""/>
    <s v="4009638359"/>
    <s v="EAZLZ"/>
    <s v="1"/>
    <d v="2024-11-21T00:00:00"/>
    <s v="4640012339"/>
  </r>
  <r>
    <x v="2"/>
    <d v="2024-12-15T00:00:00"/>
    <x v="11"/>
    <s v="6711000"/>
    <s v="Security Service"/>
    <s v="MW09C21028"/>
    <s v="Segurança Industrial"/>
    <n v="398765.33"/>
    <s v="Valor Security Service ref  Docto Nr  13249"/>
    <x v="0"/>
    <s v="660929418"/>
    <s v="4009643865"/>
    <s v="EAUXB"/>
    <s v="1"/>
    <d v="2024-12-10T00:00:00"/>
    <s v="5110482952"/>
  </r>
  <r>
    <x v="3"/>
    <d v="2025-02-10T00:00:00"/>
    <x v="1"/>
    <s v="6711000"/>
    <s v="Security Service"/>
    <s v="MW09C21028"/>
    <s v="Segurança Industrial"/>
    <n v="398765.33"/>
    <s v="Valor Security Service ref  Docto Nr  13409"/>
    <x v="0"/>
    <s v="660940230"/>
    <s v="4009699790"/>
    <s v="EAUXB"/>
    <s v="1"/>
    <d v="2025-01-09T00:00:00"/>
    <s v="5110684254"/>
  </r>
  <r>
    <x v="3"/>
    <d v="2025-03-04T00:00:00"/>
    <x v="2"/>
    <s v="6711000"/>
    <s v="Security Service"/>
    <s v="MW09C21028"/>
    <s v="Segurança Industrial"/>
    <n v="398765.33"/>
    <s v="Valor Security Service ref  Docto Nr  13660"/>
    <x v="0"/>
    <s v="660954619"/>
    <s v="4009725091"/>
    <s v="GNEDA"/>
    <s v="1"/>
    <d v="2025-02-25T00:00:00"/>
    <s v="5110770338"/>
  </r>
  <r>
    <x v="3"/>
    <d v="2025-03-26T00:00:00"/>
    <x v="2"/>
    <s v="6711000"/>
    <s v="Security Service"/>
    <s v="MW09C21028"/>
    <s v="Segurança Industrial"/>
    <n v="398765.3"/>
    <s v="Valor Security Service ref  Docto Nr  13819"/>
    <x v="0"/>
    <s v="660969907"/>
    <s v="4009743430"/>
    <s v="EAUXB"/>
    <s v="1"/>
    <d v="2025-03-21T00:00:00"/>
    <s v="5110851323"/>
  </r>
  <r>
    <x v="3"/>
    <d v="2025-04-15T00:00:00"/>
    <x v="3"/>
    <s v="6711000"/>
    <s v="Security Service"/>
    <s v="MW09C21028"/>
    <s v="Segurança Industrial"/>
    <n v="398765.33"/>
    <s v="Valor Security Service ref  Docto Nr  13930"/>
    <x v="0"/>
    <s v="660983794"/>
    <s v="4009767191"/>
    <s v="EAUXB"/>
    <s v="1"/>
    <d v="2025-04-10T00:00:00"/>
    <s v="5110926660"/>
  </r>
  <r>
    <x v="3"/>
    <d v="2025-05-21T00:00:00"/>
    <x v="4"/>
    <s v="6711000"/>
    <s v="Security Service"/>
    <s v="MW09C21028"/>
    <s v="Segurança Industrial"/>
    <n v="398765.33"/>
    <s v="Valor Security Service ref  Docto Nr  14044"/>
    <x v="0"/>
    <s v="660997529"/>
    <s v="4009795113"/>
    <s v="GNEDA"/>
    <s v="1"/>
    <d v="2025-05-07T00:00:00"/>
    <s v="5111035228"/>
  </r>
  <r>
    <x v="3"/>
    <d v="2025-07-02T00:00:00"/>
    <x v="6"/>
    <s v="6711000"/>
    <s v="Security Service"/>
    <s v="MW09C21028"/>
    <s v="Segurança Industrial"/>
    <n v="398765.33"/>
    <s v="Valor Security Service ref  Docto Nr  14263"/>
    <x v="0"/>
    <s v="661003107"/>
    <s v="4009843419"/>
    <s v="GNEDA"/>
    <s v="1"/>
    <d v="2025-06-07T00:00:00"/>
    <s v="5111154689"/>
  </r>
  <r>
    <x v="3"/>
    <d v="2025-07-15T00:00:00"/>
    <x v="6"/>
    <s v="6711000"/>
    <s v="Security Service"/>
    <s v="MW09C21028"/>
    <s v="Segurança Industrial"/>
    <n v="398765.33"/>
    <s v="Valor Security Service ref  Docto Nr  14481"/>
    <x v="0"/>
    <s v="661021964"/>
    <s v="4009865534"/>
    <s v="GNEDA"/>
    <s v="1"/>
    <d v="2025-07-10T00:00:00"/>
    <s v="5111186929"/>
  </r>
  <r>
    <x v="3"/>
    <d v="2025-08-14T00:00:00"/>
    <x v="7"/>
    <s v="6711000"/>
    <s v="Security Service"/>
    <s v="MW09C21028"/>
    <s v="Segurança Industrial"/>
    <n v="398765.3"/>
    <s v="Valor Security Service ref  Docto Nr  14641"/>
    <x v="0"/>
    <s v="661036645"/>
    <s v="4009921620"/>
    <s v="EAUXB"/>
    <s v="1"/>
    <d v="2025-08-12T00:00:00"/>
    <s v="5111268748"/>
  </r>
  <r>
    <x v="3"/>
    <d v="2025-09-05T00:00:00"/>
    <x v="8"/>
    <s v="6711000"/>
    <s v="Security Service"/>
    <s v="MW09C21028"/>
    <s v="Segurança Industrial"/>
    <n v="1700.03"/>
    <s v="Valor Security Service ref  Docto Nr  14642"/>
    <x v="0"/>
    <s v=""/>
    <s v="4009954344"/>
    <s v="EAUXB"/>
    <s v="1"/>
    <n v="45881"/>
    <s v="4640008669"/>
  </r>
  <r>
    <x v="3"/>
    <d v="2025-09-16T00:00:00"/>
    <x v="8"/>
    <s v="6711000"/>
    <s v="Security Service"/>
    <s v="MW09C21028"/>
    <s v="Segurança Industrial"/>
    <n v="398765.33"/>
    <s v="Valor Security Service ref  Docto Nr  14812"/>
    <x v="0"/>
    <s v="661048981"/>
    <s v="4009974775"/>
    <s v="GNEDA"/>
    <s v="1"/>
    <n v="45911"/>
    <s v="5111355962"/>
  </r>
  <r>
    <x v="3"/>
    <d v="2025-10-27T00:00:00"/>
    <x v="9"/>
    <s v="6711000"/>
    <s v="Security Service"/>
    <s v="MW09C21028"/>
    <s v="Segurança Industrial"/>
    <n v="418583.97"/>
    <s v="Valor Security Service ref  Docto Nr  15039"/>
    <x v="0"/>
    <s v="661069188"/>
    <s v="4010047196"/>
    <s v="YWEGT"/>
    <s v="1"/>
    <n v="45946"/>
    <s v="5111488770"/>
  </r>
  <r>
    <x v="4"/>
    <d v="2026-01-22T00:00:00"/>
    <x v="0"/>
    <s v="6324000"/>
    <s v="Working/safety cloth"/>
    <s v="MW09C21028"/>
    <s v="Segurança Industrial"/>
    <n v="2880.37"/>
    <s v="Valor Working safety cloth ref  Docto Nr  165"/>
    <x v="0"/>
    <s v=""/>
    <s v="4010157391"/>
    <s v="YWEGT"/>
    <s v="1"/>
    <d v="2026-01-21T00:00:00"/>
    <s v="4640000589"/>
  </r>
  <r>
    <x v="4"/>
    <d v="2026-01-22T00:00:00"/>
    <x v="0"/>
    <s v="6711000"/>
    <s v="Security Service"/>
    <s v="MW09C21028"/>
    <s v="Segurança Industrial"/>
    <n v="379864.95"/>
    <s v="Valor Security Service ref  Docto Nr  164"/>
    <x v="0"/>
    <s v="661104990"/>
    <s v="4010157397"/>
    <s v="YWEGT"/>
    <s v="1"/>
    <d v="2026-01-21T00:00:00"/>
    <s v="5111769799"/>
  </r>
  <r>
    <x v="4"/>
    <d v="2026-03-16T00:00:00"/>
    <x v="2"/>
    <s v="6711000"/>
    <s v="Security Service"/>
    <s v="MW09C21028"/>
    <s v="Segurança Industrial"/>
    <n v="419218.76"/>
    <s v="Valor Security Service ref  Docto Nr  330"/>
    <x v="0"/>
    <s v="661125835"/>
    <s v="4010209146"/>
    <s v="YWEGT"/>
    <s v="1"/>
    <d v="2026-02-19T00:00:00"/>
    <s v="5111952978"/>
  </r>
  <r>
    <x v="4"/>
    <d v="2026-05-11T00:00:00"/>
    <x v="4"/>
    <s v="6711000"/>
    <s v="Security Service"/>
    <s v="MW09C21028"/>
    <s v="Segurança Industrial"/>
    <n v="419218.76"/>
    <s v="Valor Security Service ref  Docto Nr  706"/>
    <x v="0"/>
    <s v="661146485"/>
    <s v="4010266456"/>
    <s v="EAUXB"/>
    <s v="1"/>
    <d v="2026-04-23T00:00:00"/>
    <s v="5112133245"/>
  </r>
  <r>
    <x v="4"/>
    <d v="2026-06-15T00:00:00"/>
    <x v="5"/>
    <s v="6711000"/>
    <s v="Security Service"/>
    <s v="MW09C21028"/>
    <s v="Segurança Industrial"/>
    <n v="419218.76"/>
    <s v="Valor Security Service ref  Docto Nr  481"/>
    <x v="0"/>
    <s v="661130207"/>
    <s v="4010306716"/>
    <s v="GNEDA"/>
    <s v="1"/>
    <d v="2026-03-12T00:00:00"/>
    <s v="5112231336"/>
  </r>
  <r>
    <x v="4"/>
    <d v="2026-06-16T00:00:00"/>
    <x v="5"/>
    <s v="6711000"/>
    <s v="Security Service"/>
    <s v="MW09C21028"/>
    <s v="Segurança Industrial"/>
    <n v="419218.78"/>
    <s v="Valor Security Service ref  Docto Nr  888"/>
    <x v="0"/>
    <s v="661160276"/>
    <s v="4010307500"/>
    <s v="YWEGT"/>
    <s v="1"/>
    <d v="2026-05-22T00:00:00"/>
    <s v="5112236021"/>
  </r>
  <r>
    <x v="4"/>
    <d v="2026-06-30T00:00:00"/>
    <x v="5"/>
    <s v="6711000"/>
    <s v="Security Service"/>
    <s v="MW09C21028"/>
    <s v="Segurança Industrial"/>
    <n v="420295.02"/>
    <s v="Valor Security Service ref  Docto Nr  1019"/>
    <x v="0"/>
    <s v="661180557"/>
    <s v="4010325429"/>
    <s v="YWEGT"/>
    <s v="1"/>
    <d v="2026-06-18T00:00:00"/>
    <s v="5112276242"/>
  </r>
  <r>
    <x v="5"/>
    <m/>
    <x v="13"/>
    <m/>
    <m/>
    <m/>
    <m/>
    <m/>
    <m/>
    <x v="1"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x v="0"/>
    <d v="2022-01-04T00:00:00"/>
    <x v="0"/>
    <s v="6542000"/>
    <s v="Environmental serv"/>
    <s v="MW09C21028"/>
    <s v="Segurança Industrial"/>
    <n v="4058.48"/>
    <s v="Valor Environmental serv ref  Docto Nr  382"/>
    <x v="0"/>
    <s v="660388002"/>
    <s v="4008016081"/>
    <s v="GNEPP"/>
    <s v="1"/>
  </r>
  <r>
    <x v="0"/>
    <d v="2022-01-06T00:00:00"/>
    <x v="0"/>
    <s v="6542000"/>
    <s v="Environmental serv"/>
    <s v="MW09C21028"/>
    <s v="Segurança Industrial"/>
    <n v="4058.48"/>
    <s v="Valor Environmental serv ref  Docto Nr  387"/>
    <x v="0"/>
    <s v="660401793"/>
    <s v="4008021617"/>
    <s v="GNEPP"/>
    <s v="1"/>
  </r>
  <r>
    <x v="0"/>
    <d v="2022-02-02T00:00:00"/>
    <x v="1"/>
    <s v="6280000"/>
    <s v="Technic. spare parts"/>
    <s v="MW09C21028"/>
    <s v="Segurança Industrial"/>
    <n v="721.59"/>
    <s v="Valor Technic  spare parts ref  Docto Nr  389"/>
    <x v="0"/>
    <s v=""/>
    <s v="4008083843"/>
    <s v="GMGNH"/>
    <s v="1"/>
  </r>
  <r>
    <x v="0"/>
    <d v="2022-02-08T00:00:00"/>
    <x v="1"/>
    <s v="6542000"/>
    <s v="Environmental serv"/>
    <s v="MW09C21028"/>
    <s v="Segurança Industrial"/>
    <n v="2551.04"/>
    <s v="Ensaio da qualidade do ar/máquina"/>
    <x v="0"/>
    <s v="660419943"/>
    <s v="4008091169"/>
    <s v="GMGNH"/>
    <s v="1"/>
  </r>
  <r>
    <x v="0"/>
    <d v="2022-02-08T00:00:00"/>
    <x v="1"/>
    <s v="6280000"/>
    <s v="Technic. spare parts"/>
    <s v="MW09C21028"/>
    <s v="Segurança Industrial"/>
    <n v="226.78"/>
    <s v="valor do documento 392"/>
    <x v="0"/>
    <s v=""/>
    <s v="4008091119"/>
    <s v="GMGNH"/>
    <s v="1"/>
  </r>
  <r>
    <x v="0"/>
    <d v="2022-03-17T00:00:00"/>
    <x v="2"/>
    <s v="6542000"/>
    <s v="Environmental serv"/>
    <s v="MW09C21028"/>
    <s v="Segurança Industrial"/>
    <n v="4780.07"/>
    <s v="Valor Environmental serv ref  Docto Nr  390"/>
    <x v="0"/>
    <s v="660417442"/>
    <s v="4008155177"/>
    <s v="GMGNH"/>
    <s v="1"/>
  </r>
  <r>
    <x v="0"/>
    <d v="2022-03-17T00:00:00"/>
    <x v="2"/>
    <s v="6542000"/>
    <s v="Environmental serv"/>
    <s v="MW09C21028"/>
    <s v="Segurança Industrial"/>
    <n v="4780.07"/>
    <s v="Valor Environmental serv ref  Docto Nr  393"/>
    <x v="0"/>
    <s v="660434911"/>
    <s v="4008155212"/>
    <s v="GMGNH"/>
    <s v="1"/>
  </r>
  <r>
    <x v="0"/>
    <d v="2022-04-11T00:00:00"/>
    <x v="3"/>
    <s v="6542000"/>
    <s v="Environmental serv"/>
    <s v="MW09C21028"/>
    <s v="Segurança Industrial"/>
    <n v="4780.07"/>
    <s v="Valor Environmental serv ref  Docto Nr  395"/>
    <x v="0"/>
    <s v="660452561"/>
    <s v="4008195986"/>
    <s v="GNEPP"/>
    <s v="1"/>
  </r>
  <r>
    <x v="0"/>
    <d v="2022-05-10T00:00:00"/>
    <x v="4"/>
    <s v="6542000"/>
    <s v="Environmental serv"/>
    <s v="MW09C21028"/>
    <s v="Segurança Industrial"/>
    <n v="4780.07"/>
    <s v="Valor Environmental serv ref  Docto Nr  400"/>
    <x v="0"/>
    <s v="660469034"/>
    <s v="4008242504"/>
    <s v="GNEPP"/>
    <s v="1"/>
  </r>
  <r>
    <x v="0"/>
    <d v="2022-06-09T00:00:00"/>
    <x v="5"/>
    <s v="6542000"/>
    <s v="Environmental serv"/>
    <s v="MW09C21028"/>
    <s v="Segurança Industrial"/>
    <n v="4780.07"/>
    <s v="Valor Environmental serv ref  Docto Nr  402"/>
    <x v="0"/>
    <s v="660485004"/>
    <s v="4008287059"/>
    <s v="GEMKD"/>
    <s v="1"/>
  </r>
  <r>
    <x v="0"/>
    <d v="2022-07-12T00:00:00"/>
    <x v="6"/>
    <s v="6542000"/>
    <s v="Environmental serv"/>
    <s v="MW09C21028"/>
    <s v="Segurança Industrial"/>
    <n v="4780.07"/>
    <s v="Valor Environmental serv ref  Docto Nr  404"/>
    <x v="0"/>
    <s v="660500559"/>
    <s v="4008349695"/>
    <s v="GMGNH"/>
    <s v="1"/>
  </r>
  <r>
    <x v="0"/>
    <d v="2022-08-03T00:00:00"/>
    <x v="7"/>
    <s v="6542000"/>
    <s v="Environmental serv"/>
    <s v="MW09C21028"/>
    <s v="Segurança Industrial"/>
    <n v="4780.07"/>
    <s v="Valor Environmental serv ref  Docto Nr  407"/>
    <x v="0"/>
    <s v="660515478"/>
    <s v="4008414474"/>
    <s v="GMGNH"/>
    <s v="1"/>
  </r>
  <r>
    <x v="0"/>
    <d v="2022-09-09T00:00:00"/>
    <x v="8"/>
    <s v="6542000"/>
    <s v="Environmental serv"/>
    <s v="MW09C21028"/>
    <s v="Segurança Industrial"/>
    <n v="4780.07"/>
    <s v="Valor Environmental serv ref  Docto Nr  411"/>
    <x v="0"/>
    <s v="660532977"/>
    <s v="4008487457"/>
    <s v="GMGNH"/>
    <s v="1"/>
  </r>
  <r>
    <x v="0"/>
    <d v="2022-10-10T00:00:00"/>
    <x v="9"/>
    <s v="6542000"/>
    <s v="Environmental serv"/>
    <s v="MW09C21028"/>
    <s v="Segurança Industrial"/>
    <n v="4780.07"/>
    <s v="MANUT.PREVENTIVA COMPRESSORES AR"/>
    <x v="0"/>
    <s v="660540608"/>
    <s v="4008579440"/>
    <s v="GMGNH"/>
    <s v="1"/>
  </r>
  <r>
    <x v="0"/>
    <d v="2022-11-07T00:00:00"/>
    <x v="10"/>
    <s v="6542000"/>
    <s v="Environmental serv"/>
    <s v="MW09C21028"/>
    <s v="Segurança Industrial"/>
    <n v="4780.07"/>
    <s v="Valor Environmental serv ref  Docto Nr  418"/>
    <x v="0"/>
    <s v="660564443"/>
    <s v="4008652566"/>
    <s v="GNEPP"/>
    <s v="1"/>
  </r>
  <r>
    <x v="0"/>
    <d v="2022-12-09T00:00:00"/>
    <x v="11"/>
    <s v="6542000"/>
    <s v="Environmental serv"/>
    <s v="MW09C21028"/>
    <s v="Segurança Industrial"/>
    <n v="4780.07"/>
    <s v="MANUT.PREVENTIVA COMPRESSORES AR"/>
    <x v="0"/>
    <s v="660581610"/>
    <s v="4008751564"/>
    <s v="GNEPP"/>
    <s v="1"/>
  </r>
  <r>
    <x v="1"/>
    <d v="2023-01-10T00:00:00"/>
    <x v="0"/>
    <s v="6542000"/>
    <s v="Environmental serv"/>
    <s v="MW09C21028"/>
    <s v="Segurança Industrial"/>
    <n v="4780.07"/>
    <s v="Valor Environmental serv ref  Docto Nr  422"/>
    <x v="0"/>
    <s v="660595077"/>
    <s v="4008796920"/>
    <s v="GNEPP"/>
    <s v="1"/>
  </r>
  <r>
    <x v="1"/>
    <d v="2023-02-06T00:00:00"/>
    <x v="1"/>
    <s v="6542000"/>
    <s v="Environmental serv"/>
    <s v="MW09C21028"/>
    <s v="Segurança Industrial"/>
    <n v="5040.58"/>
    <s v="Valor Environmental serv ref  Docto Nr  423"/>
    <x v="0"/>
    <s v="660611343"/>
    <s v="4008864755"/>
    <s v="GEMKD"/>
    <s v="1"/>
  </r>
  <r>
    <x v="1"/>
    <d v="2023-03-01T00:00:00"/>
    <x v="12"/>
    <s v="6542000"/>
    <s v="Environmental serv"/>
    <s v="MW09C21028"/>
    <s v="Segurança Industrial"/>
    <n v="0"/>
    <s v="-"/>
    <x v="0"/>
    <s v="-"/>
    <s v="-"/>
    <s v="-"/>
    <s v="-"/>
  </r>
  <r>
    <x v="1"/>
    <d v="2023-04-06T00:00:00"/>
    <x v="3"/>
    <s v="6542000"/>
    <s v="Environmental serv"/>
    <s v="MW09C21028"/>
    <s v="Segurança Industrial"/>
    <n v="5040.58"/>
    <s v="Valor Environmental serv ref  Docto Nr  424"/>
    <x v="0"/>
    <s v="660628672"/>
    <s v="4008961232"/>
    <s v="GEMKD"/>
    <s v="1"/>
  </r>
  <r>
    <x v="1"/>
    <d v="2023-04-13T00:00:00"/>
    <x v="3"/>
    <s v="6542000"/>
    <s v="Environmental serv"/>
    <s v="MW09C21028"/>
    <s v="Segurança Industrial"/>
    <n v="5040.58"/>
    <s v="Valor Environmental serv ref  Docto Nr  425"/>
    <x v="0"/>
    <s v="660646392"/>
    <s v="4008967571"/>
    <s v="GEMKD"/>
    <s v="1"/>
  </r>
  <r>
    <x v="1"/>
    <d v="2023-05-10T00:00:00"/>
    <x v="4"/>
    <s v="6542000"/>
    <s v="Environmental serv"/>
    <s v="MW09C21028"/>
    <s v="Segurança Industrial"/>
    <n v="5040.58"/>
    <s v="Valor Environmental serv ref  Docto Nr  426"/>
    <x v="0"/>
    <s v="660661125"/>
    <s v="4008999641"/>
    <s v="GLRPT"/>
    <s v="1"/>
  </r>
  <r>
    <x v="1"/>
    <d v="2023-06-13T00:00:00"/>
    <x v="5"/>
    <s v="6542000"/>
    <s v="Environmental serv"/>
    <s v="MW09C21028"/>
    <s v="Segurança Industrial"/>
    <n v="5040.58"/>
    <s v="Valor Environmental serv ref  Docto Nr  427"/>
    <x v="0"/>
    <s v="660676956"/>
    <s v="4009017857"/>
    <s v="GEMKD"/>
    <s v="1"/>
  </r>
  <r>
    <x v="1"/>
    <d v="2023-07-17T00:00:00"/>
    <x v="6"/>
    <s v="6542000"/>
    <s v="Environmental serv"/>
    <s v="MW09C21028"/>
    <s v="Segurança Industrial"/>
    <n v="5040.58"/>
    <s v="Valor Environmental serv ref  Docto Nr  431"/>
    <x v="0"/>
    <s v="660693382"/>
    <s v="4009046983"/>
    <s v="GEMKD"/>
    <s v="1"/>
  </r>
  <r>
    <x v="1"/>
    <d v="2023-08-15T00:00:00"/>
    <x v="7"/>
    <s v="6542000"/>
    <s v="Environmental serv"/>
    <s v="MW09C21028"/>
    <s v="Segurança Industrial"/>
    <n v="5040.58"/>
    <s v="Valor Environmental serv ref  Docto Nr  432"/>
    <x v="0"/>
    <s v="660705108"/>
    <s v="4009080111"/>
    <s v="GEMKD"/>
    <s v="1"/>
  </r>
  <r>
    <x v="1"/>
    <d v="2023-09-11T00:00:00"/>
    <x v="8"/>
    <s v="6542000"/>
    <s v="Environmental serv"/>
    <s v="MW09C21028"/>
    <s v="Segurança Industrial"/>
    <n v="5040.58"/>
    <s v="Valor Environmental serv ref  Docto Nr  433"/>
    <x v="0"/>
    <s v="660718064"/>
    <s v="4009112520"/>
    <s v="GEMKD"/>
    <s v="1"/>
  </r>
  <r>
    <x v="1"/>
    <d v="2023-10-10T00:00:00"/>
    <x v="9"/>
    <s v="6542000"/>
    <s v="Environmental serv"/>
    <s v="MW09C21028"/>
    <s v="Segurança Industrial"/>
    <n v="5040.58"/>
    <s v="Valor Environmental serv ref  Docto Nr  434"/>
    <x v="0"/>
    <s v="660732948"/>
    <s v="4009147443"/>
    <s v="GEMKD"/>
    <s v="1"/>
  </r>
  <r>
    <x v="1"/>
    <d v="2023-11-13T00:00:00"/>
    <x v="10"/>
    <s v="6542000"/>
    <s v="Environmental serv"/>
    <s v="MW09C21028"/>
    <s v="Segurança Industrial"/>
    <n v="5040.58"/>
    <s v="Valor Environmental serv ref  Docto Nr  435"/>
    <x v="0"/>
    <s v="660745189"/>
    <s v="4009189171"/>
    <s v="GMGNH"/>
    <s v="1"/>
  </r>
  <r>
    <x v="1"/>
    <d v="2023-12-19T00:00:00"/>
    <x v="11"/>
    <s v="6542000"/>
    <s v="Environmental serv"/>
    <s v="MW09C21028"/>
    <s v="Segurança Industrial"/>
    <n v="5040.58"/>
    <s v="Valor Environmental serv ref  Docto Nr  436"/>
    <x v="0"/>
    <s v="660759636"/>
    <s v="4009235228"/>
    <s v="GNEPP"/>
    <s v="1"/>
  </r>
  <r>
    <x v="2"/>
    <d v="2024-01-15T00:00:00"/>
    <x v="0"/>
    <s v="6542000"/>
    <s v="Environmental serv"/>
    <s v="MW09C21028"/>
    <s v="Segurança Industrial"/>
    <n v="5040.58"/>
    <s v="Valor Environmental serv ref  Docto Nr  437"/>
    <x v="0"/>
    <s v="660774013"/>
    <s v="4009251616"/>
    <s v="GEMKD"/>
    <s v="1"/>
  </r>
  <r>
    <x v="2"/>
    <d v="2024-02-06T00:00:00"/>
    <x v="1"/>
    <s v="6542000"/>
    <s v="Environmental serv"/>
    <s v="MW09C21028"/>
    <s v="Segurança Industrial"/>
    <n v="5040.58"/>
    <s v="Valor Environmental serv ref  Docto Nr  438"/>
    <x v="0"/>
    <s v="660785812"/>
    <s v="4009270892"/>
    <s v="GEMKD"/>
    <s v="1"/>
  </r>
  <r>
    <x v="2"/>
    <d v="2024-03-07T00:00:00"/>
    <x v="2"/>
    <s v="6542000"/>
    <s v="Environmental serv"/>
    <s v="MW09C21028"/>
    <s v="Segurança Industrial"/>
    <n v="5040.58"/>
    <s v="Valor Environmental serv ref  Docto Nr  439"/>
    <x v="0"/>
    <s v="660800577"/>
    <s v="4009295015"/>
    <s v="EFXNJ"/>
    <s v="1"/>
  </r>
  <r>
    <x v="2"/>
    <d v="2024-04-04T00:00:00"/>
    <x v="3"/>
    <s v="6711000"/>
    <s v="Security Service"/>
    <s v="MW09C21028"/>
    <s v="Segurança Industrial"/>
    <n v="5040.58"/>
    <s v="Valor Security Service ref  Docto Nr  440"/>
    <x v="0"/>
    <s v="660814323"/>
    <s v="4009318826"/>
    <s v="EFXNJ"/>
    <s v="1"/>
  </r>
  <r>
    <x v="2"/>
    <d v="2024-04-12T00:00:00"/>
    <x v="3"/>
    <s v="6711000"/>
    <s v="Security Service"/>
    <s v="MW09C21028"/>
    <s v="Segurança Industrial"/>
    <n v="4400"/>
    <s v="Valor do documento Nr  529 1"/>
    <x v="0"/>
    <s v="660817708"/>
    <s v="4009325930"/>
    <s v="GMGNT"/>
    <s v="1"/>
  </r>
  <r>
    <x v="2"/>
    <d v="2024-05-15T00:00:00"/>
    <x v="4"/>
    <s v="6711000"/>
    <s v="Security Service"/>
    <s v="MW09C21028"/>
    <s v="Segurança Industrial"/>
    <n v="560"/>
    <s v="Valor do documento Nr  544 1"/>
    <x v="0"/>
    <s v="660817708"/>
    <s v="4009353753"/>
    <s v="GNEDC"/>
    <s v="1"/>
  </r>
  <r>
    <x v="2"/>
    <d v="2024-06-14T00:00:00"/>
    <x v="5"/>
    <s v="6711000"/>
    <s v="Security Service"/>
    <s v="MW09C21028"/>
    <s v="Segurança Industrial"/>
    <n v="5040.58"/>
    <s v="Valor Security Service ref  Docto Nr  442"/>
    <x v="0"/>
    <s v="660846452"/>
    <s v="4009377596"/>
    <s v="EFXNJ"/>
    <s v="1"/>
  </r>
  <r>
    <x v="2"/>
    <d v="2024-06-12T00:00:00"/>
    <x v="5"/>
    <s v="6711000"/>
    <s v="Security Service"/>
    <s v="MW09C21028"/>
    <s v="Segurança Industrial"/>
    <n v="5040.58"/>
    <s v="Valor Security Service ref  Docto Nr  441"/>
    <x v="0"/>
    <s v="660831880"/>
    <s v="4009376398"/>
    <s v="EFXNJ"/>
    <s v="1"/>
  </r>
  <r>
    <x v="2"/>
    <d v="2024-07-05T00:00:00"/>
    <x v="6"/>
    <s v="6711000"/>
    <s v="Security Service"/>
    <s v="MW09C21028"/>
    <s v="Segurança Industrial"/>
    <n v="3168.34"/>
    <s v="Valor Security Service ref  Docto Nr  443"/>
    <x v="0"/>
    <s v="660852760"/>
    <s v="4009398077"/>
    <s v="EFXNJ"/>
    <s v="1"/>
  </r>
  <r>
    <x v="2"/>
    <d v="2024-08-05T00:00:00"/>
    <x v="7"/>
    <s v="6711000"/>
    <s v="Security Service"/>
    <s v="MW09C21028"/>
    <s v="Segurança Industrial"/>
    <n v="5040.58"/>
    <s v="Valor Security Service ref  Docto Nr  444"/>
    <x v="0"/>
    <s v="660857717"/>
    <s v="4009430400"/>
    <s v="GLRPZ"/>
    <s v="1"/>
  </r>
  <r>
    <x v="2"/>
    <d v="2024-08-09T00:00:00"/>
    <x v="7"/>
    <s v="6711000"/>
    <s v="Security Service"/>
    <s v="MW09C21028"/>
    <s v="Segurança Industrial"/>
    <n v="5040.58"/>
    <s v="Valor Security Service ref  Docto Nr  445"/>
    <x v="0"/>
    <s v="660871745"/>
    <s v="4009436067"/>
    <s v="GNEDA"/>
    <s v="1"/>
  </r>
  <r>
    <x v="2"/>
    <d v="2024-09-27T00:00:00"/>
    <x v="8"/>
    <s v="6711000"/>
    <s v="Security Service"/>
    <s v="MW09C21028"/>
    <s v="Segurança Industrial"/>
    <n v="5040.58"/>
    <s v="Valor Security Service ref  Docto Nr  446"/>
    <x v="0"/>
    <s v="660885485"/>
    <s v="4009501442"/>
    <s v="GNEDA"/>
    <s v="1"/>
  </r>
  <r>
    <x v="2"/>
    <d v="2024-10-17T00:00:00"/>
    <x v="9"/>
    <s v="6711000"/>
    <s v="Security Service"/>
    <s v="MW09C21028"/>
    <s v="Segurança Industrial"/>
    <n v="5040.58"/>
    <s v="Valor Security Service ref  Docto Nr  447"/>
    <x v="0"/>
    <s v="660891260"/>
    <s v="4009530528"/>
    <s v="GNEDA"/>
    <s v="1"/>
  </r>
  <r>
    <x v="2"/>
    <d v="2024-11-06T00:00:00"/>
    <x v="10"/>
    <s v="6715000"/>
    <s v="Fire prevent serv."/>
    <s v="MW09C21028"/>
    <s v="Segurança Industrial"/>
    <n v="5040.58"/>
    <s v="Valor Fire prevent serv  ref  Docto Nr  448"/>
    <x v="0"/>
    <s v="660914909"/>
    <s v="4009564915"/>
    <s v="EAUVD"/>
    <s v="1"/>
  </r>
  <r>
    <x v="2"/>
    <d v="2024-12-03T00:00:00"/>
    <x v="11"/>
    <s v="6715000"/>
    <s v="Fire prevent serv."/>
    <s v="MW09C21028"/>
    <s v="Segurança Industrial"/>
    <n v="5040.58"/>
    <s v="Valor Fire prevent serv  ref  Docto Nr  449"/>
    <x v="0"/>
    <s v="660928884"/>
    <s v="4009622389"/>
    <s v="EAUVD"/>
    <s v="1"/>
  </r>
  <r>
    <x v="3"/>
    <d v="2025-01-06T00:00:00"/>
    <x v="0"/>
    <s v="6715000"/>
    <s v="Fire prevent serv."/>
    <s v="MW09C21028"/>
    <s v="Segurança Industrial"/>
    <n v="5040.58"/>
    <s v="Valor Fire prevent serv  ref  Docto Nr  450"/>
    <x v="0"/>
    <s v="660939308"/>
    <s v="4009659967"/>
    <s v="EAUVD"/>
    <s v="1"/>
  </r>
  <r>
    <x v="3"/>
    <d v="2025-02-05T00:00:00"/>
    <x v="1"/>
    <s v="6715000"/>
    <s v="Fire prevent serv."/>
    <s v="MW09C21028"/>
    <s v="Segurança Industrial"/>
    <n v="5040.58"/>
    <s v="Valor Fire prevent serv  ref  Docto Nr  451"/>
    <x v="0"/>
    <s v="660954598"/>
    <s v="4009695188"/>
    <s v="GNEDA"/>
    <s v="1"/>
  </r>
  <r>
    <x v="3"/>
    <d v="2025-03-10T00:00:00"/>
    <x v="2"/>
    <s v="6715000"/>
    <s v="Fire prevent serv."/>
    <s v="MW09C21028"/>
    <s v="Segurança Industrial"/>
    <n v="5040.58"/>
    <s v="Valor Fire prevent serv  ref  Docto Nr  452"/>
    <x v="0"/>
    <s v="660969297"/>
    <s v="4009730533"/>
    <s v="EAUXB"/>
    <s v="1"/>
  </r>
  <r>
    <x v="3"/>
    <d v="2025-04-03T00:00:00"/>
    <x v="3"/>
    <s v="6715000"/>
    <s v="Fire prevent serv."/>
    <s v="MW09C21028"/>
    <s v="Segurança Industrial"/>
    <n v="5040.58"/>
    <s v="Valor Fire prevent serv  ref  Docto Nr  453"/>
    <x v="0"/>
    <s v="660981723"/>
    <s v="4009753530"/>
    <s v="EFXNJ"/>
    <s v="1"/>
  </r>
  <r>
    <x v="3"/>
    <d v="2025-05-08T00:00:00"/>
    <x v="4"/>
    <s v="6280000"/>
    <s v="Technic. spare parts"/>
    <s v="MW09C21028"/>
    <s v="Segurança Industrial"/>
    <n v="5040.58"/>
    <s v="Valor Technic  spare parts ref  Docto Nr  454"/>
    <x v="0"/>
    <s v="660997425"/>
    <s v="4009784165"/>
    <s v="EFXNJ"/>
    <s v="1"/>
  </r>
  <r>
    <x v="3"/>
    <d v="2025-06-02T00:00:00"/>
    <x v="5"/>
    <s v="6280000"/>
    <s v="Technic. spare parts"/>
    <s v="MW09C21028"/>
    <s v="Segurança Industrial"/>
    <n v="5040.58"/>
    <s v="Valor Technic  spare parts ref  Docto Nr  455"/>
    <x v="0"/>
    <s v="661002856"/>
    <s v="4009804521"/>
    <s v="GNEDA"/>
    <s v="1"/>
  </r>
  <r>
    <x v="3"/>
    <d v="2025-07-03T00:00:00"/>
    <x v="6"/>
    <s v="6280000"/>
    <s v="Technic. spare parts"/>
    <s v="MW09C21028"/>
    <s v="Segurança Industrial"/>
    <n v="4574.33"/>
    <s v="Valor Technic  spare parts ref  Docto Nr  456"/>
    <x v="0"/>
    <n v="661021938"/>
    <s v="4009844718"/>
    <s v="EAUXB"/>
    <s v="1"/>
  </r>
  <r>
    <x v="3"/>
    <d v="2025-07-25T00:00:00"/>
    <x v="6"/>
    <s v="6711000"/>
    <s v="Security Service"/>
    <s v="MW09C21022"/>
    <s v="Segurança do Trabalh"/>
    <n v="2560"/>
    <s v="Valor Security Service ref  Docto Nr  459"/>
    <x v="0"/>
    <s v="661031890"/>
    <s v="4009883370"/>
    <s v="EFXNJ"/>
    <s v="1"/>
  </r>
  <r>
    <x v="3"/>
    <d v="2025-08-01T00:00:00"/>
    <x v="7"/>
    <s v="6280000"/>
    <s v="Technic. spare parts"/>
    <s v="MW09C21028"/>
    <s v="Segurança Industrial"/>
    <n v="-4574.33"/>
    <s v="MANUT.PREVENTIVA COMPRESSORES AR"/>
    <x v="0"/>
    <s v="661021938"/>
    <s v="4009892345"/>
    <s v="EAUXB"/>
    <s v="1"/>
  </r>
  <r>
    <x v="3"/>
    <d v="2025-08-01T00:00:00"/>
    <x v="7"/>
    <s v="6280000"/>
    <s v="Technic. spare parts"/>
    <s v="MW09C21028"/>
    <s v="Segurança Industrial"/>
    <n v="5370.23"/>
    <s v="Valor Technic  spare parts ref  Docto Nr  457"/>
    <x v="0"/>
    <s v="661021938"/>
    <s v="4009893426"/>
    <s v="GNEDA"/>
    <s v="1"/>
  </r>
  <r>
    <x v="3"/>
    <d v="2025-08-04T00:00:00"/>
    <x v="7"/>
    <s v="6280000"/>
    <s v="Technic. spare parts"/>
    <s v="MW09C21028"/>
    <s v="Segurança Industrial"/>
    <n v="5370.23"/>
    <s v="Valor Technic  spare parts ref  Docto Nr  460"/>
    <x v="0"/>
    <s v="661036080"/>
    <s v="4009900735"/>
    <s v="GNEDA"/>
    <s v="1"/>
  </r>
  <r>
    <x v="3"/>
    <d v="2025-09-03T00:00:00"/>
    <x v="8"/>
    <s v="6280000"/>
    <s v="Technic. spare parts"/>
    <s v="MW09C21028"/>
    <s v="Segurança Industrial"/>
    <n v="5370.23"/>
    <s v="Valor Technic  spare parts ref  Docto Nr  462"/>
    <x v="0"/>
    <s v="661048933"/>
    <s v="4009950461"/>
    <s v="EFXNJ"/>
    <s v="1"/>
  </r>
  <r>
    <x v="3"/>
    <d v="2025-09-26T00:00:00"/>
    <x v="8"/>
    <s v="6776000"/>
    <s v="Accounting services"/>
    <s v="MW09C21022"/>
    <s v="Segurança do Trabalh"/>
    <n v="2560"/>
    <s v="Valor Accounting services ref  Docto Nr  461"/>
    <x v="0"/>
    <s v="661044131"/>
    <s v="4009991350"/>
    <s v="GNEDA"/>
    <s v="1"/>
  </r>
  <r>
    <x v="3"/>
    <d v="2025-09-29T00:00:00"/>
    <x v="8"/>
    <s v="6776000"/>
    <s v="Accounting services"/>
    <s v="MW09C21022"/>
    <s v="Segurança do Trabalh"/>
    <n v="368"/>
    <s v="Valor Accounting services ref  Docto Nr  463"/>
    <x v="0"/>
    <s v="661048965"/>
    <s v="4009995105"/>
    <s v="EAUXB"/>
    <s v="1"/>
  </r>
  <r>
    <x v="3"/>
    <d v="2025-09-29T00:00:00"/>
    <x v="8"/>
    <s v="6776000"/>
    <s v="Accounting services"/>
    <s v="MW09C21022"/>
    <s v="Segurança do Trabalh"/>
    <n v="2560"/>
    <s v="Valor Accounting services ref  Docto Nr  463"/>
    <x v="0"/>
    <s v="661048965"/>
    <s v="4009995105"/>
    <s v="EAUXB"/>
    <s v="2"/>
  </r>
  <r>
    <x v="3"/>
    <d v="2025-10-02T00:00:00"/>
    <x v="9"/>
    <s v="6280000"/>
    <s v="Technic. spare parts"/>
    <s v="MW09C21028"/>
    <s v="Segurança Industrial"/>
    <n v="5370.23"/>
    <s v="Valor Technic  spare parts ref  Docto Nr  464"/>
    <x v="0"/>
    <s v="661063599"/>
    <s v="4010002431"/>
    <s v="EAUXB"/>
    <s v="1"/>
  </r>
  <r>
    <x v="4"/>
    <d v="2026-01-08T00:00:00"/>
    <x v="0"/>
    <s v="6280000"/>
    <s v="Technic. spare parts"/>
    <s v="MW09C21028"/>
    <s v="Segurança Industrial"/>
    <n v="5370.23"/>
    <s v="Valor Technic  spare parts ref  Docto Nr  1"/>
    <x v="0"/>
    <s v="661104087"/>
    <s v="4010143927"/>
    <s v="YWEGT"/>
    <s v="1"/>
  </r>
  <r>
    <x v="4"/>
    <d v="2026-02-04T00:00:00"/>
    <x v="1"/>
    <s v="6280000"/>
    <s v="Technic. spare parts"/>
    <s v="MW09C21028"/>
    <s v="Segurança Industrial"/>
    <n v="5370.23"/>
    <s v="Valor Technic  spare parts ref  Docto Nr  2"/>
    <x v="0"/>
    <s v="661116680"/>
    <s v="4010172060"/>
    <s v="YWEGT"/>
    <s v="1"/>
  </r>
  <r>
    <x v="4"/>
    <d v="2026-03-06T00:00:00"/>
    <x v="2"/>
    <s v="6280000"/>
    <s v="Technic. spare parts"/>
    <s v="MW09C21028"/>
    <s v="Segurança Industrial"/>
    <n v="5370.23"/>
    <s v="Valor Technic  spare parts ref  Docto Nr  3"/>
    <x v="0"/>
    <s v="661130119"/>
    <s v="4010198334"/>
    <s v="YWEGT"/>
    <s v="1"/>
  </r>
  <r>
    <x v="4"/>
    <d v="2026-03-10T00:00:00"/>
    <x v="2"/>
    <s v="6280000"/>
    <s v="Technic. spare parts"/>
    <s v="MW09C21028"/>
    <s v="Segurança Industrial"/>
    <n v="38490.65"/>
    <s v="Valor Technic  spare parts ref  Docto Nr  4"/>
    <x v="0"/>
    <s v="661131693"/>
    <s v="4010204012"/>
    <s v="YWEGT"/>
    <s v="1"/>
  </r>
  <r>
    <x v="4"/>
    <d v="2026-04-10T00:00:00"/>
    <x v="3"/>
    <s v="6280000"/>
    <s v="Technic. spare parts"/>
    <s v="MW09C21028"/>
    <s v="Segurança Industrial"/>
    <n v="5370.23"/>
    <s v="Valor Technic  spare parts ref  Docto Nr  6"/>
    <x v="0"/>
    <s v="661146350"/>
    <s v="4010232999"/>
    <s v="YWEGT"/>
    <s v="1"/>
  </r>
  <r>
    <x v="4"/>
    <d v="2026-05-11T00:00:00"/>
    <x v="4"/>
    <s v="6280000"/>
    <s v="Technic. spare parts"/>
    <s v="MW09C21028"/>
    <s v="Segurança Industrial"/>
    <n v="5370.23"/>
    <s v="Valor Technic  spare parts ref  Docto Nr  7"/>
    <x v="0"/>
    <s v="661160234"/>
    <s v="4010266453"/>
    <s v="EAUXB"/>
    <s v="1"/>
  </r>
  <r>
    <x v="4"/>
    <d v="2026-07-03T00:00:00"/>
    <x v="6"/>
    <s v="6280000"/>
    <s v="Technic. spare parts"/>
    <s v="MW09C21028"/>
    <s v="Segurança Industrial"/>
    <n v="5370.23"/>
    <s v="Valor Technic  spare parts ref  Docto Nr  8"/>
    <x v="0"/>
    <s v="661181846"/>
    <s v="4010331913"/>
    <s v="GNEDA"/>
    <s v="1"/>
  </r>
  <r>
    <x v="4"/>
    <d v="2026-07-14T00:00:00"/>
    <x v="6"/>
    <s v="6280000"/>
    <s v="Technic. spare parts"/>
    <s v="MW09C21028"/>
    <s v="Segurança Industrial"/>
    <n v="5370.23"/>
    <s v="Valor Technic  spare parts ref  Docto Nr  9"/>
    <x v="0"/>
    <s v="661186230"/>
    <s v="4010349331"/>
    <s v="GNEDA"/>
    <s v="1"/>
  </r>
  <r>
    <x v="4"/>
    <d v="2026-08-05T00:00:00"/>
    <x v="7"/>
    <s v="6280000"/>
    <s v="Technic. spare parts"/>
    <s v="MW09C21028"/>
    <s v="Segurança Industrial"/>
    <n v="5370.23"/>
    <s v="Valor Technic  spare parts ref  Docto Nr  10"/>
    <x v="0"/>
    <s v="661199171"/>
    <s v="4010386791"/>
    <s v="EAUXB"/>
    <s v="1"/>
  </r>
  <r>
    <x v="5"/>
    <m/>
    <x v="13"/>
    <m/>
    <m/>
    <m/>
    <m/>
    <m/>
    <m/>
    <x v="1"/>
    <m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37">
  <r>
    <x v="0"/>
    <d v="2022-01-04T00:00:00"/>
    <x v="0"/>
    <s v="6542000"/>
    <s v="Environmental serv"/>
    <s v="MW09C21028"/>
    <s v="Segurança Industrial"/>
    <n v="4058.48"/>
    <s v="Valor Environmental serv ref  Docto Nr  382"/>
    <x v="0"/>
    <s v=""/>
    <s v="660388002"/>
    <s v=""/>
    <s v="4008016081"/>
    <s v="GNEPP"/>
    <s v="1"/>
  </r>
  <r>
    <x v="0"/>
    <d v="2022-01-05T00:00:00"/>
    <x v="0"/>
    <s v="6890000"/>
    <s v="3d party pers"/>
    <s v="MW09C21028"/>
    <s v="Segurança Industrial"/>
    <n v="82.73"/>
    <s v="Pgto Estag BCS - 06/2021"/>
    <x v="1"/>
    <s v=""/>
    <s v="614277248"/>
    <s v=""/>
    <s v="4008019513"/>
    <s v="GNEPP"/>
    <s v="59"/>
  </r>
  <r>
    <x v="0"/>
    <d v="2022-01-06T00:00:00"/>
    <x v="0"/>
    <s v="6542000"/>
    <s v="Environmental serv"/>
    <s v="MW09C21028"/>
    <s v="Segurança Industrial"/>
    <n v="4058.48"/>
    <s v="Valor Environmental serv ref  Docto Nr  387"/>
    <x v="0"/>
    <s v=""/>
    <s v="660401793"/>
    <s v=""/>
    <s v="4008021617"/>
    <s v="GNEPP"/>
    <s v="1"/>
  </r>
  <r>
    <x v="0"/>
    <d v="2022-01-06T00:00:00"/>
    <x v="0"/>
    <s v="6719990"/>
    <s v="Other site services"/>
    <s v="MW09C21028"/>
    <s v="Segurança Industrial"/>
    <n v="3000"/>
    <s v="Valor Other site services ref  Docto Nr  21679"/>
    <x v="2"/>
    <s v=""/>
    <s v="660401486"/>
    <s v=""/>
    <s v="4008021192"/>
    <s v="GNEPP"/>
    <s v="2"/>
  </r>
  <r>
    <x v="0"/>
    <d v="2022-01-06T00:00:00"/>
    <x v="0"/>
    <s v="6772000"/>
    <s v="MGT Consultancy"/>
    <s v="MW09C21028"/>
    <s v="Segurança Industrial"/>
    <n v="900"/>
    <s v="Valor MGT Consultancy ref  Docto Nr  1349"/>
    <x v="3"/>
    <s v=""/>
    <s v="660401234"/>
    <s v=""/>
    <s v="4008021200"/>
    <s v="GNEPP"/>
    <s v="1"/>
  </r>
  <r>
    <x v="0"/>
    <d v="2022-01-06T00:00:00"/>
    <x v="0"/>
    <s v="6200000"/>
    <s v="Maint &amp; Leg/Co.Compl"/>
    <s v="MW09C21028"/>
    <s v="Segurança Industrial"/>
    <n v="65"/>
    <s v="Valor Maint &amp; Leg Co Compl ref  Docto Nr  402"/>
    <x v="4"/>
    <s v=""/>
    <s v="660380640"/>
    <s v=""/>
    <s v="4008021132"/>
    <s v="GNEPP"/>
    <s v="4"/>
  </r>
  <r>
    <x v="0"/>
    <d v="2022-01-07T00:00:00"/>
    <x v="0"/>
    <s v="6719990"/>
    <s v="Other site services"/>
    <s v="MW09C21028"/>
    <s v="Segurança Industrial"/>
    <n v="7006.45"/>
    <s v="Locação Uniformes e Toalhas"/>
    <x v="2"/>
    <s v=""/>
    <s v="660401485"/>
    <s v=""/>
    <s v="4008021898"/>
    <s v="GNEPP"/>
    <s v="2"/>
  </r>
  <r>
    <x v="0"/>
    <d v="2022-01-10T00:00:00"/>
    <x v="0"/>
    <s v="6629004"/>
    <s v="LVA Tangible Exp"/>
    <s v="MW09C21028"/>
    <s v="Segurança Industrial"/>
    <n v="438.9"/>
    <s v="Valor LVA Tangible Exp ref  Docto Nr  1884"/>
    <x v="5"/>
    <s v=""/>
    <s v="660401797"/>
    <s v=""/>
    <s v="4008024758"/>
    <s v="GNEPP"/>
    <s v="1"/>
  </r>
  <r>
    <x v="0"/>
    <d v="2022-01-11T00:00:00"/>
    <x v="0"/>
    <s v="6829000"/>
    <s v="Taxi/publ.transp."/>
    <s v="MW09C21028"/>
    <s v="Segurança Industrial"/>
    <n v="300.77999999999997"/>
    <s v="Valor Taxi publ transp  ref  Docto Nr  50855"/>
    <x v="6"/>
    <s v=""/>
    <s v="660403262"/>
    <s v=""/>
    <s v="4008026186"/>
    <s v="GMGNH"/>
    <s v="4"/>
  </r>
  <r>
    <x v="0"/>
    <d v="2022-01-11T00:00:00"/>
    <x v="0"/>
    <s v="6829000"/>
    <s v="Taxi/publ.transp."/>
    <s v="MW09C21028"/>
    <s v="Segurança Industrial"/>
    <n v="84.42"/>
    <s v="Valor Taxi publ transp  ref  Docto Nr  50854"/>
    <x v="6"/>
    <s v=""/>
    <s v="660403350"/>
    <s v=""/>
    <s v="4008026185"/>
    <s v="GMGNH"/>
    <s v="7"/>
  </r>
  <r>
    <x v="0"/>
    <d v="2022-01-12T00:00:00"/>
    <x v="0"/>
    <s v="6829990"/>
    <s v="Other travel cost"/>
    <s v="MW09C21028"/>
    <s v="Segurança Industrial"/>
    <n v="5292.73"/>
    <s v="Manutenção de Veículos Emergenciais Segurança Indu"/>
    <x v="7"/>
    <s v=""/>
    <s v=""/>
    <s v=""/>
    <s v="4008029940"/>
    <s v="SXIDOCXI"/>
    <s v="3"/>
  </r>
  <r>
    <x v="0"/>
    <d v="2022-01-12T00:00:00"/>
    <x v="0"/>
    <s v="6829990"/>
    <s v="Other travel cost"/>
    <s v="MW09C21028"/>
    <s v="Segurança Industrial"/>
    <n v="601.66999999999996"/>
    <s v="Abastecimento Veículo Emergencial Segurança Indust"/>
    <x v="7"/>
    <s v=""/>
    <s v=""/>
    <s v=""/>
    <s v="4008029940"/>
    <s v="SXIDOCXI"/>
    <s v="2"/>
  </r>
  <r>
    <x v="0"/>
    <d v="2022-01-12T00:00:00"/>
    <x v="0"/>
    <s v="6829990"/>
    <s v="Other travel cost"/>
    <s v="MW09C21028"/>
    <s v="Segurança Industrial"/>
    <n v="347.43"/>
    <s v="Abastecimento Veículo Emergencial Segurança Indust"/>
    <x v="7"/>
    <s v=""/>
    <s v=""/>
    <s v=""/>
    <s v="4008029940"/>
    <s v="SXIDOCXI"/>
    <s v="1"/>
  </r>
  <r>
    <x v="0"/>
    <d v="2022-01-12T00:00:00"/>
    <x v="0"/>
    <s v="6321000"/>
    <s v="General supplies"/>
    <s v="MW09C21028"/>
    <s v="Segurança Industrial"/>
    <n v="99.6"/>
    <s v="Saida de Material por Consumo"/>
    <x v="8"/>
    <s v=""/>
    <s v=""/>
    <s v=""/>
    <s v="4008031250"/>
    <s v="ERUCD"/>
    <s v="1"/>
  </r>
  <r>
    <x v="0"/>
    <d v="2022-01-12T00:00:00"/>
    <x v="0"/>
    <s v="6822100"/>
    <s v="Transp cost staff"/>
    <s v="MW09C21028"/>
    <s v="Segurança Industrial"/>
    <n v="69.989999999999995"/>
    <s v="Apoio a Equipe de Turno/07513892/D55F39B6AF984A91B"/>
    <x v="9"/>
    <s v=""/>
    <s v=""/>
    <s v=""/>
    <s v="4008029949"/>
    <s v="SXIDOCXI"/>
    <s v="1"/>
  </r>
  <r>
    <x v="0"/>
    <d v="2022-01-12T00:00:00"/>
    <x v="0"/>
    <s v="6822200"/>
    <s v="Milage allowance"/>
    <s v="MW09C21028"/>
    <s v="Segurança Industrial"/>
    <n v="67.5"/>
    <s v="Utilização Veículo Particular/06169241/A9ACCA9A7B0"/>
    <x v="7"/>
    <s v=""/>
    <s v=""/>
    <s v=""/>
    <s v="4008029940"/>
    <s v="SXIDOCXI"/>
    <s v="4"/>
  </r>
  <r>
    <x v="0"/>
    <d v="2022-01-13T00:00:00"/>
    <x v="0"/>
    <s v="6715000"/>
    <s v="Fire prevent serv."/>
    <s v="MW09C21028"/>
    <s v="Segurança Industrial"/>
    <n v="10193.99"/>
    <s v="Valor Fire prevent serv  ref  Docto Nr  36300"/>
    <x v="10"/>
    <s v=""/>
    <s v="660401816"/>
    <s v=""/>
    <s v="4008034721"/>
    <s v="GMGNH"/>
    <s v="1"/>
  </r>
  <r>
    <x v="0"/>
    <d v="2022-01-13T00:00:00"/>
    <x v="0"/>
    <s v="6711000"/>
    <s v="Security Service"/>
    <s v="MW09C21028"/>
    <s v="Segurança Industrial"/>
    <n v="8719.83"/>
    <s v="Valor Security Service ref  Docto Nr  392"/>
    <x v="11"/>
    <s v=""/>
    <s v="660401815"/>
    <s v=""/>
    <s v="4008035625"/>
    <s v="GEMKD"/>
    <s v="1"/>
  </r>
  <r>
    <x v="0"/>
    <d v="2022-01-13T00:00:00"/>
    <x v="0"/>
    <s v="6280000"/>
    <s v="Technic. spare parts"/>
    <s v="MW09C21028"/>
    <s v="Segurança Industrial"/>
    <n v="1784.7"/>
    <s v="Valor Technic  spare parts ref  Docto Nr  25106"/>
    <x v="12"/>
    <s v=""/>
    <s v="660405641"/>
    <s v=""/>
    <s v="4008034901"/>
    <s v="GMGNH"/>
    <s v="1"/>
  </r>
  <r>
    <x v="0"/>
    <d v="2022-01-13T00:00:00"/>
    <x v="0"/>
    <s v="6829990"/>
    <s v="Other travel cost"/>
    <s v="MW09C21028"/>
    <s v="Segurança Industrial"/>
    <n v="385"/>
    <s v="Renovação CNH/08855401/F4BD9D288D0140E8AA51/RDVV R"/>
    <x v="13"/>
    <s v=""/>
    <s v=""/>
    <s v=""/>
    <s v="4008034262"/>
    <s v="SXIDOCXI"/>
    <s v="2"/>
  </r>
  <r>
    <x v="0"/>
    <d v="2022-01-13T00:00:00"/>
    <x v="0"/>
    <s v="6876000"/>
    <s v="Municip+regional tax"/>
    <s v="MW09C21028"/>
    <s v="Segurança Industrial"/>
    <n v="255"/>
    <s v="SERPAC Reemb Desp P173.021615"/>
    <x v="14"/>
    <s v=""/>
    <s v="660403718"/>
    <s v=""/>
    <s v="4008034758"/>
    <s v="GMGNH"/>
    <s v="1"/>
  </r>
  <r>
    <x v="0"/>
    <d v="2022-01-13T00:00:00"/>
    <x v="0"/>
    <s v="6829990"/>
    <s v="Other travel cost"/>
    <s v="MW09C21028"/>
    <s v="Segurança Industrial"/>
    <n v="156.69"/>
    <s v="Renovação CNH/08855401/F4BD9D288D0140E8AA51/RDVV R"/>
    <x v="13"/>
    <s v=""/>
    <s v=""/>
    <s v=""/>
    <s v="4008034262"/>
    <s v="SXIDOCXI"/>
    <s v="1"/>
  </r>
  <r>
    <x v="0"/>
    <d v="2022-01-13T00:00:00"/>
    <x v="0"/>
    <s v="6822200"/>
    <s v="Milage allowance"/>
    <s v="MW09C21028"/>
    <s v="Segurança Industrial"/>
    <n v="64.8"/>
    <s v="Utilização de Veículo Particular/08855401/F4BD9D28"/>
    <x v="13"/>
    <s v=""/>
    <s v=""/>
    <s v=""/>
    <s v="4008034262"/>
    <s v="SXIDOCXI"/>
    <s v="3"/>
  </r>
  <r>
    <x v="0"/>
    <d v="2022-01-17T00:00:00"/>
    <x v="0"/>
    <s v="6822300"/>
    <s v="Coll transp staff"/>
    <s v="MW09C21028"/>
    <s v="Segurança Industrial"/>
    <n v="924.62"/>
    <s v="Recup Transporte Colaboradores   Dez"/>
    <x v="15"/>
    <s v=""/>
    <s v=""/>
    <s v=""/>
    <s v="4008043675"/>
    <s v="GMZQL"/>
    <s v="32"/>
  </r>
  <r>
    <x v="0"/>
    <d v="2022-01-17T00:00:00"/>
    <x v="0"/>
    <s v="6831400"/>
    <s v="Catering"/>
    <s v="MW09C21028"/>
    <s v="Segurança Industrial"/>
    <n v="577.39"/>
    <s v="Vr recup Refeicoes Colaboradores   Dez"/>
    <x v="15"/>
    <s v=""/>
    <s v=""/>
    <s v=""/>
    <s v="4008043675"/>
    <s v="GMZQL"/>
    <s v="16"/>
  </r>
  <r>
    <x v="0"/>
    <d v="2022-01-17T00:00:00"/>
    <x v="0"/>
    <s v="6280000"/>
    <s v="Technic. spare parts"/>
    <s v="MW09C21028"/>
    <s v="Segurança Industrial"/>
    <n v="-300411.09000000003"/>
    <s v="Provisao Seguranca Industrial   SB"/>
    <x v="16"/>
    <s v=""/>
    <s v=""/>
    <s v=""/>
    <s v="4008044148"/>
    <s v="GMDWF"/>
    <s v="1"/>
  </r>
  <r>
    <x v="0"/>
    <d v="2022-01-18T00:00:00"/>
    <x v="0"/>
    <s v="6711000"/>
    <s v="Security Service"/>
    <s v="MW09C21028"/>
    <s v="Segurança Industrial"/>
    <n v="322580.15999999997"/>
    <s v="Valor Security Service ref  Docto Nr  8349"/>
    <x v="17"/>
    <s v=""/>
    <s v="660404467"/>
    <s v=""/>
    <s v="4008045316"/>
    <s v="GLRPZ"/>
    <s v="1"/>
  </r>
  <r>
    <x v="0"/>
    <d v="2022-01-18T00:00:00"/>
    <x v="0"/>
    <s v="6711000"/>
    <s v="Security Service"/>
    <s v="MW09C21028"/>
    <s v="Segurança Industrial"/>
    <n v="5424.48"/>
    <s v="Valor Security Service ref  Docto Nr  392"/>
    <x v="18"/>
    <s v=""/>
    <s v=""/>
    <s v=""/>
    <s v="4008045317"/>
    <s v="GLRPZ"/>
    <s v="1"/>
  </r>
  <r>
    <x v="0"/>
    <d v="2022-01-19T00:00:00"/>
    <x v="0"/>
    <s v="6711000"/>
    <s v="Security Service"/>
    <s v="MW09C21028"/>
    <s v="Segurança Industrial"/>
    <n v="9380.1299999999992"/>
    <s v="Valor Security Service ref  Docto Nr  15687"/>
    <x v="19"/>
    <s v=""/>
    <s v="660402547"/>
    <s v=""/>
    <s v="4008048892"/>
    <s v="GMGNH"/>
    <s v="1"/>
  </r>
  <r>
    <x v="0"/>
    <d v="2022-01-19T00:00:00"/>
    <x v="0"/>
    <s v="6829990"/>
    <s v="Other travel cost"/>
    <s v="MW09C21028"/>
    <s v="Segurança Industrial"/>
    <n v="2747.72"/>
    <s v="Abastecimento/06169225/9E5BE7D291444A51BB15/RDVV F"/>
    <x v="20"/>
    <s v=""/>
    <s v=""/>
    <s v=""/>
    <s v="4008049876"/>
    <s v="SXIDOCXI"/>
    <s v="2"/>
  </r>
  <r>
    <x v="0"/>
    <d v="2022-01-19T00:00:00"/>
    <x v="0"/>
    <s v="6822200"/>
    <s v="Milage allowance"/>
    <s v="MW09C21028"/>
    <s v="Segurança Industrial"/>
    <n v="1008"/>
    <s v="Utilização de Veículo Particular/08547685/6D8A6B1F"/>
    <x v="21"/>
    <s v=""/>
    <s v=""/>
    <s v=""/>
    <s v="4008049820"/>
    <s v="SXIDOCXI"/>
    <s v="1"/>
  </r>
  <r>
    <x v="0"/>
    <d v="2022-01-19T00:00:00"/>
    <x v="0"/>
    <s v="6829990"/>
    <s v="Other travel cost"/>
    <s v="MW09C21028"/>
    <s v="Segurança Industrial"/>
    <n v="871.02"/>
    <s v="Abastecimento Veículo Emergencial Segurança Indust"/>
    <x v="22"/>
    <s v=""/>
    <s v=""/>
    <s v=""/>
    <s v="4008049874"/>
    <s v="SXIDOCXI"/>
    <s v="1"/>
  </r>
  <r>
    <x v="0"/>
    <d v="2022-01-19T00:00:00"/>
    <x v="0"/>
    <s v="6822200"/>
    <s v="Milage allowance"/>
    <s v="MW09C21028"/>
    <s v="Segurança Industrial"/>
    <n v="388.8"/>
    <s v="Utilização de Veículo Particular/06168407/0BEB56E9"/>
    <x v="22"/>
    <s v=""/>
    <s v=""/>
    <s v=""/>
    <s v="4008049874"/>
    <s v="SXIDOCXI"/>
    <s v="5"/>
  </r>
  <r>
    <x v="0"/>
    <d v="2022-01-19T00:00:00"/>
    <x v="0"/>
    <s v="6829990"/>
    <s v="Other travel cost"/>
    <s v="MW09C21028"/>
    <s v="Segurança Industrial"/>
    <n v="326.86"/>
    <s v="Abastecimento Veículo Emergencial Segurança Indust"/>
    <x v="23"/>
    <s v=""/>
    <s v=""/>
    <s v=""/>
    <s v="4008049803"/>
    <s v="SXIDOCXI"/>
    <s v="1"/>
  </r>
  <r>
    <x v="0"/>
    <d v="2022-01-19T00:00:00"/>
    <x v="0"/>
    <s v="6829990"/>
    <s v="Other travel cost"/>
    <s v="MW09C21028"/>
    <s v="Segurança Industrial"/>
    <n v="257.61"/>
    <s v="Abastecimento Veículo Emergencial Segurança Indust"/>
    <x v="24"/>
    <s v=""/>
    <s v=""/>
    <s v=""/>
    <s v="4008050148"/>
    <s v="SXIDOCXI"/>
    <s v="1"/>
  </r>
  <r>
    <x v="0"/>
    <d v="2022-01-19T00:00:00"/>
    <x v="0"/>
    <s v="6822200"/>
    <s v="Milage allowance"/>
    <s v="MW09C21028"/>
    <s v="Segurança Industrial"/>
    <n v="252"/>
    <s v="Utilização de Veículo Particular/06164223/139A37A3"/>
    <x v="25"/>
    <s v=""/>
    <s v=""/>
    <s v=""/>
    <s v="4008049445"/>
    <s v="SXIDOCXI"/>
    <s v="1"/>
  </r>
  <r>
    <x v="0"/>
    <d v="2022-01-19T00:00:00"/>
    <x v="0"/>
    <s v="6829990"/>
    <s v="Other travel cost"/>
    <s v="MW09C21028"/>
    <s v="Segurança Industrial"/>
    <n v="250"/>
    <s v="Sepultamento de Familiar do Colaborador Bayer/0616"/>
    <x v="22"/>
    <s v=""/>
    <s v=""/>
    <s v=""/>
    <s v="4008049874"/>
    <s v="SXIDOCXI"/>
    <s v="3"/>
  </r>
  <r>
    <x v="0"/>
    <d v="2022-01-19T00:00:00"/>
    <x v="0"/>
    <s v="6829990"/>
    <s v="Other travel cost"/>
    <s v="MW09C21028"/>
    <s v="Segurança Industrial"/>
    <n v="230"/>
    <s v="Renovação de CNH/06168350/45DBB78504CC4B839140/RDV"/>
    <x v="24"/>
    <s v=""/>
    <s v=""/>
    <s v=""/>
    <s v="4008050148"/>
    <s v="SXIDOCXI"/>
    <s v="3"/>
  </r>
  <r>
    <x v="0"/>
    <d v="2022-01-19T00:00:00"/>
    <x v="0"/>
    <s v="6829990"/>
    <s v="Other travel cost"/>
    <s v="MW09C21028"/>
    <s v="Segurança Industrial"/>
    <n v="145"/>
    <s v="Renovação CNH/06168350/45DBB78504CC4B839140/RDVV C"/>
    <x v="24"/>
    <s v=""/>
    <s v=""/>
    <s v=""/>
    <s v="4008050148"/>
    <s v="SXIDOCXI"/>
    <s v="2"/>
  </r>
  <r>
    <x v="0"/>
    <d v="2022-01-19T00:00:00"/>
    <x v="0"/>
    <s v="6822200"/>
    <s v="Milage allowance"/>
    <s v="MW09C21028"/>
    <s v="Segurança Industrial"/>
    <n v="104.4"/>
    <s v="Utilização de Veículo Particular/07388982/747E9D6B"/>
    <x v="26"/>
    <s v=""/>
    <s v=""/>
    <s v=""/>
    <s v="4008049772"/>
    <s v="SXIDOCXI"/>
    <s v="1"/>
  </r>
  <r>
    <x v="0"/>
    <d v="2022-01-19T00:00:00"/>
    <x v="0"/>
    <s v="6822200"/>
    <s v="Milage allowance"/>
    <s v="MW09C21028"/>
    <s v="Segurança Industrial"/>
    <n v="100.8"/>
    <s v="Utilização de Veículo Particular/06164223/B9154935"/>
    <x v="25"/>
    <s v=""/>
    <s v=""/>
    <s v=""/>
    <s v="4008049446"/>
    <s v="SXIDOCXI"/>
    <s v="1"/>
  </r>
  <r>
    <x v="0"/>
    <d v="2022-01-19T00:00:00"/>
    <x v="0"/>
    <s v="6822100"/>
    <s v="Transp cost staff"/>
    <s v="MW09C21028"/>
    <s v="Segurança Industrial"/>
    <n v="87.42"/>
    <s v="Sepultamento de Familiar Colaborador Bayer/0616840"/>
    <x v="22"/>
    <s v=""/>
    <s v=""/>
    <s v=""/>
    <s v="4008049874"/>
    <s v="SXIDOCXI"/>
    <s v="6"/>
  </r>
  <r>
    <x v="0"/>
    <d v="2022-01-19T00:00:00"/>
    <x v="0"/>
    <s v="6821200"/>
    <s v="Food allowance"/>
    <s v="MW09C21028"/>
    <s v="Segurança Industrial"/>
    <n v="66"/>
    <s v="Missão Executiva/06168407/0BEB56E992794670A6C1/RDV"/>
    <x v="22"/>
    <s v=""/>
    <s v=""/>
    <s v=""/>
    <s v="4008049874"/>
    <s v="SXIDOCXI"/>
    <s v="7"/>
  </r>
  <r>
    <x v="0"/>
    <d v="2022-01-19T00:00:00"/>
    <x v="0"/>
    <s v="6829990"/>
    <s v="Other travel cost"/>
    <s v="MW09C21028"/>
    <s v="Segurança Industrial"/>
    <n v="65.8"/>
    <s v="Mensalidade/Pedagio/06169225/9E5BE7D291444A51BB15/"/>
    <x v="20"/>
    <s v=""/>
    <s v=""/>
    <s v=""/>
    <s v="4008049876"/>
    <s v="SXIDOCXI"/>
    <s v="4"/>
  </r>
  <r>
    <x v="0"/>
    <d v="2022-01-19T00:00:00"/>
    <x v="0"/>
    <s v="6829990"/>
    <s v="Other travel cost"/>
    <s v="MW09C21028"/>
    <s v="Segurança Industrial"/>
    <n v="56.8"/>
    <s v="Missão Executiva/06168407/0BEB56E992794670A6C1/RDV"/>
    <x v="22"/>
    <s v=""/>
    <s v=""/>
    <s v=""/>
    <s v="4008049874"/>
    <s v="SXIDOCXI"/>
    <s v="2"/>
  </r>
  <r>
    <x v="0"/>
    <d v="2022-01-19T00:00:00"/>
    <x v="0"/>
    <s v="6822100"/>
    <s v="Transp cost staff"/>
    <s v="MW09C21028"/>
    <s v="Segurança Industrial"/>
    <n v="48.27"/>
    <s v="Apoio a Equipe de Turno/08833742/82FFF04433D94F55A"/>
    <x v="27"/>
    <s v=""/>
    <s v=""/>
    <s v=""/>
    <s v="4008050007"/>
    <s v="SXIDOCXI"/>
    <s v="1"/>
  </r>
  <r>
    <x v="0"/>
    <d v="2022-01-19T00:00:00"/>
    <x v="0"/>
    <s v="6822200"/>
    <s v="Milage allowance"/>
    <s v="MW09C21028"/>
    <s v="Segurança Industrial"/>
    <n v="39.6"/>
    <s v="Utilização de Veículo Particular/06168326/BF262E63"/>
    <x v="23"/>
    <s v=""/>
    <s v=""/>
    <s v=""/>
    <s v="4008049803"/>
    <s v="SXIDOCXI"/>
    <s v="3"/>
  </r>
  <r>
    <x v="0"/>
    <d v="2022-01-19T00:00:00"/>
    <x v="0"/>
    <s v="6829990"/>
    <s v="Other travel cost"/>
    <s v="MW09C21028"/>
    <s v="Segurança Industrial"/>
    <n v="34.4"/>
    <s v="Utilização de Veículo Executivo Segurança Industri"/>
    <x v="22"/>
    <s v=""/>
    <s v=""/>
    <s v=""/>
    <s v="4008049874"/>
    <s v="SXIDOCXI"/>
    <s v="4"/>
  </r>
  <r>
    <x v="0"/>
    <d v="2022-01-19T00:00:00"/>
    <x v="0"/>
    <s v="6829990"/>
    <s v="Other travel cost"/>
    <s v="MW09C21028"/>
    <s v="Segurança Industrial"/>
    <n v="31.48"/>
    <s v="Utilização Veículo Executivo Segurança Industrial/"/>
    <x v="23"/>
    <s v=""/>
    <s v=""/>
    <s v=""/>
    <s v="4008049803"/>
    <s v="SXIDOCXI"/>
    <s v="2"/>
  </r>
  <r>
    <x v="0"/>
    <d v="2022-01-19T00:00:00"/>
    <x v="0"/>
    <s v="6821200"/>
    <s v="Food allowance"/>
    <s v="MW09C21028"/>
    <s v="Segurança Industrial"/>
    <n v="18.5"/>
    <s v="Missão Executiva/06168407/0BEB56E992794670A6C1/RDV"/>
    <x v="22"/>
    <s v=""/>
    <s v=""/>
    <s v=""/>
    <s v="4008049874"/>
    <s v="SXIDOCXI"/>
    <s v="8"/>
  </r>
  <r>
    <x v="0"/>
    <d v="2022-01-21T00:00:00"/>
    <x v="0"/>
    <s v="6726000"/>
    <s v="Industry cleaning"/>
    <s v="MW09C21028"/>
    <s v="Segurança Industrial"/>
    <n v="1379.51"/>
    <s v="Valor Industry cleaning ref  Docto Nr  14700"/>
    <x v="28"/>
    <s v=""/>
    <s v="660408737"/>
    <s v=""/>
    <s v="4008055367"/>
    <s v="GMGNH"/>
    <s v="7"/>
  </r>
  <r>
    <x v="0"/>
    <d v="2022-01-21T00:00:00"/>
    <x v="0"/>
    <s v="6711000"/>
    <s v="Security Service"/>
    <s v="MW09C21028"/>
    <s v="Segurança Industrial"/>
    <n v="320"/>
    <s v="Valor Security Service ref  Docto Nr  110000"/>
    <x v="29"/>
    <s v=""/>
    <s v="660402457"/>
    <s v=""/>
    <s v="4008055041"/>
    <s v="GMGNH"/>
    <s v="1"/>
  </r>
  <r>
    <x v="0"/>
    <d v="2022-01-21T00:00:00"/>
    <x v="0"/>
    <s v="6726000"/>
    <s v="Industry cleaning"/>
    <s v="MW09C21028"/>
    <s v="Segurança Industrial"/>
    <n v="162.06"/>
    <s v="Valor Industry cleaning ref  Docto Nr  14700"/>
    <x v="28"/>
    <s v=""/>
    <s v="660408737"/>
    <s v=""/>
    <s v="4008055367"/>
    <s v="GMGNH"/>
    <s v="3"/>
  </r>
  <r>
    <x v="0"/>
    <d v="2022-01-24T00:00:00"/>
    <x v="0"/>
    <s v="6829990"/>
    <s v="Other travel cost"/>
    <s v="MW09C21028"/>
    <s v="Segurança Industrial"/>
    <n v="1260.5999999999999"/>
    <s v="Uniforme Missao Executiva/06168326/7EBF28FF649C43F"/>
    <x v="23"/>
    <s v=""/>
    <s v=""/>
    <s v=""/>
    <s v="4008060677"/>
    <s v="SXIDOCXI"/>
    <s v="12"/>
  </r>
  <r>
    <x v="0"/>
    <d v="2022-01-24T00:00:00"/>
    <x v="0"/>
    <s v="6320000"/>
    <s v="Supplies"/>
    <s v="MW09C21028"/>
    <s v="Segurança Industrial"/>
    <n v="1260"/>
    <s v="Valor Supplies ref  Docto Nr  432"/>
    <x v="4"/>
    <s v=""/>
    <s v="660410919"/>
    <s v=""/>
    <s v="4008060987"/>
    <s v="EIMOH"/>
    <s v="2"/>
  </r>
  <r>
    <x v="0"/>
    <d v="2022-01-24T00:00:00"/>
    <x v="0"/>
    <s v="6829990"/>
    <s v="Other travel cost"/>
    <s v="MW09C21028"/>
    <s v="Segurança Industrial"/>
    <n v="1235.5999999999999"/>
    <s v="Manutenção Veículo Emergencial Segurança Industria"/>
    <x v="23"/>
    <s v=""/>
    <s v=""/>
    <s v=""/>
    <s v="4008060677"/>
    <s v="SXIDOCXI"/>
    <s v="6"/>
  </r>
  <r>
    <x v="0"/>
    <d v="2022-01-24T00:00:00"/>
    <x v="0"/>
    <s v="6829990"/>
    <s v="Other travel cost"/>
    <s v="MW09C21028"/>
    <s v="Segurança Industrial"/>
    <n v="1194.56"/>
    <s v="Abastecimento Veículo Emergencial Segurança Indust"/>
    <x v="23"/>
    <s v=""/>
    <s v=""/>
    <s v=""/>
    <s v="4008060677"/>
    <s v="SXIDOCXI"/>
    <s v="2"/>
  </r>
  <r>
    <x v="0"/>
    <d v="2022-01-24T00:00:00"/>
    <x v="0"/>
    <s v="6320000"/>
    <s v="Supplies"/>
    <s v="MW09C21028"/>
    <s v="Segurança Industrial"/>
    <n v="1166.0899999999999"/>
    <s v="Valor Supplies ref  Docto Nr  431"/>
    <x v="4"/>
    <s v=""/>
    <s v="660410903"/>
    <s v=""/>
    <s v="4008060999"/>
    <s v="EIMOH"/>
    <s v="2"/>
  </r>
  <r>
    <x v="0"/>
    <d v="2022-01-24T00:00:00"/>
    <x v="0"/>
    <s v="6829990"/>
    <s v="Other travel cost"/>
    <s v="MW09C21028"/>
    <s v="Segurança Industrial"/>
    <n v="600"/>
    <s v="Retirada de Cães Complexo Industrial/06168326/7EBF"/>
    <x v="23"/>
    <s v=""/>
    <s v=""/>
    <s v=""/>
    <s v="4008060677"/>
    <s v="SXIDOCXI"/>
    <s v="11"/>
  </r>
  <r>
    <x v="0"/>
    <d v="2022-01-24T00:00:00"/>
    <x v="0"/>
    <s v="6320000"/>
    <s v="Supplies"/>
    <s v="MW09C21028"/>
    <s v="Segurança Industrial"/>
    <n v="300.58"/>
    <s v="Valor Supplies ref  Docto Nr  431"/>
    <x v="4"/>
    <s v=""/>
    <s v="660410903"/>
    <s v=""/>
    <s v="4008060999"/>
    <s v="EIMOH"/>
    <s v="3"/>
  </r>
  <r>
    <x v="0"/>
    <d v="2022-01-24T00:00:00"/>
    <x v="0"/>
    <s v="6829990"/>
    <s v="Other travel cost"/>
    <s v="MW09C21028"/>
    <s v="Segurança Industrial"/>
    <n v="290"/>
    <s v="Exame PCR/06168326/7EBF28FF649C43FDADB5/RDVV AMORI"/>
    <x v="23"/>
    <s v=""/>
    <s v=""/>
    <s v=""/>
    <s v="4008060677"/>
    <s v="SXIDOCXI"/>
    <s v="4"/>
  </r>
  <r>
    <x v="0"/>
    <d v="2022-01-24T00:00:00"/>
    <x v="0"/>
    <s v="6320000"/>
    <s v="Supplies"/>
    <s v="MW09C21028"/>
    <s v="Segurança Industrial"/>
    <n v="176.48"/>
    <s v="Valor Supplies ref  Docto Nr  431"/>
    <x v="4"/>
    <s v=""/>
    <s v="660410903"/>
    <s v=""/>
    <s v="4008060999"/>
    <s v="EIMOH"/>
    <s v="1"/>
  </r>
  <r>
    <x v="0"/>
    <d v="2022-01-24T00:00:00"/>
    <x v="0"/>
    <s v="6829990"/>
    <s v="Other travel cost"/>
    <s v="MW09C21028"/>
    <s v="Segurança Industrial"/>
    <n v="167.3"/>
    <s v="Abastecimento Veículo Frota SP/06168326/7EBF28FF64"/>
    <x v="23"/>
    <s v=""/>
    <s v=""/>
    <s v=""/>
    <s v="4008060677"/>
    <s v="SXIDOCXI"/>
    <s v="3"/>
  </r>
  <r>
    <x v="0"/>
    <d v="2022-01-24T00:00:00"/>
    <x v="0"/>
    <s v="6829990"/>
    <s v="Other travel cost"/>
    <s v="MW09C21028"/>
    <s v="Segurança Industrial"/>
    <n v="154.25"/>
    <s v="Missão Executiva/06168326/7EBF28FF649C43FDADB5/RDV"/>
    <x v="23"/>
    <s v=""/>
    <s v=""/>
    <s v=""/>
    <s v="4008060677"/>
    <s v="SXIDOCXI"/>
    <s v="10"/>
  </r>
  <r>
    <x v="0"/>
    <d v="2022-01-24T00:00:00"/>
    <x v="0"/>
    <s v="6829990"/>
    <s v="Other travel cost"/>
    <s v="MW09C21028"/>
    <s v="Segurança Industrial"/>
    <n v="133.41"/>
    <s v="Missão Executiva/06168326/7EBF28FF649C43FDADB5/RDV"/>
    <x v="23"/>
    <s v=""/>
    <s v=""/>
    <s v=""/>
    <s v="4008060677"/>
    <s v="SXIDOCXI"/>
    <s v="9"/>
  </r>
  <r>
    <x v="0"/>
    <d v="2022-01-24T00:00:00"/>
    <x v="0"/>
    <s v="6829990"/>
    <s v="Other travel cost"/>
    <s v="MW09C21028"/>
    <s v="Segurança Industrial"/>
    <n v="124.48"/>
    <s v="Utilização Veículo Executivo Segurança Industrial/"/>
    <x v="23"/>
    <s v=""/>
    <s v=""/>
    <s v=""/>
    <s v="4008060677"/>
    <s v="SXIDOCXI"/>
    <s v="13"/>
  </r>
  <r>
    <x v="0"/>
    <d v="2022-01-24T00:00:00"/>
    <x v="0"/>
    <s v="6821200"/>
    <s v="Food allowance"/>
    <s v="MW09C21028"/>
    <s v="Segurança Industrial"/>
    <n v="71.319999999999993"/>
    <s v="Missão Executiva/06168326/7EBF28FF649C43FDADB5/RDV"/>
    <x v="23"/>
    <s v=""/>
    <s v=""/>
    <s v=""/>
    <s v="4008060677"/>
    <s v="SXIDOCXI"/>
    <s v="19"/>
  </r>
  <r>
    <x v="0"/>
    <d v="2022-01-24T00:00:00"/>
    <x v="0"/>
    <s v="6821200"/>
    <s v="Food allowance"/>
    <s v="MW09C21028"/>
    <s v="Segurança Industrial"/>
    <n v="40"/>
    <s v="Missão Executiva/06168326/7EBF28FF649C43FDADB5/RDV"/>
    <x v="23"/>
    <s v=""/>
    <s v=""/>
    <s v=""/>
    <s v="4008060677"/>
    <s v="SXIDOCXI"/>
    <s v="20"/>
  </r>
  <r>
    <x v="0"/>
    <d v="2022-01-24T00:00:00"/>
    <x v="0"/>
    <s v="6822200"/>
    <s v="Milage allowance"/>
    <s v="MW09C21028"/>
    <s v="Segurança Industrial"/>
    <n v="39.6"/>
    <s v="Utilização de Veículo Particular/06168326/7EBF28FF"/>
    <x v="23"/>
    <s v=""/>
    <s v=""/>
    <s v=""/>
    <s v="4008060677"/>
    <s v="SXIDOCXI"/>
    <s v="14"/>
  </r>
  <r>
    <x v="0"/>
    <d v="2022-01-24T00:00:00"/>
    <x v="0"/>
    <s v="6831100"/>
    <s v="Bus meals"/>
    <s v="MW09C21028"/>
    <s v="Segurança Industrial"/>
    <n v="33"/>
    <s v="Missão Executiva/06168326/7EBF28FF649C43FDADB5/RDV"/>
    <x v="23"/>
    <s v=""/>
    <s v=""/>
    <s v=""/>
    <s v="4008060677"/>
    <s v="SXIDOCXI"/>
    <s v="16"/>
  </r>
  <r>
    <x v="0"/>
    <d v="2022-01-25T00:00:00"/>
    <x v="0"/>
    <s v="6039300"/>
    <s v="Oth emp benefits"/>
    <s v="MW09C21028"/>
    <s v="Segurança Industrial"/>
    <n v="800.31"/>
    <s v="Compra de cadeira veicular para Bebê./06169225/F6C"/>
    <x v="20"/>
    <s v=""/>
    <s v=""/>
    <s v=""/>
    <s v="4008062265"/>
    <s v="SXIDOCXI"/>
    <s v="1"/>
  </r>
  <r>
    <x v="0"/>
    <d v="2022-01-25T00:00:00"/>
    <x v="0"/>
    <s v="6471200"/>
    <s v="Product literature"/>
    <s v="MW09C21028"/>
    <s v="Segurança Industrial"/>
    <n v="367.12"/>
    <s v="Valor Product literature ref  Docto Nr  3047"/>
    <x v="30"/>
    <s v=""/>
    <s v="660384003"/>
    <s v=""/>
    <s v="4008063019"/>
    <s v="GNEPP"/>
    <s v="1"/>
  </r>
  <r>
    <x v="0"/>
    <d v="2022-01-25T00:00:00"/>
    <x v="0"/>
    <s v="6471200"/>
    <s v="Product literature"/>
    <s v="MW09C21028"/>
    <s v="Segurança Industrial"/>
    <n v="337.48"/>
    <s v="Valor Product literature ref  Docto Nr  3047"/>
    <x v="30"/>
    <s v=""/>
    <s v="660384003"/>
    <s v=""/>
    <s v="4008063019"/>
    <s v="GNEPP"/>
    <s v="3"/>
  </r>
  <r>
    <x v="0"/>
    <d v="2022-01-25T00:00:00"/>
    <x v="0"/>
    <s v="6471200"/>
    <s v="Product literature"/>
    <s v="MW09C21028"/>
    <s v="Segurança Industrial"/>
    <n v="188.84"/>
    <s v="Valor Product literature ref  Docto Nr  3047"/>
    <x v="30"/>
    <s v=""/>
    <s v="660384003"/>
    <s v=""/>
    <s v="4008063019"/>
    <s v="GNEPP"/>
    <s v="2"/>
  </r>
  <r>
    <x v="0"/>
    <d v="2022-01-25T00:00:00"/>
    <x v="0"/>
    <s v="6471200"/>
    <s v="Product literature"/>
    <s v="MW09C21028"/>
    <s v="Segurança Industrial"/>
    <n v="174.56"/>
    <s v="Valor Product literature ref  Docto Nr  3047"/>
    <x v="30"/>
    <s v=""/>
    <s v="660384003"/>
    <s v=""/>
    <s v="4008063019"/>
    <s v="GNEPP"/>
    <s v="5"/>
  </r>
  <r>
    <x v="0"/>
    <d v="2022-01-25T00:00:00"/>
    <x v="0"/>
    <s v="6471200"/>
    <s v="Product literature"/>
    <s v="MW09C21028"/>
    <s v="Segurança Industrial"/>
    <n v="166.52"/>
    <s v="Valor Product literature ref  Docto Nr  3047"/>
    <x v="30"/>
    <s v=""/>
    <s v="660384003"/>
    <s v=""/>
    <s v="4008063019"/>
    <s v="GNEPP"/>
    <s v="4"/>
  </r>
  <r>
    <x v="0"/>
    <d v="2022-01-25T00:00:00"/>
    <x v="0"/>
    <s v="6822200"/>
    <s v="Milage allowance"/>
    <s v="MW09C21028"/>
    <s v="Segurança Industrial"/>
    <n v="27"/>
    <s v="Utilização de Veículo Particular/06168296/98CF276B"/>
    <x v="31"/>
    <s v=""/>
    <s v=""/>
    <s v=""/>
    <s v="4008062263"/>
    <s v="SXIDOCXI"/>
    <s v="1"/>
  </r>
  <r>
    <x v="0"/>
    <d v="2022-01-25T00:00:00"/>
    <x v="0"/>
    <s v="6822100"/>
    <s v="Transp cost staff"/>
    <s v="MW09C21028"/>
    <s v="Segurança Industrial"/>
    <n v="17.940000000000001"/>
    <s v="Apoio a Equipe de Turno/06168296/98CF276BF69B47399"/>
    <x v="31"/>
    <s v=""/>
    <s v=""/>
    <s v=""/>
    <s v="4008062263"/>
    <s v="SXIDOCXI"/>
    <s v="2"/>
  </r>
  <r>
    <x v="0"/>
    <d v="2022-01-25T00:00:00"/>
    <x v="0"/>
    <s v="6711000"/>
    <s v="Security Service"/>
    <s v="MW09C21028"/>
    <s v="Segurança Industrial"/>
    <n v="-0.37"/>
    <s v="Valor Security Service ref  Docto Nr  7928"/>
    <x v="32"/>
    <s v=""/>
    <s v="614086526"/>
    <s v=""/>
    <s v="4008063125"/>
    <s v="GLRPZ"/>
    <s v="1"/>
  </r>
  <r>
    <x v="0"/>
    <d v="2022-01-27T00:00:00"/>
    <x v="0"/>
    <s v="6011000"/>
    <s v="Salaries"/>
    <s v="MW09C21028"/>
    <s v="Segurança Industrial"/>
    <n v="103372.66"/>
    <s v="37NA/37U/Salários"/>
    <x v="33"/>
    <s v=""/>
    <s v=""/>
    <s v=""/>
    <s v="4008067883"/>
    <s v="WWCAST1_HR"/>
    <s v="789"/>
  </r>
  <r>
    <x v="0"/>
    <d v="2022-01-27T00:00:00"/>
    <x v="0"/>
    <s v="6011000"/>
    <s v="Salaries"/>
    <s v="MW09C21028"/>
    <s v="Segurança Industrial"/>
    <n v="59386.44"/>
    <s v="37NC/37U/Salarios Outros"/>
    <x v="33"/>
    <s v=""/>
    <s v=""/>
    <s v=""/>
    <s v="4008067883"/>
    <s v="WWCAST1_HR"/>
    <s v="788"/>
  </r>
  <r>
    <x v="0"/>
    <d v="2022-01-27T00:00:00"/>
    <x v="0"/>
    <s v="6020300"/>
    <s v="Soc sec cont-severan"/>
    <s v="MW09C21028"/>
    <s v="Segurança Industrial"/>
    <n v="49714.83"/>
    <s v="37NP/37U/Contribuição Inst.de Previdência"/>
    <x v="33"/>
    <s v=""/>
    <s v=""/>
    <s v=""/>
    <s v="4008067883"/>
    <s v="WWCAST1_HR"/>
    <s v="782"/>
  </r>
  <r>
    <x v="0"/>
    <d v="2022-01-27T00:00:00"/>
    <x v="0"/>
    <s v="6011700"/>
    <s v="Overtime Premium-sal"/>
    <s v="MW09C21028"/>
    <s v="Segurança Industrial"/>
    <n v="33934.32"/>
    <s v="37NF/37U/Horas Extras"/>
    <x v="33"/>
    <s v=""/>
    <s v=""/>
    <s v=""/>
    <s v="4008067883"/>
    <s v="WWCAST1_HR"/>
    <s v="779"/>
  </r>
  <r>
    <x v="0"/>
    <d v="2022-01-27T00:00:00"/>
    <x v="0"/>
    <s v="6011100"/>
    <s v="Vacation Comp-Sal"/>
    <s v="MW09C21028"/>
    <s v="Segurança Industrial"/>
    <n v="31051.39"/>
    <s v="37NN/37U/Provisão Pagto Férias DL 1730/79"/>
    <x v="33"/>
    <s v=""/>
    <s v=""/>
    <s v=""/>
    <s v="4008067883"/>
    <s v="WWCAST1_HR"/>
    <s v="787"/>
  </r>
  <r>
    <x v="0"/>
    <d v="2022-01-27T00:00:00"/>
    <x v="0"/>
    <s v="6020220"/>
    <s v="Unemployment fund"/>
    <s v="MW09C21028"/>
    <s v="Segurança Industrial"/>
    <n v="17520.66"/>
    <s v="37OF/37U/Desp.FGTS Diferença 10% C/Liminar"/>
    <x v="33"/>
    <s v=""/>
    <s v=""/>
    <s v=""/>
    <s v="4008067883"/>
    <s v="WWCAST1_HR"/>
    <s v="746"/>
  </r>
  <r>
    <x v="0"/>
    <d v="2022-01-27T00:00:00"/>
    <x v="0"/>
    <s v="6011540"/>
    <s v="Oth premium sal"/>
    <s v="MW09C21028"/>
    <s v="Segurança Industrial"/>
    <n v="17311.599999999999"/>
    <s v="37NM/37U/Gratificação Ajustada Espontânea"/>
    <x v="33"/>
    <s v=""/>
    <s v=""/>
    <s v=""/>
    <s v="4008067883"/>
    <s v="WWCAST1_HR"/>
    <s v="794"/>
  </r>
  <r>
    <x v="0"/>
    <d v="2022-01-27T00:00:00"/>
    <x v="0"/>
    <s v="6011530"/>
    <s v="13th month rem sal"/>
    <s v="MW09C21028"/>
    <s v="Segurança Industrial"/>
    <n v="13360.59"/>
    <s v="37NI/37U/13º Salário"/>
    <x v="33"/>
    <s v=""/>
    <s v=""/>
    <s v=""/>
    <s v="4008067883"/>
    <s v="WWCAST1_HR"/>
    <s v="785"/>
  </r>
  <r>
    <x v="0"/>
    <d v="2022-01-27T00:00:00"/>
    <x v="0"/>
    <s v="6020350"/>
    <s v="Accr soc-sec. contr."/>
    <s v="MW09C21028"/>
    <s v="Segurança Industrial"/>
    <n v="9264.39"/>
    <s v="37OD/37U/Provisão Encargos Sociais S/Férias DL 173"/>
    <x v="33"/>
    <s v=""/>
    <s v=""/>
    <s v=""/>
    <s v="4008067883"/>
    <s v="WWCAST1_HR"/>
    <s v="713"/>
  </r>
  <r>
    <x v="0"/>
    <d v="2022-01-27T00:00:00"/>
    <x v="0"/>
    <s v="6021130"/>
    <s v="Pay Ins Accid sal"/>
    <s v="MW09C21028"/>
    <s v="Segurança Industrial"/>
    <n v="8028.89"/>
    <s v="37NY/37U/Seguro Contra Acidentes de Trabalho"/>
    <x v="33"/>
    <s v=""/>
    <s v=""/>
    <s v=""/>
    <s v="4008067883"/>
    <s v="WWCAST1_HR"/>
    <s v="783"/>
  </r>
  <r>
    <x v="0"/>
    <d v="2022-01-27T00:00:00"/>
    <x v="0"/>
    <s v="6020300"/>
    <s v="Soc sec cont-severan"/>
    <s v="MW09C21028"/>
    <s v="Segurança Industrial"/>
    <n v="7227.28"/>
    <s v="37NX/37U/Salário Educação LEI 4440/64"/>
    <x v="33"/>
    <s v=""/>
    <s v=""/>
    <s v=""/>
    <s v="4008067883"/>
    <s v="WWCAST1_HR"/>
    <s v="784"/>
  </r>
  <r>
    <x v="0"/>
    <d v="2022-01-27T00:00:00"/>
    <x v="0"/>
    <s v="6011700"/>
    <s v="Overtime Premium-sal"/>
    <s v="MW09C21028"/>
    <s v="Segurança Industrial"/>
    <n v="6649.57"/>
    <s v="37NG/37U/Horas Extras Revezamento"/>
    <x v="33"/>
    <s v=""/>
    <s v=""/>
    <s v=""/>
    <s v="4008067883"/>
    <s v="WWCAST1_HR"/>
    <s v="792"/>
  </r>
  <r>
    <x v="0"/>
    <d v="2022-01-27T00:00:00"/>
    <x v="0"/>
    <s v="6032730"/>
    <s v="Exp emp con-ded"/>
    <s v="MW09C21028"/>
    <s v="Segurança Industrial"/>
    <n v="6001.04"/>
    <s v="37PA/37U/Contribuição a Previdencia Privada"/>
    <x v="33"/>
    <s v=""/>
    <s v=""/>
    <s v=""/>
    <s v="4008067883"/>
    <s v="WWCAST1_HR"/>
    <s v="781"/>
  </r>
  <r>
    <x v="0"/>
    <d v="2022-01-27T00:00:00"/>
    <x v="0"/>
    <s v="6020320"/>
    <s v="Contingency fund"/>
    <s v="MW09C21028"/>
    <s v="Segurança Industrial"/>
    <n v="4907.43"/>
    <s v="37PE/37U/Encargos sobre 13o salário"/>
    <x v="33"/>
    <s v=""/>
    <s v=""/>
    <s v=""/>
    <s v="4008067883"/>
    <s v="WWCAST1_HR"/>
    <s v="786"/>
  </r>
  <r>
    <x v="0"/>
    <d v="2022-01-27T00:00:00"/>
    <x v="0"/>
    <s v="6042050"/>
    <s v="Rem. limited dur."/>
    <s v="MW09C21028"/>
    <s v="Segurança Industrial"/>
    <n v="4053.66"/>
    <s v="37NA/37W/Salários"/>
    <x v="33"/>
    <s v=""/>
    <s v=""/>
    <s v=""/>
    <s v="4008067882"/>
    <s v="WWCAST1_HR"/>
    <s v="920"/>
  </r>
  <r>
    <x v="0"/>
    <d v="2022-01-27T00:00:00"/>
    <x v="0"/>
    <s v="6039300"/>
    <s v="Oth emp benefits"/>
    <s v="MW09C21028"/>
    <s v="Segurança Industrial"/>
    <n v="1582.79"/>
    <s v="37OR/37U/Outras Despesas Sociais"/>
    <x v="33"/>
    <s v=""/>
    <s v=""/>
    <s v=""/>
    <s v="4008067883"/>
    <s v="WWCAST1_HR"/>
    <s v="747"/>
  </r>
  <r>
    <x v="0"/>
    <d v="2022-01-27T00:00:00"/>
    <x v="0"/>
    <s v="6020360"/>
    <s v="Employer cont pens p"/>
    <s v="MW09C21028"/>
    <s v="Segurança Industrial"/>
    <n v="1435.53"/>
    <s v="37NP/37W/Contribuição Inst.de Previdência"/>
    <x v="33"/>
    <s v=""/>
    <s v=""/>
    <s v=""/>
    <s v="4008067882"/>
    <s v="WWCAST1_HR"/>
    <s v="976"/>
  </r>
  <r>
    <x v="0"/>
    <d v="2022-01-27T00:00:00"/>
    <x v="0"/>
    <s v="6042050"/>
    <s v="Rem. limited dur."/>
    <s v="MW09C21028"/>
    <s v="Segurança Industrial"/>
    <n v="1277.04"/>
    <s v="37NF/37W/Horas Extras"/>
    <x v="33"/>
    <s v=""/>
    <s v=""/>
    <s v=""/>
    <s v="4008067882"/>
    <s v="WWCAST1_HR"/>
    <s v="817"/>
  </r>
  <r>
    <x v="0"/>
    <d v="2022-01-27T00:00:00"/>
    <x v="0"/>
    <s v="6061000"/>
    <s v="Allow for prec. Job"/>
    <s v="MW09C21028"/>
    <s v="Segurança Industrial"/>
    <n v="993.22"/>
    <s v="37NC/37W/Salarios Outros"/>
    <x v="33"/>
    <s v=""/>
    <s v=""/>
    <s v=""/>
    <s v="4008067882"/>
    <s v="WWCAST1_HR"/>
    <s v="818"/>
  </r>
  <r>
    <x v="0"/>
    <d v="2022-01-27T00:00:00"/>
    <x v="0"/>
    <s v="6052340"/>
    <s v="Soc. security contr."/>
    <s v="MW09C21028"/>
    <s v="Segurança Industrial"/>
    <n v="505.91"/>
    <s v="37OF/37W/Desp.FGTS Diferença 10% C/Liminar"/>
    <x v="33"/>
    <s v=""/>
    <s v=""/>
    <s v=""/>
    <s v="4008067882"/>
    <s v="WWCAST1_HR"/>
    <s v="972"/>
  </r>
  <r>
    <x v="0"/>
    <d v="2022-01-27T00:00:00"/>
    <x v="0"/>
    <s v="6042100"/>
    <s v="RemTM yearly premium"/>
    <s v="MW09C21028"/>
    <s v="Segurança Industrial"/>
    <n v="407.84"/>
    <s v="37NI/37W/13º Salário"/>
    <x v="33"/>
    <s v=""/>
    <s v=""/>
    <s v=""/>
    <s v="4008067882"/>
    <s v="WWCAST1_HR"/>
    <s v="916"/>
  </r>
  <r>
    <x v="0"/>
    <d v="2022-01-27T00:00:00"/>
    <x v="0"/>
    <s v="6052400"/>
    <s v="Soc Contr 'oth'"/>
    <s v="MW09C21028"/>
    <s v="Segurança Industrial"/>
    <n v="208.69"/>
    <s v="37NX/37W/Salário Educação LEI 4440/64"/>
    <x v="33"/>
    <s v=""/>
    <s v=""/>
    <s v=""/>
    <s v="4008067882"/>
    <s v="WWCAST1_HR"/>
    <s v="915"/>
  </r>
  <r>
    <x v="0"/>
    <d v="2022-01-27T00:00:00"/>
    <x v="0"/>
    <s v="6021130"/>
    <s v="Pay Ins Accid sal"/>
    <s v="MW09C21028"/>
    <s v="Segurança Industrial"/>
    <n v="187.37"/>
    <s v="37NY/37W/Seguro Contra Acidentes de Trabalho"/>
    <x v="33"/>
    <s v=""/>
    <s v=""/>
    <s v=""/>
    <s v="4008067882"/>
    <s v="WWCAST1_HR"/>
    <s v="914"/>
  </r>
  <r>
    <x v="0"/>
    <d v="2022-01-27T00:00:00"/>
    <x v="0"/>
    <s v="6052400"/>
    <s v="Soc Contr 'oth'"/>
    <s v="MW09C21028"/>
    <s v="Segurança Industrial"/>
    <n v="149.80000000000001"/>
    <s v="37PE/37W/Encargos sobre 13o salário"/>
    <x v="33"/>
    <s v=""/>
    <s v=""/>
    <s v=""/>
    <s v="4008067882"/>
    <s v="WWCAST1_HR"/>
    <s v="917"/>
  </r>
  <r>
    <x v="0"/>
    <d v="2022-01-27T00:00:00"/>
    <x v="0"/>
    <s v="6032730"/>
    <s v="Exp emp con-ded"/>
    <s v="MW09C21028"/>
    <s v="Segurança Industrial"/>
    <n v="54.6"/>
    <s v="37PA/37W/Contribuição a Previdencia Privada"/>
    <x v="33"/>
    <s v=""/>
    <s v=""/>
    <s v=""/>
    <s v="4008067882"/>
    <s v="WWCAST1_HR"/>
    <s v="974"/>
  </r>
  <r>
    <x v="0"/>
    <d v="2022-01-27T00:00:00"/>
    <x v="0"/>
    <s v="6052340"/>
    <s v="Soc. security contr."/>
    <s v="MW09C21028"/>
    <s v="Segurança Industrial"/>
    <n v="-8.84"/>
    <s v="37OD/37W/Provisão Encargos Sociais S/Férias DL 173"/>
    <x v="34"/>
    <s v=""/>
    <s v=""/>
    <s v=""/>
    <s v="4008067882"/>
    <s v="WWCAST1_HR"/>
    <s v="919"/>
  </r>
  <r>
    <x v="0"/>
    <d v="2022-01-27T00:00:00"/>
    <x v="0"/>
    <s v="6031130"/>
    <s v="Group ins salaries"/>
    <s v="MW09C21028"/>
    <s v="Segurança Industrial"/>
    <n v="-15.18"/>
    <s v="37OG/37W/Seguro de Vida Acidentes Pessoais em Grup"/>
    <x v="34"/>
    <s v=""/>
    <s v=""/>
    <s v=""/>
    <s v="4008067882"/>
    <s v="WWCAST1_HR"/>
    <s v="973"/>
  </r>
  <r>
    <x v="0"/>
    <d v="2022-01-27T00:00:00"/>
    <x v="0"/>
    <s v="6021550"/>
    <s v="Health ben sal"/>
    <s v="MW09C21028"/>
    <s v="Segurança Industrial"/>
    <n v="-18.809999999999999"/>
    <s v="37OS/37W/Reembolso Co-Participação Assistência Méd"/>
    <x v="34"/>
    <s v=""/>
    <s v=""/>
    <s v=""/>
    <s v="4008067882"/>
    <s v="WWCAST1_HR"/>
    <s v="819"/>
  </r>
  <r>
    <x v="0"/>
    <d v="2022-01-27T00:00:00"/>
    <x v="0"/>
    <s v="6052340"/>
    <s v="Soc. security contr."/>
    <s v="MW09C21028"/>
    <s v="Segurança Industrial"/>
    <n v="-61.31"/>
    <s v="37NN/37W/Provisão Pagto Férias DL 1730/79"/>
    <x v="34"/>
    <s v=""/>
    <s v=""/>
    <s v=""/>
    <s v="4008067882"/>
    <s v="WWCAST1_HR"/>
    <s v="918"/>
  </r>
  <r>
    <x v="0"/>
    <d v="2022-01-27T00:00:00"/>
    <x v="0"/>
    <s v="6716000"/>
    <s v="Food f. Empl."/>
    <s v="MW09C21028"/>
    <s v="Segurança Industrial"/>
    <n v="-93.81"/>
    <s v="37OV/37W/Recuperação por Refeições Fornecidas"/>
    <x v="34"/>
    <s v=""/>
    <s v=""/>
    <s v=""/>
    <s v="4008067882"/>
    <s v="WWCAST1_HR"/>
    <s v="921"/>
  </r>
  <r>
    <x v="0"/>
    <d v="2022-01-27T00:00:00"/>
    <x v="0"/>
    <s v="6822300"/>
    <s v="Coll transp staff"/>
    <s v="MW09C21028"/>
    <s v="Segurança Industrial"/>
    <n v="-219.27"/>
    <s v="37OK/37W/Transportes Colaboradores PJ"/>
    <x v="34"/>
    <s v=""/>
    <s v=""/>
    <s v=""/>
    <s v="4008067882"/>
    <s v="WWCAST1_HR"/>
    <s v="975"/>
  </r>
  <r>
    <x v="0"/>
    <d v="2022-01-27T00:00:00"/>
    <x v="0"/>
    <s v="6021550"/>
    <s v="Health ben sal"/>
    <s v="MW09C21028"/>
    <s v="Segurança Industrial"/>
    <n v="-473.46"/>
    <s v="37OI/37U/Assistência Médica/Hospitalar PJ"/>
    <x v="34"/>
    <s v=""/>
    <s v=""/>
    <s v=""/>
    <s v="4008067883"/>
    <s v="WWCAST1_HR"/>
    <s v="748"/>
  </r>
  <r>
    <x v="0"/>
    <d v="2022-01-27T00:00:00"/>
    <x v="0"/>
    <s v="6031130"/>
    <s v="Group ins salaries"/>
    <s v="MW09C21028"/>
    <s v="Segurança Industrial"/>
    <n v="-537.64"/>
    <s v="37OG/37U/Seguro de Vida Acidentes Pessoais em Grup"/>
    <x v="34"/>
    <s v=""/>
    <s v=""/>
    <s v=""/>
    <s v="4008067883"/>
    <s v="WWCAST1_HR"/>
    <s v="780"/>
  </r>
  <r>
    <x v="0"/>
    <d v="2022-01-27T00:00:00"/>
    <x v="0"/>
    <s v="6021550"/>
    <s v="Health ben sal"/>
    <s v="MW09C21028"/>
    <s v="Segurança Industrial"/>
    <n v="-714.56"/>
    <s v="37OJ/37U/Assistência Odontológica  -   Ativos"/>
    <x v="34"/>
    <s v=""/>
    <s v=""/>
    <s v=""/>
    <s v="4008067883"/>
    <s v="WWCAST1_HR"/>
    <s v="590"/>
  </r>
  <r>
    <x v="0"/>
    <d v="2022-01-27T00:00:00"/>
    <x v="0"/>
    <s v="6021550"/>
    <s v="Health ben sal"/>
    <s v="MW09C21028"/>
    <s v="Segurança Industrial"/>
    <n v="-813.34"/>
    <s v="37OS/37U/Reembolso Co-Participação Assistência Méd"/>
    <x v="34"/>
    <s v=""/>
    <s v=""/>
    <s v=""/>
    <s v="4008067883"/>
    <s v="WWCAST1_HR"/>
    <s v="790"/>
  </r>
  <r>
    <x v="0"/>
    <d v="2022-01-27T00:00:00"/>
    <x v="0"/>
    <s v="6716000"/>
    <s v="Food f. Empl."/>
    <s v="MW09C21028"/>
    <s v="Segurança Industrial"/>
    <n v="-1313.84"/>
    <s v="37OV/37U/Recuperação por Refeições Fornecidas"/>
    <x v="34"/>
    <s v=""/>
    <s v=""/>
    <s v=""/>
    <s v="4008067883"/>
    <s v="WWCAST1_HR"/>
    <s v="791"/>
  </r>
  <r>
    <x v="0"/>
    <d v="2022-01-27T00:00:00"/>
    <x v="0"/>
    <s v="6822300"/>
    <s v="Coll transp staff"/>
    <s v="MW09C21028"/>
    <s v="Segurança Industrial"/>
    <n v="-1523.26"/>
    <s v="37OK/37U/Transportes Colaboradores PJ"/>
    <x v="34"/>
    <s v=""/>
    <s v=""/>
    <s v=""/>
    <s v="4008067883"/>
    <s v="WWCAST1_HR"/>
    <s v="795"/>
  </r>
  <r>
    <x v="0"/>
    <d v="2022-01-28T00:00:00"/>
    <x v="0"/>
    <s v="6622400"/>
    <s v="Depr Infrastructure"/>
    <s v="MW09C21028"/>
    <s v="Segurança Industrial"/>
    <n v="50980.18"/>
    <s v="AFB30202200101 0000000004"/>
    <x v="35"/>
    <s v=""/>
    <s v=""/>
    <s v=""/>
    <s v="4008070834"/>
    <s v="SXFTMRB0"/>
    <s v="8"/>
  </r>
  <r>
    <x v="0"/>
    <d v="2022-01-28T00:00:00"/>
    <x v="0"/>
    <s v="6622000"/>
    <s v="Depr Buildings"/>
    <s v="MW09C21028"/>
    <s v="Segurança Industrial"/>
    <n v="28230.5"/>
    <s v="AFB30202200101 0000000003"/>
    <x v="36"/>
    <s v=""/>
    <s v=""/>
    <s v=""/>
    <s v="4008070833"/>
    <s v="SXFTMRB0"/>
    <s v="34"/>
  </r>
  <r>
    <x v="0"/>
    <d v="2022-01-28T00:00:00"/>
    <x v="0"/>
    <s v="6890000"/>
    <s v="3d party pers"/>
    <s v="MW09C21028"/>
    <s v="Segurança Industrial"/>
    <n v="20838.060000000001"/>
    <s v="Valor 3d party pers ref  Docto Nr  43000"/>
    <x v="37"/>
    <s v=""/>
    <s v="660414428"/>
    <s v=""/>
    <s v="4008069583"/>
    <s v="EIMOH"/>
    <s v="7"/>
  </r>
  <r>
    <x v="0"/>
    <d v="2022-01-28T00:00:00"/>
    <x v="0"/>
    <s v="6624010"/>
    <s v="Depr IT-Hardware"/>
    <s v="MW09C21028"/>
    <s v="Segurança Industrial"/>
    <n v="14459.13"/>
    <s v="AFB30202200101 0000000005"/>
    <x v="38"/>
    <s v=""/>
    <s v=""/>
    <s v=""/>
    <s v="4008070835"/>
    <s v="SXFTMRB0"/>
    <s v="38"/>
  </r>
  <r>
    <x v="0"/>
    <d v="2022-01-28T00:00:00"/>
    <x v="0"/>
    <s v="6624030"/>
    <s v="Depr Transp."/>
    <s v="MW09C21028"/>
    <s v="Segurança Industrial"/>
    <n v="13363.24"/>
    <s v="AFB30202200101 0000000006"/>
    <x v="39"/>
    <s v=""/>
    <s v=""/>
    <s v=""/>
    <s v="4008070836"/>
    <s v="SXFTMRB0"/>
    <s v="17"/>
  </r>
  <r>
    <x v="0"/>
    <d v="2022-01-28T00:00:00"/>
    <x v="0"/>
    <s v="6873000"/>
    <s v="Automobile Tax"/>
    <s v="MW09C21028"/>
    <s v="Segurança Industrial"/>
    <n v="9653.2800000000007"/>
    <s v="Reclassif. IPVA 2022"/>
    <x v="40"/>
    <s v=""/>
    <s v=""/>
    <s v=""/>
    <s v="4008070196"/>
    <s v="GMDWF"/>
    <s v="5"/>
  </r>
  <r>
    <x v="0"/>
    <d v="2022-01-28T00:00:00"/>
    <x v="0"/>
    <s v="8261000"/>
    <s v="FAM Settl Prim Mat"/>
    <s v="MW09C21028"/>
    <s v="Segurança Industrial"/>
    <n v="8046.7"/>
    <s v="CTR H353/MW09C21028"/>
    <x v="41"/>
    <s v="MAN 2021 REDE DE INCENDIO BR"/>
    <s v=""/>
    <s v="Order"/>
    <s v="4600128609"/>
    <s v="SXFTMRB0"/>
    <s v="2"/>
  </r>
  <r>
    <x v="0"/>
    <d v="2022-01-28T00:00:00"/>
    <x v="0"/>
    <s v="6873000"/>
    <s v="Automobile Tax"/>
    <s v="MW09C21028"/>
    <s v="Segurança Industrial"/>
    <n v="7171.05"/>
    <s v="Reclassif. IPVA 2022"/>
    <x v="40"/>
    <s v=""/>
    <s v=""/>
    <s v=""/>
    <s v="4008070199"/>
    <s v="GMDWF"/>
    <s v="31"/>
  </r>
  <r>
    <x v="0"/>
    <d v="2022-01-28T00:00:00"/>
    <x v="0"/>
    <s v="6873000"/>
    <s v="Automobile Tax"/>
    <s v="MW09C21028"/>
    <s v="Segurança Industrial"/>
    <n v="4402.3599999999997"/>
    <s v="Reclassif. IPVA 2022"/>
    <x v="40"/>
    <s v=""/>
    <s v=""/>
    <s v=""/>
    <s v="4008070200"/>
    <s v="GMDWF"/>
    <s v="28"/>
  </r>
  <r>
    <x v="0"/>
    <d v="2022-01-28T00:00:00"/>
    <x v="0"/>
    <s v="8262000"/>
    <s v="FAM Settl Serv (Ext)"/>
    <s v="MW09C21028"/>
    <s v="Segurança Industrial"/>
    <n v="3625.89"/>
    <s v="CTR H353/MW09C21028"/>
    <x v="41"/>
    <s v="MAN 2021 REDE DE INCENDIO BR"/>
    <s v=""/>
    <s v="Order"/>
    <s v="4600128609"/>
    <s v="SXFTMRB0"/>
    <s v="4"/>
  </r>
  <r>
    <x v="0"/>
    <d v="2022-01-28T00:00:00"/>
    <x v="0"/>
    <s v="6873000"/>
    <s v="Automobile Tax"/>
    <s v="MW09C21028"/>
    <s v="Segurança Industrial"/>
    <n v="2861.99"/>
    <s v="Reclassif. IPVA 2022"/>
    <x v="40"/>
    <s v=""/>
    <s v=""/>
    <s v=""/>
    <s v="4008070202"/>
    <s v="GMDWF"/>
    <s v="26"/>
  </r>
  <r>
    <x v="0"/>
    <d v="2022-01-28T00:00:00"/>
    <x v="0"/>
    <s v="8262000"/>
    <s v="FAM Settl Serv (Ext)"/>
    <s v="MW09C21028"/>
    <s v="Segurança Industrial"/>
    <n v="2698.26"/>
    <s v="CTR H353/MW09C21028"/>
    <x v="41"/>
    <s v="IE MW09C21028 SEG INDUSTRIAL - 2021"/>
    <s v=""/>
    <s v="Order"/>
    <s v="4600128469"/>
    <s v="SXFTM000"/>
    <s v="4"/>
  </r>
  <r>
    <x v="0"/>
    <d v="2022-01-28T00:00:00"/>
    <x v="0"/>
    <s v="6623000"/>
    <s v="Depr Mach/tech Prod"/>
    <s v="MW09C21028"/>
    <s v="Segurança Industrial"/>
    <n v="1793.55"/>
    <s v="AFB30202200101 0000000004"/>
    <x v="35"/>
    <s v=""/>
    <s v=""/>
    <s v=""/>
    <s v="4008070834"/>
    <s v="SXFTMRB0"/>
    <s v="52"/>
  </r>
  <r>
    <x v="0"/>
    <d v="2022-01-28T00:00:00"/>
    <x v="0"/>
    <s v="8262000"/>
    <s v="FAM Settl Serv (Ext)"/>
    <s v="MW09C21028"/>
    <s v="Segurança Industrial"/>
    <n v="1564.21"/>
    <s v="CTR H353/MW09C21028"/>
    <x v="41"/>
    <s v="IE SERV ELÉTRICA ADMINISTRATIVO 2022"/>
    <s v=""/>
    <s v="Order"/>
    <s v="4600128321"/>
    <s v="SXFTM000"/>
    <s v="12"/>
  </r>
  <r>
    <x v="0"/>
    <d v="2022-01-28T00:00:00"/>
    <x v="0"/>
    <s v="8261000"/>
    <s v="FAM Settl Prim Mat"/>
    <s v="MW09C21028"/>
    <s v="Segurança Industrial"/>
    <n v="1254.3599999999999"/>
    <s v="CTR H353/MW09C21028"/>
    <x v="41"/>
    <s v="UTIL-Trocar Estator da Bomba PA065"/>
    <s v=""/>
    <s v="Order"/>
    <s v="4600128470"/>
    <s v="SXFTM000"/>
    <s v="2"/>
  </r>
  <r>
    <x v="0"/>
    <d v="2022-01-28T00:00:00"/>
    <x v="0"/>
    <s v="8262000"/>
    <s v="FAM Settl Serv (Ext)"/>
    <s v="MW09C21028"/>
    <s v="Segurança Industrial"/>
    <n v="1211.31"/>
    <s v="CTR H353/MW09C21028"/>
    <x v="41"/>
    <s v="IE SERV HIDRAULICA ADMINISTRATIVO 2022"/>
    <s v=""/>
    <s v="Order"/>
    <s v="4600128320"/>
    <s v="SXFTM000"/>
    <s v="18"/>
  </r>
  <r>
    <x v="0"/>
    <d v="2022-01-28T00:00:00"/>
    <x v="0"/>
    <s v="8262000"/>
    <s v="FAM Settl Serv (Ext)"/>
    <s v="MW09C21028"/>
    <s v="Segurança Industrial"/>
    <n v="1136.58"/>
    <s v="CTR H353/MW09C21028"/>
    <x v="41"/>
    <s v="MAN 2021 SÓ ACUMULADORES"/>
    <s v=""/>
    <s v="Order"/>
    <s v="4600128472"/>
    <s v="SXFTM000"/>
    <s v="4"/>
  </r>
  <r>
    <x v="0"/>
    <d v="2022-01-28T00:00:00"/>
    <x v="0"/>
    <s v="8261000"/>
    <s v="FAM Settl Prim Mat"/>
    <s v="MW09C21028"/>
    <s v="Segurança Industrial"/>
    <n v="1029.79"/>
    <s v="CTR H353/MW09C21028"/>
    <x v="41"/>
    <s v="IE MW09C21028 SEG INDUSTRIAL - 2021"/>
    <s v=""/>
    <s v="Order"/>
    <s v="4600128607"/>
    <s v="SXFTMRB0"/>
    <s v="2"/>
  </r>
  <r>
    <x v="0"/>
    <d v="2022-01-28T00:00:00"/>
    <x v="0"/>
    <s v="8262000"/>
    <s v="FAM Settl Serv (Ext)"/>
    <s v="MW09C21028"/>
    <s v="Segurança Industrial"/>
    <n v="784.95"/>
    <s v="CTR H353/MW09C21028"/>
    <x v="41"/>
    <s v="locação de plataforma eletrica"/>
    <s v=""/>
    <s v="Order"/>
    <s v="4600128336"/>
    <s v="SXFTM000"/>
    <s v="6"/>
  </r>
  <r>
    <x v="0"/>
    <d v="2022-01-28T00:00:00"/>
    <x v="0"/>
    <s v="8261000"/>
    <s v="FAM Settl Prim Mat"/>
    <s v="MW09C21028"/>
    <s v="Segurança Industrial"/>
    <n v="772.3"/>
    <s v="CTR H353/MW09C21028"/>
    <x v="41"/>
    <s v="IE MW09C21028 SEG INDUSTRIAL - 2021"/>
    <s v=""/>
    <s v="Order"/>
    <s v="4600128469"/>
    <s v="SXFTM000"/>
    <s v="2"/>
  </r>
  <r>
    <x v="0"/>
    <d v="2022-01-28T00:00:00"/>
    <x v="0"/>
    <s v="8261000"/>
    <s v="FAM Settl Prim Mat"/>
    <s v="MW09C21028"/>
    <s v="Segurança Industrial"/>
    <n v="730.38"/>
    <s v="CTR H353/MW09C21028"/>
    <x v="41"/>
    <s v="UTIL-Trocar Estator da Bomba PA065"/>
    <s v=""/>
    <s v="Order"/>
    <s v="4600128610"/>
    <s v="SXFTMRB0"/>
    <s v="2"/>
  </r>
  <r>
    <x v="0"/>
    <d v="2022-01-28T00:00:00"/>
    <x v="0"/>
    <s v="8262000"/>
    <s v="FAM Settl Serv (Ext)"/>
    <s v="MW09C21028"/>
    <s v="Segurança Industrial"/>
    <n v="547.85"/>
    <s v="CTR H353/MW09C21028"/>
    <x v="41"/>
    <s v="IE SERV MARCENARIA ADMINISTRATIVO 2022"/>
    <s v=""/>
    <s v="Order"/>
    <s v="4600128310"/>
    <s v="SXFTM000"/>
    <s v="24"/>
  </r>
  <r>
    <x v="0"/>
    <d v="2022-01-28T00:00:00"/>
    <x v="0"/>
    <s v="6861300"/>
    <s v="Oper Liab ins"/>
    <s v="MW09C21028"/>
    <s v="Segurança Industrial"/>
    <n v="526.27"/>
    <s v="Apolice Respons. Civil  - Jan 22"/>
    <x v="42"/>
    <s v=""/>
    <s v=""/>
    <s v=""/>
    <s v="4008069663"/>
    <s v="GMDWF"/>
    <s v="128"/>
  </r>
  <r>
    <x v="0"/>
    <d v="2022-01-28T00:00:00"/>
    <x v="0"/>
    <s v="6845000"/>
    <s v="Legal costs"/>
    <s v="MW09C21028"/>
    <s v="Segurança Industrial"/>
    <n v="326.27"/>
    <s v="Lançamento Rateio Medei_Homologações"/>
    <x v="42"/>
    <s v=""/>
    <s v=""/>
    <s v=""/>
    <s v="4008069659"/>
    <s v="GMDWF"/>
    <s v="18"/>
  </r>
  <r>
    <x v="0"/>
    <d v="2022-01-28T00:00:00"/>
    <x v="0"/>
    <s v="8261000"/>
    <s v="FAM Settl Prim Mat"/>
    <s v="MW09C21028"/>
    <s v="Segurança Industrial"/>
    <n v="297.27"/>
    <s v="CTR H353/MW09C21028"/>
    <x v="41"/>
    <s v="2021 SERVIÇOS DE LUBRIFICAÇÃO SEGURANÇA"/>
    <s v=""/>
    <s v="Order"/>
    <s v="4600128608"/>
    <s v="SXFTMRB0"/>
    <s v="2"/>
  </r>
  <r>
    <x v="0"/>
    <d v="2022-01-28T00:00:00"/>
    <x v="0"/>
    <s v="6624000"/>
    <s v="Depr F/Fix"/>
    <s v="MW09C21028"/>
    <s v="Segurança Industrial"/>
    <n v="152.9"/>
    <s v="AFB30202200101 0000000005"/>
    <x v="38"/>
    <s v=""/>
    <s v=""/>
    <s v=""/>
    <s v="4008070835"/>
    <s v="SXFTMRB0"/>
    <s v="8"/>
  </r>
  <r>
    <x v="0"/>
    <d v="2022-01-28T00:00:00"/>
    <x v="0"/>
    <s v="6994000"/>
    <s v="Other Inc.In.for Inv"/>
    <s v="MW09C21028"/>
    <s v="Segurança Industrial"/>
    <n v="-832.11"/>
    <s v="Alocação indevida de custo"/>
    <x v="32"/>
    <s v=""/>
    <s v=""/>
    <s v=""/>
    <s v="4008070339"/>
    <s v="GMDWD"/>
    <s v="25"/>
  </r>
  <r>
    <x v="0"/>
    <d v="2022-01-31T00:00:00"/>
    <x v="0"/>
    <s v="6280000"/>
    <s v="Technic. spare parts"/>
    <s v="MW09C21028"/>
    <s v="Segurança Industrial"/>
    <n v="300411.09000000003"/>
    <s v="Transferencia entre contas"/>
    <x v="43"/>
    <s v=""/>
    <s v=""/>
    <s v=""/>
    <s v="4008074495"/>
    <s v="GMDWD"/>
    <s v="1"/>
  </r>
  <r>
    <x v="0"/>
    <d v="2022-01-31T00:00:00"/>
    <x v="0"/>
    <s v="6021550"/>
    <s v="Health ben sal"/>
    <s v="MW09C21028"/>
    <s v="Segurança Industrial"/>
    <n v="96794.44"/>
    <s v="Lancamento Amil   Janeiro"/>
    <x v="44"/>
    <s v=""/>
    <s v=""/>
    <s v=""/>
    <s v="4008077190"/>
    <s v="GMEYG"/>
    <s v="269"/>
  </r>
  <r>
    <x v="0"/>
    <d v="2022-01-31T00:00:00"/>
    <x v="0"/>
    <s v="6012500"/>
    <s v="Bonuses workers"/>
    <s v="MW09C21028"/>
    <s v="Segurança Industrial"/>
    <n v="24580.04"/>
    <s v="Lancto RH Bonuses workers"/>
    <x v="45"/>
    <s v=""/>
    <s v=""/>
    <s v=""/>
    <s v="4008074601"/>
    <s v="BRZFX_HR"/>
    <s v="103"/>
  </r>
  <r>
    <x v="0"/>
    <d v="2022-01-31T00:00:00"/>
    <x v="0"/>
    <s v="6011500"/>
    <s v="Bonuses"/>
    <s v="MW09C21028"/>
    <s v="Segurança Industrial"/>
    <n v="3396.12"/>
    <s v="Lancto RH Bonuses"/>
    <x v="45"/>
    <s v=""/>
    <s v=""/>
    <s v=""/>
    <s v="4008074601"/>
    <s v="BRZFX_HR"/>
    <s v="12"/>
  </r>
  <r>
    <x v="0"/>
    <d v="2022-01-31T00:00:00"/>
    <x v="0"/>
    <s v="6741000"/>
    <s v="Chemical Analysis"/>
    <s v="MW09C21028"/>
    <s v="Segurança Industrial"/>
    <n v="2200"/>
    <s v="Valor Chemical Analysis ref  Docto Nr  81052"/>
    <x v="46"/>
    <s v=""/>
    <s v=""/>
    <s v=""/>
    <s v="4008075077"/>
    <s v="GNEPP"/>
    <s v="1"/>
  </r>
  <r>
    <x v="0"/>
    <d v="2022-01-31T00:00:00"/>
    <x v="0"/>
    <s v="6039300"/>
    <s v="Oth emp benefits"/>
    <s v="MW09C21028"/>
    <s v="Segurança Industrial"/>
    <n v="1927.61"/>
    <s v="Lancamento Outros Beneficios   Janeiro"/>
    <x v="44"/>
    <s v=""/>
    <s v=""/>
    <s v=""/>
    <s v="4008077190"/>
    <s v="GMEYG"/>
    <s v="134"/>
  </r>
  <r>
    <x v="0"/>
    <d v="2022-01-31T00:00:00"/>
    <x v="0"/>
    <s v="6032003"/>
    <s v="Pension Accrual."/>
    <s v="MW09C21028"/>
    <s v="Segurança Industrial"/>
    <n v="1903.49"/>
    <s v="Prov Fundo de Pensao BCS 2022 01"/>
    <x v="47"/>
    <s v=""/>
    <s v=""/>
    <s v=""/>
    <s v="4008077139"/>
    <s v="GMLHA"/>
    <s v="17"/>
  </r>
  <r>
    <x v="0"/>
    <d v="2022-01-31T00:00:00"/>
    <x v="0"/>
    <s v="6021550"/>
    <s v="Health ben sal"/>
    <s v="MW09C21028"/>
    <s v="Segurança Industrial"/>
    <n v="1427.85"/>
    <s v="Lancamento Odontoprev   Janeiro"/>
    <x v="44"/>
    <s v=""/>
    <s v=""/>
    <s v=""/>
    <s v="4008077190"/>
    <s v="GMEYG"/>
    <s v="440"/>
  </r>
  <r>
    <x v="0"/>
    <d v="2022-01-31T00:00:00"/>
    <x v="0"/>
    <s v="6831400"/>
    <s v="Catering"/>
    <s v="MW09C21028"/>
    <s v="Segurança Industrial"/>
    <n v="1042.4000000000001"/>
    <s v="Vr recup Serv Restaur Visitantes   Jan"/>
    <x v="15"/>
    <s v=""/>
    <s v=""/>
    <s v=""/>
    <s v="4008074445"/>
    <s v="GMZQL"/>
    <s v="32"/>
  </r>
  <r>
    <x v="0"/>
    <d v="2022-01-31T00:00:00"/>
    <x v="0"/>
    <s v="6032003"/>
    <s v="Pension Accrual."/>
    <s v="MW09C21028"/>
    <s v="Segurança Industrial"/>
    <n v="492"/>
    <s v="Prov Assist Medica BCS 2022 01"/>
    <x v="48"/>
    <s v=""/>
    <s v=""/>
    <s v=""/>
    <s v="4008077136"/>
    <s v="GMLHA"/>
    <s v="127"/>
  </r>
  <r>
    <x v="0"/>
    <d v="2022-01-31T00:00:00"/>
    <x v="0"/>
    <s v="6021550"/>
    <s v="Health ben sal"/>
    <s v="MW09C21028"/>
    <s v="Segurança Industrial"/>
    <n v="475.83"/>
    <s v="Lancamento UNIMED   Janeiro"/>
    <x v="44"/>
    <s v=""/>
    <s v=""/>
    <s v=""/>
    <s v="4008077190"/>
    <s v="GMEYG"/>
    <s v="572"/>
  </r>
  <r>
    <x v="0"/>
    <d v="2022-01-31T00:00:00"/>
    <x v="0"/>
    <s v="6831400"/>
    <s v="Catering"/>
    <s v="MW09C21028"/>
    <s v="Segurança Industrial"/>
    <n v="351.7"/>
    <s v="Rateio de Beneficios VA   VEE   Janeiro"/>
    <x v="42"/>
    <s v=""/>
    <s v=""/>
    <s v=""/>
    <s v="4008077156"/>
    <s v="GMEYG"/>
    <s v="68"/>
  </r>
  <r>
    <x v="0"/>
    <d v="2022-01-31T00:00:00"/>
    <x v="0"/>
    <s v="6031130"/>
    <s v="Group ins salaries"/>
    <s v="MW09C21028"/>
    <s v="Segurança Industrial"/>
    <n v="142.66"/>
    <s v="Lancamento Seguro de Vida   Janeiro"/>
    <x v="44"/>
    <s v=""/>
    <s v=""/>
    <s v=""/>
    <s v="4008077190"/>
    <s v="GMEYG"/>
    <s v="769"/>
  </r>
  <r>
    <x v="0"/>
    <d v="2022-01-31T00:00:00"/>
    <x v="0"/>
    <s v="8262000"/>
    <s v="FAM Settl Serv (Ext)"/>
    <s v="MW09C21028"/>
    <s v="Segurança Industrial"/>
    <n v="123.24"/>
    <s v="CTR H353/MW09C21028"/>
    <x v="41"/>
    <s v="IE MW09C21028 SEG INDUSTRIAL - 2022"/>
    <s v=""/>
    <s v="Order"/>
    <s v="4600128908"/>
    <s v="SXFTMRB0"/>
    <s v="2"/>
  </r>
  <r>
    <x v="0"/>
    <d v="2022-01-31T00:00:00"/>
    <x v="0"/>
    <s v="6822100"/>
    <s v="Transp cost staff"/>
    <s v="MW09C21028"/>
    <s v="Segurança Industrial"/>
    <n v="48.27"/>
    <s v="Apoio a Equipe de Turno/08833742/58FEADF0F52D46AFB"/>
    <x v="27"/>
    <s v=""/>
    <s v=""/>
    <s v=""/>
    <s v="4008074077"/>
    <s v="SXIDOCXI"/>
    <s v="1"/>
  </r>
  <r>
    <x v="0"/>
    <d v="2022-01-31T00:00:00"/>
    <x v="0"/>
    <s v="6831400"/>
    <s v="Catering"/>
    <s v="MW09C21028"/>
    <s v="Segurança Industrial"/>
    <n v="38.880000000000003"/>
    <s v="Vr recup Refeicoes Estagiarios   Jan"/>
    <x v="15"/>
    <s v=""/>
    <s v=""/>
    <s v=""/>
    <s v="4008074445"/>
    <s v="GMZQL"/>
    <s v="12"/>
  </r>
  <r>
    <x v="0"/>
    <d v="2022-01-31T00:00:00"/>
    <x v="0"/>
    <s v="6879990"/>
    <s v="Other taxes"/>
    <s v="MW09C21028"/>
    <s v="Segurança Industrial"/>
    <n v="-5952.15"/>
    <s v="Credito de PIS e COFINS sobre a depreciacao JAN 20"/>
    <x v="49"/>
    <s v=""/>
    <s v=""/>
    <s v=""/>
    <s v="4008074755"/>
    <s v="GMHLL"/>
    <s v="42"/>
  </r>
  <r>
    <x v="0"/>
    <d v="2022-01-31T00:00:00"/>
    <x v="0"/>
    <s v="6711000"/>
    <s v="Security Service"/>
    <s v="MW09C21028"/>
    <s v="Segurança Industrial"/>
    <n v="-300411.09000000003"/>
    <s v="Transferencia entre contas"/>
    <x v="50"/>
    <s v=""/>
    <s v=""/>
    <s v=""/>
    <s v="4008074495"/>
    <s v="GMDWD"/>
    <s v="2"/>
  </r>
  <r>
    <x v="0"/>
    <d v="2022-02-01T00:00:00"/>
    <x v="0"/>
    <s v="6121001"/>
    <s v="Electricity fix"/>
    <s v="MW09C21028"/>
    <s v="Segurança Industrial"/>
    <n v="19621.79"/>
    <s v="MW4A010014MW09C21027 Energia Eletrica Fi"/>
    <x v="41"/>
    <s v="Alocações Periódicas"/>
    <s v=""/>
    <s v="Cost center"/>
    <s v="4400015806"/>
    <s v="SXFTMRB0"/>
    <s v="213"/>
  </r>
  <r>
    <x v="0"/>
    <d v="2022-02-01T00:00:00"/>
    <x v="0"/>
    <s v="6121000"/>
    <s v="Electricity var"/>
    <s v="MW09C21028"/>
    <s v="Segurança Industrial"/>
    <n v="1172.21"/>
    <s v="MW4A010010MW09C21027 Energia Eletrica Va"/>
    <x v="41"/>
    <s v="Alocações Periódicas"/>
    <s v=""/>
    <s v="Cost center"/>
    <s v="4400015806"/>
    <s v="SXFTMRB0"/>
    <s v="139"/>
  </r>
  <r>
    <x v="0"/>
    <d v="2022-02-01T00:00:00"/>
    <x v="0"/>
    <s v="6101000"/>
    <s v="Water var"/>
    <s v="MW09C21028"/>
    <s v="Segurança Industrial"/>
    <n v="509.97"/>
    <s v="MW4A010008MW09C21027 Ág. Processo"/>
    <x v="41"/>
    <s v="Alocações Periódicas"/>
    <s v=""/>
    <s v="Cost center"/>
    <s v="4400015806"/>
    <s v="SXFTMRB0"/>
    <s v="37"/>
  </r>
  <r>
    <x v="0"/>
    <d v="2022-02-01T00:00:00"/>
    <x v="0"/>
    <s v="6321000"/>
    <s v="General supplies"/>
    <s v="MW09C21028"/>
    <s v="Segurança Industrial"/>
    <n v="458.97"/>
    <s v="MW4A010015MW09C21027 Energia Eletrica Fi"/>
    <x v="41"/>
    <s v="Alocações Periódicas"/>
    <s v=""/>
    <s v="Cost center"/>
    <s v="4400015806"/>
    <s v="SXFTMRB0"/>
    <s v="253"/>
  </r>
  <r>
    <x v="0"/>
    <d v="2022-02-01T00:00:00"/>
    <x v="0"/>
    <s v="6109990"/>
    <s v="Water - Other"/>
    <s v="MW09C21028"/>
    <s v="Segurança Industrial"/>
    <n v="404.62"/>
    <s v="MW4A010009MW09C21027 Ág. Potavel"/>
    <x v="41"/>
    <s v="Alocações Periódicas"/>
    <s v=""/>
    <s v="Cost center"/>
    <s v="4400015806"/>
    <s v="SXFTMRB0"/>
    <s v="83"/>
  </r>
  <r>
    <x v="0"/>
    <d v="2022-02-01T00:00:00"/>
    <x v="0"/>
    <s v="7711010"/>
    <s v="Security Service ASS"/>
    <s v="MW09C21028"/>
    <s v="Segurança Industrial"/>
    <n v="-807409.26"/>
    <s v="MW5B02_017MW09C21028"/>
    <x v="41"/>
    <s v="Prédio 6201"/>
    <s v=""/>
    <s v="Cost center"/>
    <s v="4400015808"/>
    <s v="SXFTMRB0"/>
    <s v="298"/>
  </r>
  <r>
    <x v="0"/>
    <d v="2022-02-02T00:00:00"/>
    <x v="1"/>
    <s v="6772000"/>
    <s v="MGT Consultancy"/>
    <s v="MW09C21028"/>
    <s v="Segurança Industrial"/>
    <n v="900"/>
    <s v="Valor MGT Consultancy ref  Docto Nr  1371"/>
    <x v="3"/>
    <s v=""/>
    <s v="660417420"/>
    <s v=""/>
    <s v="4008084490"/>
    <s v="GMGNH"/>
    <s v="1"/>
  </r>
  <r>
    <x v="0"/>
    <d v="2022-02-02T00:00:00"/>
    <x v="1"/>
    <s v="6280000"/>
    <s v="Technic. spare parts"/>
    <s v="MW09C21028"/>
    <s v="Segurança Industrial"/>
    <n v="721.59"/>
    <s v="Valor Technic  spare parts ref  Docto Nr  389"/>
    <x v="0"/>
    <s v=""/>
    <s v=""/>
    <s v=""/>
    <s v="4008083843"/>
    <s v="GMGNH"/>
    <s v="1"/>
  </r>
  <r>
    <x v="0"/>
    <d v="2022-02-03T00:00:00"/>
    <x v="1"/>
    <s v="6876000"/>
    <s v="Municip+regional tax"/>
    <s v="MW09C21028"/>
    <s v="Segurança Industrial"/>
    <n v="11378.54"/>
    <s v="URG DOC 302572"/>
    <x v="51"/>
    <s v=""/>
    <s v=""/>
    <s v=""/>
    <s v="4008085112"/>
    <s v="EIMOH"/>
    <s v="3"/>
  </r>
  <r>
    <x v="0"/>
    <d v="2022-02-07T00:00:00"/>
    <x v="1"/>
    <s v="6711000"/>
    <s v="Security Service"/>
    <s v="MW09C21028"/>
    <s v="Segurança Industrial"/>
    <n v="8719.83"/>
    <s v="Valor Security Service ref  Docto Nr  394"/>
    <x v="11"/>
    <s v=""/>
    <s v="660417438"/>
    <s v=""/>
    <s v="4008090051"/>
    <s v="GNEDA"/>
    <s v="1"/>
  </r>
  <r>
    <x v="0"/>
    <d v="2022-02-07T00:00:00"/>
    <x v="1"/>
    <s v="6829000"/>
    <s v="Taxi/publ.transp."/>
    <s v="MW09C21028"/>
    <s v="Segurança Industrial"/>
    <n v="658.51"/>
    <s v="Valor Taxi publ transp  ref  Docto Nr  50857"/>
    <x v="6"/>
    <s v=""/>
    <s v="660419129"/>
    <s v=""/>
    <s v="4008089771"/>
    <s v="GMGNH"/>
    <s v="1"/>
  </r>
  <r>
    <x v="0"/>
    <d v="2022-02-07T00:00:00"/>
    <x v="1"/>
    <s v="6629004"/>
    <s v="LVA Tangible Exp"/>
    <s v="MW09C21028"/>
    <s v="Segurança Industrial"/>
    <n v="438.9"/>
    <s v="Valor LVA Tangible Exp ref  Docto Nr  1897"/>
    <x v="5"/>
    <s v=""/>
    <s v="660417427"/>
    <s v=""/>
    <s v="4008089780"/>
    <s v="GMGNH"/>
    <s v="1"/>
  </r>
  <r>
    <x v="0"/>
    <d v="2022-02-07T00:00:00"/>
    <x v="1"/>
    <s v="6829000"/>
    <s v="Taxi/publ.transp."/>
    <s v="MW09C21028"/>
    <s v="Segurança Industrial"/>
    <n v="293.23"/>
    <s v="Valor Taxi publ transp  ref  Docto Nr  50856"/>
    <x v="6"/>
    <s v=""/>
    <s v="660419124"/>
    <s v=""/>
    <s v="4008089768"/>
    <s v="GMGNH"/>
    <s v="1"/>
  </r>
  <r>
    <x v="0"/>
    <d v="2022-02-08T00:00:00"/>
    <x v="1"/>
    <s v="6715000"/>
    <s v="Fire prevent serv."/>
    <s v="MW09C21028"/>
    <s v="Segurança Industrial"/>
    <n v="10193.99"/>
    <s v="Inspeção e Manutenção de Rede Incêndio"/>
    <x v="10"/>
    <s v=""/>
    <s v="660417439"/>
    <s v=""/>
    <s v="4008090765"/>
    <s v="GMGNH"/>
    <s v="1"/>
  </r>
  <r>
    <x v="0"/>
    <d v="2022-02-08T00:00:00"/>
    <x v="1"/>
    <s v="6719990"/>
    <s v="Other site services"/>
    <s v="MW09C21028"/>
    <s v="Segurança Industrial"/>
    <n v="7006.45"/>
    <s v="Locação Uniformes e Toalhas"/>
    <x v="2"/>
    <s v=""/>
    <s v="660419939"/>
    <s v=""/>
    <s v="4008090730"/>
    <s v="GMGNH"/>
    <s v="2"/>
  </r>
  <r>
    <x v="0"/>
    <d v="2022-02-08T00:00:00"/>
    <x v="1"/>
    <s v="6719990"/>
    <s v="Other site services"/>
    <s v="MW09C21028"/>
    <s v="Segurança Industrial"/>
    <n v="3000"/>
    <s v="Serv. Administração Rouparia"/>
    <x v="2"/>
    <s v=""/>
    <s v="660419959"/>
    <s v=""/>
    <s v="4008090731"/>
    <s v="GMGNH"/>
    <s v="2"/>
  </r>
  <r>
    <x v="0"/>
    <d v="2022-02-08T00:00:00"/>
    <x v="1"/>
    <s v="6542000"/>
    <s v="Environmental serv"/>
    <s v="MW09C21028"/>
    <s v="Segurança Industrial"/>
    <n v="2551.04"/>
    <s v="Ensaio da qualidade do ar/máquina"/>
    <x v="0"/>
    <s v=""/>
    <s v="660419943"/>
    <s v=""/>
    <s v="4008091169"/>
    <s v="GMGNH"/>
    <s v="1"/>
  </r>
  <r>
    <x v="0"/>
    <d v="2022-02-08T00:00:00"/>
    <x v="1"/>
    <s v="6280000"/>
    <s v="Technic. spare parts"/>
    <s v="MW09C21028"/>
    <s v="Segurança Industrial"/>
    <n v="226.78"/>
    <s v="valor do documento 392"/>
    <x v="0"/>
    <s v=""/>
    <s v=""/>
    <s v=""/>
    <s v="4008091119"/>
    <s v="GMGNH"/>
    <s v="1"/>
  </r>
  <r>
    <x v="0"/>
    <d v="2022-02-08T00:00:00"/>
    <x v="1"/>
    <s v="6876000"/>
    <s v="Municip+regional tax"/>
    <s v="MW09C21028"/>
    <s v="Segurança Industrial"/>
    <n v="-11378.54"/>
    <s v="URG DOC 302572"/>
    <x v="51"/>
    <s v=""/>
    <s v=""/>
    <s v=""/>
    <s v="4008091155"/>
    <s v="GEMKD"/>
    <s v="3"/>
  </r>
  <r>
    <x v="0"/>
    <d v="2022-02-09T00:00:00"/>
    <x v="1"/>
    <s v="6876000"/>
    <s v="Municip+regional tax"/>
    <s v="MW09C21028"/>
    <s v="Segurança Industrial"/>
    <n v="10007.32"/>
    <s v="URG IPTU 35135"/>
    <x v="51"/>
    <s v=""/>
    <s v=""/>
    <s v=""/>
    <s v="4008091834"/>
    <s v="GNEDC"/>
    <s v="10"/>
  </r>
  <r>
    <x v="0"/>
    <d v="2022-02-10T00:00:00"/>
    <x v="1"/>
    <s v="6711000"/>
    <s v="Security Service"/>
    <s v="MW09C21028"/>
    <s v="Segurança Industrial"/>
    <n v="322580.15999999997"/>
    <s v="Valor Security Service ref  Docto Nr  8451"/>
    <x v="17"/>
    <s v=""/>
    <s v="660417446"/>
    <s v=""/>
    <s v="4008093280"/>
    <s v="GMGNH"/>
    <s v="1"/>
  </r>
  <r>
    <x v="0"/>
    <d v="2022-02-10T00:00:00"/>
    <x v="1"/>
    <s v="6711000"/>
    <s v="Security Service"/>
    <s v="MW09C21028"/>
    <s v="Segurança Industrial"/>
    <n v="5424.48"/>
    <s v="Valor Security Service ref  Docto Nr  468"/>
    <x v="18"/>
    <s v=""/>
    <s v=""/>
    <s v=""/>
    <s v="4008093241"/>
    <s v="GMGNH"/>
    <s v="1"/>
  </r>
  <r>
    <x v="0"/>
    <d v="2022-02-11T00:00:00"/>
    <x v="1"/>
    <s v="6829990"/>
    <s v="Other travel cost"/>
    <s v="MW09C21028"/>
    <s v="Segurança Industrial"/>
    <n v="1817.5"/>
    <s v="Abastecimento Veículo Emergencial Segurança Indust"/>
    <x v="22"/>
    <s v=""/>
    <s v=""/>
    <s v=""/>
    <s v="4008094134"/>
    <s v="SXIDOCXI"/>
    <s v="1"/>
  </r>
  <r>
    <x v="0"/>
    <d v="2022-02-11T00:00:00"/>
    <x v="1"/>
    <s v="6822200"/>
    <s v="Milage allowance"/>
    <s v="MW09C21028"/>
    <s v="Segurança Industrial"/>
    <n v="648"/>
    <s v="Utilização de Veículo Particular/08547685/A8A3DE56"/>
    <x v="21"/>
    <s v=""/>
    <s v=""/>
    <s v=""/>
    <s v="4008094150"/>
    <s v="SXIDOCXI"/>
    <s v="1"/>
  </r>
  <r>
    <x v="0"/>
    <d v="2022-02-11T00:00:00"/>
    <x v="1"/>
    <s v="6829990"/>
    <s v="Other travel cost"/>
    <s v="MW09C21028"/>
    <s v="Segurança Industrial"/>
    <n v="190"/>
    <s v="Compra de Material de Escritório Segurança Industr"/>
    <x v="52"/>
    <s v=""/>
    <s v=""/>
    <s v=""/>
    <s v="4008094132"/>
    <s v="SXIDOCXI"/>
    <s v="1"/>
  </r>
  <r>
    <x v="0"/>
    <d v="2022-02-11T00:00:00"/>
    <x v="1"/>
    <s v="6822200"/>
    <s v="Milage allowance"/>
    <s v="MW09C21028"/>
    <s v="Segurança Industrial"/>
    <n v="172.8"/>
    <s v="Utilização Veículo Particular/06168407/38A1C94DF42"/>
    <x v="22"/>
    <s v=""/>
    <s v=""/>
    <s v=""/>
    <s v="4008094134"/>
    <s v="SXIDOCXI"/>
    <s v="3"/>
  </r>
  <r>
    <x v="0"/>
    <d v="2022-02-11T00:00:00"/>
    <x v="1"/>
    <s v="6829990"/>
    <s v="Other travel cost"/>
    <s v="MW09C21028"/>
    <s v="Segurança Industrial"/>
    <n v="139.5"/>
    <s v="Abastecimento Veículo Emergencial Segurança Indust"/>
    <x v="24"/>
    <s v=""/>
    <s v=""/>
    <s v=""/>
    <s v="4008094133"/>
    <s v="SXIDOCXI"/>
    <s v="1"/>
  </r>
  <r>
    <x v="0"/>
    <d v="2022-02-11T00:00:00"/>
    <x v="1"/>
    <s v="6822200"/>
    <s v="Milage allowance"/>
    <s v="MW09C21028"/>
    <s v="Segurança Industrial"/>
    <n v="115.2"/>
    <s v="Utilização de Veículo Particular/06827648/1C92644F"/>
    <x v="53"/>
    <s v=""/>
    <s v=""/>
    <s v=""/>
    <s v="4008094138"/>
    <s v="SXIDOCXI"/>
    <s v="1"/>
  </r>
  <r>
    <x v="0"/>
    <d v="2022-02-11T00:00:00"/>
    <x v="1"/>
    <s v="6822200"/>
    <s v="Milage allowance"/>
    <s v="MW09C21028"/>
    <s v="Segurança Industrial"/>
    <n v="104.4"/>
    <s v="Utilização de Veículo Particular/07388982/E7DFCE3B"/>
    <x v="26"/>
    <s v=""/>
    <s v=""/>
    <s v=""/>
    <s v="4008094140"/>
    <s v="SXIDOCXI"/>
    <s v="1"/>
  </r>
  <r>
    <x v="0"/>
    <d v="2022-02-11T00:00:00"/>
    <x v="1"/>
    <s v="6822200"/>
    <s v="Milage allowance"/>
    <s v="MW09C21028"/>
    <s v="Segurança Industrial"/>
    <n v="70.2"/>
    <s v="Utilização de Veículo Particular/09695459/E56793E9"/>
    <x v="54"/>
    <s v=""/>
    <s v=""/>
    <s v=""/>
    <s v="4008094156"/>
    <s v="SXIDOCXI"/>
    <s v="1"/>
  </r>
  <r>
    <x v="0"/>
    <d v="2022-02-11T00:00:00"/>
    <x v="1"/>
    <s v="6829990"/>
    <s v="Other travel cost"/>
    <s v="MW09C21028"/>
    <s v="Segurança Industrial"/>
    <n v="34.4"/>
    <s v="Utilização Veículo Executivo Segurança Industrial/"/>
    <x v="22"/>
    <s v=""/>
    <s v=""/>
    <s v=""/>
    <s v="4008094134"/>
    <s v="SXIDOCXI"/>
    <s v="2"/>
  </r>
  <r>
    <x v="0"/>
    <d v="2022-02-11T00:00:00"/>
    <x v="1"/>
    <s v="6822100"/>
    <s v="Transp cost staff"/>
    <s v="MW09C21028"/>
    <s v="Segurança Industrial"/>
    <n v="24.99"/>
    <s v="Uber/10608688/B70F51754AB445229C98/Uber/Thays Rodr"/>
    <x v="55"/>
    <s v=""/>
    <s v=""/>
    <s v=""/>
    <s v="4008094192"/>
    <s v="SXIDOCXI"/>
    <s v="1"/>
  </r>
  <r>
    <x v="0"/>
    <d v="2022-02-12T00:00:00"/>
    <x v="1"/>
    <s v="6822200"/>
    <s v="Milage allowance"/>
    <s v="MW09C21028"/>
    <s v="Segurança Industrial"/>
    <n v="129.6"/>
    <s v="Utilização de Veículo Particular/08855401/E99CB8D2"/>
    <x v="13"/>
    <s v=""/>
    <s v=""/>
    <s v=""/>
    <s v="4008095295"/>
    <s v="SXIDOCXI"/>
    <s v="1"/>
  </r>
  <r>
    <x v="0"/>
    <d v="2022-02-12T00:00:00"/>
    <x v="1"/>
    <s v="6822100"/>
    <s v="Transp cost staff"/>
    <s v="MW09C21028"/>
    <s v="Segurança Industrial"/>
    <n v="98.63"/>
    <s v="Apoio a Equipe de Turno/06168296/F0EBA0D12B43484F8"/>
    <x v="31"/>
    <s v=""/>
    <s v=""/>
    <s v=""/>
    <s v="4008095269"/>
    <s v="SXIDOCXI"/>
    <s v="1"/>
  </r>
  <r>
    <x v="0"/>
    <d v="2022-02-13T00:00:00"/>
    <x v="1"/>
    <s v="6822100"/>
    <s v="Transp cost staff"/>
    <s v="MW09C21028"/>
    <s v="Segurança Industrial"/>
    <n v="133.87"/>
    <s v="Apoio a Equipe de Turno/08833742/31849F7051AF4A82A"/>
    <x v="27"/>
    <s v=""/>
    <s v=""/>
    <s v=""/>
    <s v="4008099088"/>
    <s v="SXIDOCXI"/>
    <s v="1"/>
  </r>
  <r>
    <x v="0"/>
    <d v="2022-02-13T00:00:00"/>
    <x v="1"/>
    <s v="6822100"/>
    <s v="Transp cost staff"/>
    <s v="MW09C21028"/>
    <s v="Segurança Industrial"/>
    <n v="107.93"/>
    <s v="Apoio a Carregamento CS/06827311/302A806216BD415F9"/>
    <x v="56"/>
    <s v=""/>
    <s v=""/>
    <s v=""/>
    <s v="4008099086"/>
    <s v="SXIDOCXI"/>
    <s v="1"/>
  </r>
  <r>
    <x v="0"/>
    <d v="2022-02-13T00:00:00"/>
    <x v="1"/>
    <s v="6829990"/>
    <s v="Other travel cost"/>
    <s v="MW09C21028"/>
    <s v="Segurança Industrial"/>
    <n v="31.48"/>
    <s v="Utilização Veículo Executivo Segurança Industrial/"/>
    <x v="23"/>
    <s v=""/>
    <s v=""/>
    <s v=""/>
    <s v="4008099085"/>
    <s v="SXIDOCXI"/>
    <s v="1"/>
  </r>
  <r>
    <x v="0"/>
    <d v="2022-02-14T00:00:00"/>
    <x v="1"/>
    <s v="6711000"/>
    <s v="Security Service"/>
    <s v="MW09C21028"/>
    <s v="Segurança Industrial"/>
    <n v="320"/>
    <s v="Valor Security Service ref  Docto Nr  110841"/>
    <x v="29"/>
    <s v=""/>
    <s v="660419956"/>
    <s v=""/>
    <s v="4008100179"/>
    <s v="GMGNH"/>
    <s v="1"/>
  </r>
  <r>
    <x v="0"/>
    <d v="2022-02-15T00:00:00"/>
    <x v="1"/>
    <s v="6200000"/>
    <s v="Maint &amp; Leg/Co.Compl"/>
    <s v="MW09C21028"/>
    <s v="Segurança Industrial"/>
    <n v="1107.56"/>
    <s v="Valor Maint &amp; Leg Co Compl ref  Docto Nr  137810"/>
    <x v="57"/>
    <s v=""/>
    <s v="660419511"/>
    <s v=""/>
    <s v="4008102433"/>
    <s v="GMGNH"/>
    <s v="7"/>
  </r>
  <r>
    <x v="0"/>
    <d v="2022-02-15T00:00:00"/>
    <x v="1"/>
    <s v="6829990"/>
    <s v="Other travel cost"/>
    <s v="MW09C21028"/>
    <s v="Segurança Industrial"/>
    <n v="200"/>
    <s v="Utilização Veículo Diretoria BFR/10356972/BAB11A6B"/>
    <x v="58"/>
    <s v=""/>
    <s v=""/>
    <s v=""/>
    <s v="4008101360"/>
    <s v="SXIDOCXI"/>
    <s v="2"/>
  </r>
  <r>
    <x v="0"/>
    <d v="2022-02-15T00:00:00"/>
    <x v="1"/>
    <s v="6021550"/>
    <s v="Health ben sal"/>
    <s v="MW09C21028"/>
    <s v="Segurança Industrial"/>
    <n v="35.83"/>
    <s v="Valor Health ben sal ref  Docto Nr  16569"/>
    <x v="59"/>
    <s v=""/>
    <s v="660422179"/>
    <s v=""/>
    <s v="4008101817"/>
    <s v="GMGNH"/>
    <s v="3"/>
  </r>
  <r>
    <x v="0"/>
    <d v="2022-02-16T00:00:00"/>
    <x v="1"/>
    <s v="6321000"/>
    <s v="General supplies"/>
    <s v="MW09C21028"/>
    <s v="Segurança Industrial"/>
    <n v="19.28"/>
    <s v="CADEADO LATAO  25MM"/>
    <x v="8"/>
    <s v=""/>
    <s v=""/>
    <s v=""/>
    <s v="4008103187"/>
    <s v="ERUCD"/>
    <s v="1"/>
  </r>
  <r>
    <x v="0"/>
    <d v="2022-02-17T00:00:00"/>
    <x v="1"/>
    <s v="6829990"/>
    <s v="Other travel cost"/>
    <s v="MW09C21028"/>
    <s v="Segurança Industrial"/>
    <n v="7709"/>
    <s v="Manutenção Preventiva/06169225/8AC2D051328F4702A38"/>
    <x v="20"/>
    <s v=""/>
    <s v=""/>
    <s v=""/>
    <s v="4008106970"/>
    <s v="SXIDOCXI"/>
    <s v="3"/>
  </r>
  <r>
    <x v="0"/>
    <d v="2022-02-17T00:00:00"/>
    <x v="1"/>
    <s v="6829990"/>
    <s v="Other travel cost"/>
    <s v="MW09C21028"/>
    <s v="Segurança Industrial"/>
    <n v="3680"/>
    <s v="Manutenção corretiva/06169225/8AC2D051328F4702A38D"/>
    <x v="20"/>
    <s v=""/>
    <s v=""/>
    <s v=""/>
    <s v="4008106970"/>
    <s v="SXIDOCXI"/>
    <s v="4"/>
  </r>
  <r>
    <x v="0"/>
    <d v="2022-02-17T00:00:00"/>
    <x v="1"/>
    <s v="6829990"/>
    <s v="Other travel cost"/>
    <s v="MW09C21028"/>
    <s v="Segurança Industrial"/>
    <n v="2339.3000000000002"/>
    <s v="Manutenção preventiva/06169225/8AC2D051328F4702A38"/>
    <x v="20"/>
    <s v=""/>
    <s v=""/>
    <s v=""/>
    <s v="4008106970"/>
    <s v="SXIDOCXI"/>
    <s v="5"/>
  </r>
  <r>
    <x v="0"/>
    <d v="2022-02-17T00:00:00"/>
    <x v="1"/>
    <s v="6876000"/>
    <s v="Municip+regional tax"/>
    <s v="MW09C21028"/>
    <s v="Segurança Industrial"/>
    <n v="1619.9"/>
    <s v="URG DOC 300677"/>
    <x v="51"/>
    <s v=""/>
    <s v=""/>
    <s v=""/>
    <s v="4008108079"/>
    <s v="EIMOH"/>
    <s v="1"/>
  </r>
  <r>
    <x v="0"/>
    <d v="2022-02-17T00:00:00"/>
    <x v="1"/>
    <s v="6821400"/>
    <s v="Lodging"/>
    <s v="MW09C21028"/>
    <s v="Segurança Industrial"/>
    <n v="1449.42"/>
    <s v="Reunião Time Security/06169225/8AC2D051328F4702A38"/>
    <x v="20"/>
    <s v=""/>
    <s v=""/>
    <s v=""/>
    <s v="4008106970"/>
    <s v="SXIDOCXI"/>
    <s v="8"/>
  </r>
  <r>
    <x v="0"/>
    <d v="2022-02-17T00:00:00"/>
    <x v="1"/>
    <s v="6829990"/>
    <s v="Other travel cost"/>
    <s v="MW09C21028"/>
    <s v="Segurança Industrial"/>
    <n v="1390.28"/>
    <s v="Abastecimento/06169225/8AC2D051328F4702A38D/RDVV F"/>
    <x v="20"/>
    <s v=""/>
    <s v=""/>
    <s v=""/>
    <s v="4008106970"/>
    <s v="SXIDOCXI"/>
    <s v="1"/>
  </r>
  <r>
    <x v="0"/>
    <d v="2022-02-17T00:00:00"/>
    <x v="1"/>
    <s v="6471200"/>
    <s v="Product literature"/>
    <s v="MW09C21028"/>
    <s v="Segurança Industrial"/>
    <n v="819"/>
    <s v="Valor Product literature ref  Docto Nr  2554"/>
    <x v="60"/>
    <s v=""/>
    <s v="660399260"/>
    <s v=""/>
    <s v="4008107801"/>
    <s v="GMGNH"/>
    <s v="1"/>
  </r>
  <r>
    <x v="0"/>
    <d v="2022-02-17T00:00:00"/>
    <x v="1"/>
    <s v="6821400"/>
    <s v="Lodging"/>
    <s v="MW09C21028"/>
    <s v="Segurança Industrial"/>
    <n v="447.5"/>
    <s v="Reunião com time de segurança/06169225/8AC2D051328"/>
    <x v="20"/>
    <s v=""/>
    <s v=""/>
    <s v=""/>
    <s v="4008106970"/>
    <s v="SXIDOCXI"/>
    <s v="9"/>
  </r>
  <r>
    <x v="0"/>
    <d v="2022-02-17T00:00:00"/>
    <x v="1"/>
    <s v="6831100"/>
    <s v="Bus meals"/>
    <s v="MW09C21028"/>
    <s v="Segurança Industrial"/>
    <n v="437.31"/>
    <s v="Reunião com time de segurança/06169225/8AC2D051328"/>
    <x v="20"/>
    <s v=""/>
    <s v=""/>
    <s v=""/>
    <s v="4008106970"/>
    <s v="SXIDOCXI"/>
    <s v="10"/>
  </r>
  <r>
    <x v="0"/>
    <d v="2022-02-17T00:00:00"/>
    <x v="1"/>
    <s v="6876000"/>
    <s v="Municip+regional tax"/>
    <s v="MW09C21028"/>
    <s v="Segurança Industrial"/>
    <n v="189.94"/>
    <s v="URG DOC 300675"/>
    <x v="51"/>
    <s v=""/>
    <s v=""/>
    <s v=""/>
    <s v="4008108080"/>
    <s v="EIMOH"/>
    <s v="1"/>
  </r>
  <r>
    <x v="0"/>
    <d v="2022-02-17T00:00:00"/>
    <x v="1"/>
    <s v="6821200"/>
    <s v="Food allowance"/>
    <s v="MW09C21028"/>
    <s v="Segurança Industrial"/>
    <n v="125.43"/>
    <s v="Reunião com time de Segurança/06169225/8AC2D051328"/>
    <x v="20"/>
    <s v=""/>
    <s v=""/>
    <s v=""/>
    <s v="4008106970"/>
    <s v="SXIDOCXI"/>
    <s v="13"/>
  </r>
  <r>
    <x v="0"/>
    <d v="2022-02-17T00:00:00"/>
    <x v="1"/>
    <s v="6821200"/>
    <s v="Food allowance"/>
    <s v="MW09C21028"/>
    <s v="Segurança Industrial"/>
    <n v="78.8"/>
    <s v="Missão Executiva/06169225/8AC2D051328F4702A38D/RDV"/>
    <x v="20"/>
    <s v=""/>
    <s v=""/>
    <s v=""/>
    <s v="4008106970"/>
    <s v="SXIDOCXI"/>
    <s v="11"/>
  </r>
  <r>
    <x v="0"/>
    <d v="2022-02-17T00:00:00"/>
    <x v="1"/>
    <s v="6829990"/>
    <s v="Other travel cost"/>
    <s v="MW09C21028"/>
    <s v="Segurança Industrial"/>
    <n v="65.8"/>
    <s v="Mensalidade/Pedagio/06169225/8AC2D051328F4702A38D/"/>
    <x v="20"/>
    <s v=""/>
    <s v=""/>
    <s v=""/>
    <s v="4008106970"/>
    <s v="SXIDOCXI"/>
    <s v="6"/>
  </r>
  <r>
    <x v="0"/>
    <d v="2022-02-17T00:00:00"/>
    <x v="1"/>
    <s v="6821200"/>
    <s v="Food allowance"/>
    <s v="MW09C21028"/>
    <s v="Segurança Industrial"/>
    <n v="57.09"/>
    <s v="Reunião Time Segurança/06169225/8AC2D051328F4702A3"/>
    <x v="20"/>
    <s v=""/>
    <s v=""/>
    <s v=""/>
    <s v="4008106970"/>
    <s v="SXIDOCXI"/>
    <s v="12"/>
  </r>
  <r>
    <x v="0"/>
    <d v="2022-02-17T00:00:00"/>
    <x v="1"/>
    <s v="6829990"/>
    <s v="Other travel cost"/>
    <s v="MW09C21028"/>
    <s v="Segurança Industrial"/>
    <n v="56.8"/>
    <s v="Missão Executiva/06169225/8AC2D051328F4702A38D/RDV"/>
    <x v="20"/>
    <s v=""/>
    <s v=""/>
    <s v=""/>
    <s v="4008106970"/>
    <s v="SXIDOCXI"/>
    <s v="7"/>
  </r>
  <r>
    <x v="0"/>
    <d v="2022-02-17T00:00:00"/>
    <x v="1"/>
    <s v="6829990"/>
    <s v="Other travel cost"/>
    <s v="MW09C21028"/>
    <s v="Segurança Industrial"/>
    <n v="45"/>
    <s v="Lavagem/06169225/8AC2D051328F4702A38D/RDVV FARIAS/"/>
    <x v="20"/>
    <s v=""/>
    <s v=""/>
    <s v=""/>
    <s v="4008106970"/>
    <s v="SXIDOCXI"/>
    <s v="2"/>
  </r>
  <r>
    <x v="0"/>
    <d v="2022-02-21T00:00:00"/>
    <x v="1"/>
    <s v="6861300"/>
    <s v="Oper Liab ins"/>
    <s v="MW09C21028"/>
    <s v="Segurança Industrial"/>
    <n v="526.27"/>
    <s v="Apolice Respons  Civil    Fev 22"/>
    <x v="42"/>
    <s v=""/>
    <s v=""/>
    <s v=""/>
    <s v="4008115456"/>
    <s v="GMDWF"/>
    <s v="128"/>
  </r>
  <r>
    <x v="0"/>
    <d v="2022-02-22T00:00:00"/>
    <x v="1"/>
    <s v="6831400"/>
    <s v="Catering"/>
    <s v="MW09C21028"/>
    <s v="Segurança Industrial"/>
    <n v="1384.41"/>
    <s v="Vr recup Refeicoes Colaboradores   Jan"/>
    <x v="15"/>
    <s v=""/>
    <s v=""/>
    <s v=""/>
    <s v="4008116229"/>
    <s v="GMDWF"/>
    <s v="15"/>
  </r>
  <r>
    <x v="0"/>
    <d v="2022-02-22T00:00:00"/>
    <x v="1"/>
    <s v="6822300"/>
    <s v="Coll transp staff"/>
    <s v="MW09C21028"/>
    <s v="Segurança Industrial"/>
    <n v="1021.81"/>
    <s v="Recup Transporte Colaboradores   Jan"/>
    <x v="15"/>
    <s v=""/>
    <s v=""/>
    <s v=""/>
    <s v="4008116229"/>
    <s v="GMDWF"/>
    <s v="31"/>
  </r>
  <r>
    <x v="0"/>
    <d v="2022-02-23T00:00:00"/>
    <x v="1"/>
    <s v="6280000"/>
    <s v="Technic. spare parts"/>
    <s v="MW09C21028"/>
    <s v="Segurança Industrial"/>
    <n v="16.010000000000002"/>
    <s v="Saida de Material por Consumo"/>
    <x v="8"/>
    <s v=""/>
    <s v=""/>
    <s v=""/>
    <s v="4008119580"/>
    <s v="ERUCD"/>
    <s v="2"/>
  </r>
  <r>
    <x v="0"/>
    <d v="2022-02-23T00:00:00"/>
    <x v="1"/>
    <s v="6280000"/>
    <s v="Technic. spare parts"/>
    <s v="MW09C21028"/>
    <s v="Segurança Industrial"/>
    <n v="6.45"/>
    <s v="Saida de Material por Consumo"/>
    <x v="8"/>
    <s v=""/>
    <s v=""/>
    <s v=""/>
    <s v="4008119580"/>
    <s v="ERUCD"/>
    <s v="1"/>
  </r>
  <r>
    <x v="0"/>
    <d v="2022-02-24T00:00:00"/>
    <x v="1"/>
    <s v="6011000"/>
    <s v="Salaries"/>
    <s v="MW09C21028"/>
    <s v="Segurança Industrial"/>
    <n v="106077.73"/>
    <s v="37NA/37U/Salários"/>
    <x v="33"/>
    <s v=""/>
    <s v=""/>
    <s v=""/>
    <s v="4008120308"/>
    <s v="WWCAST1_HR"/>
    <s v="820"/>
  </r>
  <r>
    <x v="0"/>
    <d v="2022-02-24T00:00:00"/>
    <x v="1"/>
    <s v="6011000"/>
    <s v="Salaries"/>
    <s v="MW09C21028"/>
    <s v="Segurança Industrial"/>
    <n v="61442.43"/>
    <s v="37NC/37U/Salarios Outros"/>
    <x v="33"/>
    <s v=""/>
    <s v=""/>
    <s v=""/>
    <s v="4008120308"/>
    <s v="WWCAST1_HR"/>
    <s v="819"/>
  </r>
  <r>
    <x v="0"/>
    <d v="2022-02-24T00:00:00"/>
    <x v="1"/>
    <s v="6020300"/>
    <s v="Soc sec cont-severan"/>
    <s v="MW09C21028"/>
    <s v="Segurança Industrial"/>
    <n v="48098.68"/>
    <s v="37NP/37U/Contribuição Inst.de Previdência"/>
    <x v="33"/>
    <s v=""/>
    <s v=""/>
    <s v=""/>
    <s v="4008120308"/>
    <s v="WWCAST1_HR"/>
    <s v="812"/>
  </r>
  <r>
    <x v="0"/>
    <d v="2022-02-24T00:00:00"/>
    <x v="1"/>
    <s v="6011700"/>
    <s v="Overtime Premium-sal"/>
    <s v="MW09C21028"/>
    <s v="Segurança Industrial"/>
    <n v="37840.79"/>
    <s v="37NF/37U/Horas Extras"/>
    <x v="33"/>
    <s v=""/>
    <s v=""/>
    <s v=""/>
    <s v="4008120308"/>
    <s v="WWCAST1_HR"/>
    <s v="745"/>
  </r>
  <r>
    <x v="0"/>
    <d v="2022-02-24T00:00:00"/>
    <x v="1"/>
    <s v="6011100"/>
    <s v="Vacation Comp-Sal"/>
    <s v="MW09C21028"/>
    <s v="Segurança Industrial"/>
    <n v="28403.02"/>
    <s v="37NN/37U/Provisão Pagto Férias DL 1730/79"/>
    <x v="33"/>
    <s v=""/>
    <s v=""/>
    <s v=""/>
    <s v="4008120308"/>
    <s v="WWCAST1_HR"/>
    <s v="817"/>
  </r>
  <r>
    <x v="0"/>
    <d v="2022-02-24T00:00:00"/>
    <x v="1"/>
    <s v="6020220"/>
    <s v="Unemployment fund"/>
    <s v="MW09C21028"/>
    <s v="Segurança Industrial"/>
    <n v="16951.12"/>
    <s v="37OF/37U/Desp.FGTS Diferença 10% C/Liminar"/>
    <x v="33"/>
    <s v=""/>
    <s v=""/>
    <s v=""/>
    <s v="4008120308"/>
    <s v="WWCAST1_HR"/>
    <s v="744"/>
  </r>
  <r>
    <x v="0"/>
    <d v="2022-02-24T00:00:00"/>
    <x v="1"/>
    <s v="6011530"/>
    <s v="13th month rem sal"/>
    <s v="MW09C21028"/>
    <s v="Segurança Industrial"/>
    <n v="14589.36"/>
    <s v="37NI/37U/13º Salário"/>
    <x v="33"/>
    <s v=""/>
    <s v=""/>
    <s v=""/>
    <s v="4008120308"/>
    <s v="WWCAST1_HR"/>
    <s v="815"/>
  </r>
  <r>
    <x v="0"/>
    <d v="2022-02-24T00:00:00"/>
    <x v="1"/>
    <s v="6011700"/>
    <s v="Overtime Premium-sal"/>
    <s v="MW09C21028"/>
    <s v="Segurança Industrial"/>
    <n v="9597.35"/>
    <s v="37NG/37U/Horas Extras Revezamento"/>
    <x v="33"/>
    <s v=""/>
    <s v=""/>
    <s v=""/>
    <s v="4008120308"/>
    <s v="WWCAST1_HR"/>
    <s v="821"/>
  </r>
  <r>
    <x v="0"/>
    <d v="2022-02-24T00:00:00"/>
    <x v="1"/>
    <s v="6020350"/>
    <s v="Accr soc-sec. contr."/>
    <s v="MW09C21028"/>
    <s v="Segurança Industrial"/>
    <n v="8990.0400000000009"/>
    <s v="37OD/37U/Provisão Encargos Sociais S/Férias DL 173"/>
    <x v="33"/>
    <s v=""/>
    <s v=""/>
    <s v=""/>
    <s v="4008120308"/>
    <s v="WWCAST1_HR"/>
    <s v="818"/>
  </r>
  <r>
    <x v="0"/>
    <d v="2022-02-24T00:00:00"/>
    <x v="1"/>
    <s v="6021130"/>
    <s v="Pay Ins Accid sal"/>
    <s v="MW09C21028"/>
    <s v="Segurança Industrial"/>
    <n v="7943.92"/>
    <s v="37NY/37U/Seguro Contra Acidentes de Trabalho"/>
    <x v="33"/>
    <s v=""/>
    <s v=""/>
    <s v=""/>
    <s v="4008120308"/>
    <s v="WWCAST1_HR"/>
    <s v="813"/>
  </r>
  <r>
    <x v="0"/>
    <d v="2022-02-24T00:00:00"/>
    <x v="1"/>
    <s v="6020300"/>
    <s v="Soc sec cont-severan"/>
    <s v="MW09C21028"/>
    <s v="Segurança Industrial"/>
    <n v="6992.34"/>
    <s v="37NX/37U/Salário Educação LEI 4440/64"/>
    <x v="33"/>
    <s v=""/>
    <s v=""/>
    <s v=""/>
    <s v="4008120308"/>
    <s v="WWCAST1_HR"/>
    <s v="814"/>
  </r>
  <r>
    <x v="0"/>
    <d v="2022-02-24T00:00:00"/>
    <x v="1"/>
    <s v="6032730"/>
    <s v="Exp emp con-ded"/>
    <s v="MW09C21028"/>
    <s v="Segurança Industrial"/>
    <n v="6001.04"/>
    <s v="37PA/37U/Contribuição a Previdencia Privada"/>
    <x v="33"/>
    <s v=""/>
    <s v=""/>
    <s v=""/>
    <s v="4008120308"/>
    <s v="WWCAST1_HR"/>
    <s v="747"/>
  </r>
  <r>
    <x v="0"/>
    <d v="2022-02-24T00:00:00"/>
    <x v="1"/>
    <s v="6042050"/>
    <s v="Rem. limited dur."/>
    <s v="MW09C21028"/>
    <s v="Segurança Industrial"/>
    <n v="5899.82"/>
    <s v="37NA/37W/Salários"/>
    <x v="33"/>
    <s v=""/>
    <s v=""/>
    <s v=""/>
    <s v="4008120307"/>
    <s v="WWCAST1_HR"/>
    <s v="981"/>
  </r>
  <r>
    <x v="0"/>
    <d v="2022-02-24T00:00:00"/>
    <x v="1"/>
    <s v="6020320"/>
    <s v="Contingency fund"/>
    <s v="MW09C21028"/>
    <s v="Segurança Industrial"/>
    <n v="5633"/>
    <s v="37PE/37U/Encargos sobre 13o salário"/>
    <x v="33"/>
    <s v=""/>
    <s v=""/>
    <s v=""/>
    <s v="4008120308"/>
    <s v="WWCAST1_HR"/>
    <s v="816"/>
  </r>
  <r>
    <x v="0"/>
    <d v="2022-02-24T00:00:00"/>
    <x v="1"/>
    <s v="6061000"/>
    <s v="Allow for prec. Job"/>
    <s v="MW09C21028"/>
    <s v="Segurança Industrial"/>
    <n v="3211.36"/>
    <s v="37NC/37W/Salarios Outros"/>
    <x v="33"/>
    <s v=""/>
    <s v=""/>
    <s v=""/>
    <s v="4008120307"/>
    <s v="WWCAST1_HR"/>
    <s v="982"/>
  </r>
  <r>
    <x v="0"/>
    <d v="2022-02-24T00:00:00"/>
    <x v="1"/>
    <s v="6020360"/>
    <s v="Employer cont pens p"/>
    <s v="MW09C21028"/>
    <s v="Segurança Industrial"/>
    <n v="2374.4899999999998"/>
    <s v="37NP/37W/Contribuição Inst.de Previdência"/>
    <x v="33"/>
    <s v=""/>
    <s v=""/>
    <s v=""/>
    <s v="4008120307"/>
    <s v="WWCAST1_HR"/>
    <s v="640"/>
  </r>
  <r>
    <x v="0"/>
    <d v="2022-02-24T00:00:00"/>
    <x v="1"/>
    <s v="6052340"/>
    <s v="Soc. security contr."/>
    <s v="MW09C21028"/>
    <s v="Segurança Industrial"/>
    <n v="2013.89"/>
    <s v="37NN/37W/Provisão Pagto Férias DL 1730/79"/>
    <x v="33"/>
    <s v=""/>
    <s v=""/>
    <s v=""/>
    <s v="4008120307"/>
    <s v="WWCAST1_HR"/>
    <s v="645"/>
  </r>
  <r>
    <x v="0"/>
    <d v="2022-02-24T00:00:00"/>
    <x v="1"/>
    <s v="6039300"/>
    <s v="Oth emp benefits"/>
    <s v="MW09C21028"/>
    <s v="Segurança Industrial"/>
    <n v="1227.7"/>
    <s v="37OR/37U/Outras Despesas Sociais"/>
    <x v="33"/>
    <s v=""/>
    <s v=""/>
    <s v=""/>
    <s v="4008120308"/>
    <s v="WWCAST1_HR"/>
    <s v="829"/>
  </r>
  <r>
    <x v="0"/>
    <d v="2022-02-24T00:00:00"/>
    <x v="1"/>
    <s v="6043100"/>
    <s v="Pay apprenticeship"/>
    <s v="MW09C21028"/>
    <s v="Segurança Industrial"/>
    <n v="1020"/>
    <s v="37OU/37W/Serviço de Estagiário-PF"/>
    <x v="33"/>
    <s v=""/>
    <s v=""/>
    <s v=""/>
    <s v="4008120307"/>
    <s v="WWCAST1_HR"/>
    <s v="400"/>
  </r>
  <r>
    <x v="0"/>
    <d v="2022-02-24T00:00:00"/>
    <x v="1"/>
    <s v="6042050"/>
    <s v="Rem. limited dur."/>
    <s v="MW09C21028"/>
    <s v="Segurança Industrial"/>
    <n v="973.5"/>
    <s v="37NF/37W/Horas Extras"/>
    <x v="33"/>
    <s v=""/>
    <s v=""/>
    <s v=""/>
    <s v="4008120308"/>
    <s v="WWCAST1_HR"/>
    <s v="17"/>
  </r>
  <r>
    <x v="0"/>
    <d v="2022-02-24T00:00:00"/>
    <x v="1"/>
    <s v="6052340"/>
    <s v="Soc. security contr."/>
    <s v="MW09C21028"/>
    <s v="Segurança Industrial"/>
    <n v="836.82"/>
    <s v="37OF/37W/Desp.FGTS Diferença 10% C/Liminar"/>
    <x v="33"/>
    <s v=""/>
    <s v=""/>
    <s v=""/>
    <s v="4008120307"/>
    <s v="WWCAST1_HR"/>
    <s v="636"/>
  </r>
  <r>
    <x v="0"/>
    <d v="2022-02-24T00:00:00"/>
    <x v="1"/>
    <s v="6042100"/>
    <s v="RemTM yearly premium"/>
    <s v="MW09C21028"/>
    <s v="Segurança Industrial"/>
    <n v="782.49"/>
    <s v="37NI/37W/13º Salário"/>
    <x v="33"/>
    <s v=""/>
    <s v=""/>
    <s v=""/>
    <s v="4008120307"/>
    <s v="WWCAST1_HR"/>
    <s v="643"/>
  </r>
  <r>
    <x v="0"/>
    <d v="2022-02-24T00:00:00"/>
    <x v="1"/>
    <s v="6052340"/>
    <s v="Soc. security contr."/>
    <s v="MW09C21028"/>
    <s v="Segurança Industrial"/>
    <n v="739.69"/>
    <s v="37OD/37W/Provisão Encargos Sociais S/Férias DL 173"/>
    <x v="33"/>
    <s v=""/>
    <s v=""/>
    <s v=""/>
    <s v="4008120307"/>
    <s v="WWCAST1_HR"/>
    <s v="646"/>
  </r>
  <r>
    <x v="0"/>
    <d v="2022-02-24T00:00:00"/>
    <x v="1"/>
    <s v="6471200"/>
    <s v="Product literature"/>
    <s v="MW09C21028"/>
    <s v="Segurança Industrial"/>
    <n v="423.8"/>
    <s v="Valor Product literature ref  Docto Nr  3081"/>
    <x v="30"/>
    <s v=""/>
    <s v="660427313"/>
    <s v=""/>
    <s v="4008121549"/>
    <s v="GMGNH"/>
    <s v="1"/>
  </r>
  <r>
    <x v="0"/>
    <d v="2022-02-24T00:00:00"/>
    <x v="1"/>
    <s v="6471200"/>
    <s v="Product literature"/>
    <s v="MW09C21028"/>
    <s v="Segurança Industrial"/>
    <n v="389.6"/>
    <s v="Valor Product literature ref  Docto Nr  3081"/>
    <x v="30"/>
    <s v=""/>
    <s v="660427313"/>
    <s v=""/>
    <s v="4008121549"/>
    <s v="GMGNH"/>
    <s v="2"/>
  </r>
  <r>
    <x v="0"/>
    <d v="2022-02-24T00:00:00"/>
    <x v="1"/>
    <s v="6042050"/>
    <s v="Rem. limited dur."/>
    <s v="MW09C21028"/>
    <s v="Segurança Industrial"/>
    <n v="375.62"/>
    <s v="37NG/37W/Horas Extras Revezamento"/>
    <x v="33"/>
    <s v=""/>
    <s v=""/>
    <s v=""/>
    <s v="4008120308"/>
    <s v="WWCAST1_HR"/>
    <s v="18"/>
  </r>
  <r>
    <x v="0"/>
    <d v="2022-02-24T00:00:00"/>
    <x v="1"/>
    <s v="6052400"/>
    <s v="Soc Contr 'oth'"/>
    <s v="MW09C21028"/>
    <s v="Segurança Industrial"/>
    <n v="345.19"/>
    <s v="37NX/37W/Salário Educação LEI 4440/64"/>
    <x v="33"/>
    <s v=""/>
    <s v=""/>
    <s v=""/>
    <s v="4008120307"/>
    <s v="WWCAST1_HR"/>
    <s v="642"/>
  </r>
  <r>
    <x v="0"/>
    <d v="2022-02-24T00:00:00"/>
    <x v="1"/>
    <s v="6021130"/>
    <s v="Pay Ins Accid sal"/>
    <s v="MW09C21028"/>
    <s v="Segurança Industrial"/>
    <n v="309.91000000000003"/>
    <s v="37NY/37W/Seguro Contra Acidentes de Trabalho"/>
    <x v="33"/>
    <s v=""/>
    <s v=""/>
    <s v=""/>
    <s v="4008120307"/>
    <s v="WWCAST1_HR"/>
    <s v="641"/>
  </r>
  <r>
    <x v="0"/>
    <d v="2022-02-24T00:00:00"/>
    <x v="1"/>
    <s v="6052400"/>
    <s v="Soc Contr 'oth'"/>
    <s v="MW09C21028"/>
    <s v="Segurança Industrial"/>
    <n v="287.41000000000003"/>
    <s v="37PE/37W/Encargos sobre 13o salário"/>
    <x v="33"/>
    <s v=""/>
    <s v=""/>
    <s v=""/>
    <s v="4008120307"/>
    <s v="WWCAST1_HR"/>
    <s v="644"/>
  </r>
  <r>
    <x v="0"/>
    <d v="2022-02-24T00:00:00"/>
    <x v="1"/>
    <s v="6471200"/>
    <s v="Product literature"/>
    <s v="MW09C21028"/>
    <s v="Segurança Industrial"/>
    <n v="218"/>
    <s v="Valor Product literature ref  Docto Nr  3081"/>
    <x v="30"/>
    <s v=""/>
    <s v="660427313"/>
    <s v=""/>
    <s v="4008121549"/>
    <s v="GMGNH"/>
    <s v="5"/>
  </r>
  <r>
    <x v="0"/>
    <d v="2022-02-24T00:00:00"/>
    <x v="1"/>
    <s v="6471200"/>
    <s v="Product literature"/>
    <s v="MW09C21028"/>
    <s v="Segurança Industrial"/>
    <n v="201.52"/>
    <s v="Valor Product literature ref  Docto Nr  3081"/>
    <x v="30"/>
    <s v=""/>
    <s v="660427313"/>
    <s v=""/>
    <s v="4008121549"/>
    <s v="GMGNH"/>
    <s v="4"/>
  </r>
  <r>
    <x v="0"/>
    <d v="2022-02-24T00:00:00"/>
    <x v="1"/>
    <s v="6471200"/>
    <s v="Product literature"/>
    <s v="MW09C21028"/>
    <s v="Segurança Industrial"/>
    <n v="192.24"/>
    <s v="Valor Product literature ref  Docto Nr  3081"/>
    <x v="30"/>
    <s v=""/>
    <s v="660427313"/>
    <s v=""/>
    <s v="4008121549"/>
    <s v="GMGNH"/>
    <s v="3"/>
  </r>
  <r>
    <x v="0"/>
    <d v="2022-02-24T00:00:00"/>
    <x v="1"/>
    <s v="6032730"/>
    <s v="Exp emp con-ded"/>
    <s v="MW09C21028"/>
    <s v="Segurança Industrial"/>
    <n v="96.4"/>
    <s v="37PA/37W/Contribuição a Previdencia Privada"/>
    <x v="33"/>
    <s v=""/>
    <s v=""/>
    <s v=""/>
    <s v="4008120307"/>
    <s v="WWCAST1_HR"/>
    <s v="638"/>
  </r>
  <r>
    <x v="0"/>
    <d v="2022-02-24T00:00:00"/>
    <x v="1"/>
    <s v="6031130"/>
    <s v="Group ins salaries"/>
    <s v="MW09C21028"/>
    <s v="Segurança Industrial"/>
    <n v="-26.41"/>
    <s v="37OG/37W/Seguro de Vida Acidentes Pessoais em Grup"/>
    <x v="34"/>
    <s v=""/>
    <s v=""/>
    <s v=""/>
    <s v="4008120307"/>
    <s v="WWCAST1_HR"/>
    <s v="637"/>
  </r>
  <r>
    <x v="0"/>
    <d v="2022-02-24T00:00:00"/>
    <x v="1"/>
    <s v="6716000"/>
    <s v="Food f. Empl."/>
    <s v="MW09C21028"/>
    <s v="Segurança Industrial"/>
    <n v="-66.61"/>
    <s v="37OV/37W/Recuperação por Refeições Fornecidas"/>
    <x v="34"/>
    <s v=""/>
    <s v=""/>
    <s v=""/>
    <s v="4008120307"/>
    <s v="WWCAST1_HR"/>
    <s v="979"/>
  </r>
  <r>
    <x v="0"/>
    <d v="2022-02-24T00:00:00"/>
    <x v="1"/>
    <s v="6021550"/>
    <s v="Health ben sal"/>
    <s v="MW09C21028"/>
    <s v="Segurança Industrial"/>
    <n v="-73.97"/>
    <s v="37OS/37W/Reembolso Co-Participação Assistência Méd"/>
    <x v="34"/>
    <s v=""/>
    <s v=""/>
    <s v=""/>
    <s v="4008120307"/>
    <s v="WWCAST1_HR"/>
    <s v="980"/>
  </r>
  <r>
    <x v="0"/>
    <d v="2022-02-24T00:00:00"/>
    <x v="1"/>
    <s v="6822300"/>
    <s v="Coll transp staff"/>
    <s v="MW09C21028"/>
    <s v="Segurança Industrial"/>
    <n v="-219.27"/>
    <s v="37OK/37W/Transportes Colaboradores PJ"/>
    <x v="34"/>
    <s v=""/>
    <s v=""/>
    <s v=""/>
    <s v="4008120307"/>
    <s v="WWCAST1_HR"/>
    <s v="639"/>
  </r>
  <r>
    <x v="0"/>
    <d v="2022-02-24T00:00:00"/>
    <x v="1"/>
    <s v="6716000"/>
    <s v="Food f. Empl."/>
    <s v="MW09C21028"/>
    <s v="Segurança Industrial"/>
    <n v="-402.84"/>
    <s v="37OV/37U/Recuperação por Refeições Fornecidas"/>
    <x v="34"/>
    <s v=""/>
    <s v=""/>
    <s v=""/>
    <s v="4008120308"/>
    <s v="WWCAST1_HR"/>
    <s v="825"/>
  </r>
  <r>
    <x v="0"/>
    <d v="2022-02-24T00:00:00"/>
    <x v="1"/>
    <s v="6021550"/>
    <s v="Health ben sal"/>
    <s v="MW09C21028"/>
    <s v="Segurança Industrial"/>
    <n v="-473.46"/>
    <s v="37OI/37U/Assistência Médica/Hospitalar PJ"/>
    <x v="34"/>
    <s v=""/>
    <s v=""/>
    <s v=""/>
    <s v="4008120308"/>
    <s v="WWCAST1_HR"/>
    <s v="830"/>
  </r>
  <r>
    <x v="0"/>
    <d v="2022-02-24T00:00:00"/>
    <x v="1"/>
    <s v="6031130"/>
    <s v="Group ins salaries"/>
    <s v="MW09C21028"/>
    <s v="Segurança Industrial"/>
    <n v="-537.64"/>
    <s v="37OG/37U/Seguro de Vida Acidentes Pessoais em Grup"/>
    <x v="34"/>
    <s v=""/>
    <s v=""/>
    <s v=""/>
    <s v="4008120308"/>
    <s v="WWCAST1_HR"/>
    <s v="746"/>
  </r>
  <r>
    <x v="0"/>
    <d v="2022-02-24T00:00:00"/>
    <x v="1"/>
    <s v="6021550"/>
    <s v="Health ben sal"/>
    <s v="MW09C21028"/>
    <s v="Segurança Industrial"/>
    <n v="-759.22"/>
    <s v="37OJ/37U/Assistência Odontológica  -   Ativos"/>
    <x v="34"/>
    <s v=""/>
    <s v=""/>
    <s v=""/>
    <s v="4008120308"/>
    <s v="WWCAST1_HR"/>
    <s v="810"/>
  </r>
  <r>
    <x v="0"/>
    <d v="2022-02-24T00:00:00"/>
    <x v="1"/>
    <s v="6021550"/>
    <s v="Health ben sal"/>
    <s v="MW09C21028"/>
    <s v="Segurança Industrial"/>
    <n v="-890.45"/>
    <s v="37OS/37U/Reembolso Co-Participação Assistência Méd"/>
    <x v="34"/>
    <s v=""/>
    <s v=""/>
    <s v=""/>
    <s v="4008120308"/>
    <s v="WWCAST1_HR"/>
    <s v="824"/>
  </r>
  <r>
    <x v="0"/>
    <d v="2022-02-24T00:00:00"/>
    <x v="1"/>
    <s v="6822300"/>
    <s v="Coll transp staff"/>
    <s v="MW09C21028"/>
    <s v="Segurança Industrial"/>
    <n v="-1151.7"/>
    <s v="37OK/37U/Transportes Colaboradores PJ"/>
    <x v="34"/>
    <s v=""/>
    <s v=""/>
    <s v=""/>
    <s v="4008120308"/>
    <s v="WWCAST1_HR"/>
    <s v="828"/>
  </r>
  <r>
    <x v="0"/>
    <d v="2022-02-24T00:00:00"/>
    <x v="1"/>
    <s v="6011540"/>
    <s v="Oth premium sal"/>
    <s v="MW09C21028"/>
    <s v="Segurança Industrial"/>
    <n v="-1500"/>
    <s v="37NK/37U/Comissões a Colaboradores"/>
    <x v="34"/>
    <s v=""/>
    <s v=""/>
    <s v=""/>
    <s v="4008120308"/>
    <s v="WWCAST1_HR"/>
    <s v="826"/>
  </r>
  <r>
    <x v="0"/>
    <d v="2022-02-24T00:00:00"/>
    <x v="1"/>
    <s v="6879990"/>
    <s v="Other taxes"/>
    <s v="MW09C21028"/>
    <s v="Segurança Industrial"/>
    <n v="-5952.15"/>
    <s v="Credito de PIS e COFINS sobre a depreciacao FEV 20"/>
    <x v="49"/>
    <s v=""/>
    <s v=""/>
    <s v=""/>
    <s v="4008121605"/>
    <s v="GMHLL"/>
    <s v="40"/>
  </r>
  <r>
    <x v="0"/>
    <d v="2022-02-25T00:00:00"/>
    <x v="1"/>
    <s v="6622400"/>
    <s v="Depr Infrastructure"/>
    <s v="MW09C21028"/>
    <s v="Segurança Industrial"/>
    <n v="50980.19"/>
    <s v="AFB30202200201 0000000013"/>
    <x v="35"/>
    <s v=""/>
    <s v=""/>
    <s v=""/>
    <s v="4008127004"/>
    <s v="SXFTMRB0"/>
    <s v="8"/>
  </r>
  <r>
    <x v="0"/>
    <d v="2022-02-25T00:00:00"/>
    <x v="1"/>
    <s v="6622000"/>
    <s v="Depr Buildings"/>
    <s v="MW09C21028"/>
    <s v="Segurança Industrial"/>
    <n v="28230.47"/>
    <s v="AFB30202200201 0000000012"/>
    <x v="36"/>
    <s v=""/>
    <s v=""/>
    <s v=""/>
    <s v="4008127003"/>
    <s v="SXFTMRB0"/>
    <s v="34"/>
  </r>
  <r>
    <x v="0"/>
    <d v="2022-02-25T00:00:00"/>
    <x v="1"/>
    <s v="6624010"/>
    <s v="Depr IT-Hardware"/>
    <s v="MW09C21028"/>
    <s v="Segurança Industrial"/>
    <n v="14459.14"/>
    <s v="AFB30202200201 0000000014"/>
    <x v="38"/>
    <s v=""/>
    <s v=""/>
    <s v=""/>
    <s v="4008127005"/>
    <s v="SXFTMRB0"/>
    <s v="36"/>
  </r>
  <r>
    <x v="0"/>
    <d v="2022-02-25T00:00:00"/>
    <x v="1"/>
    <s v="6624030"/>
    <s v="Depr Transp."/>
    <s v="MW09C21028"/>
    <s v="Segurança Industrial"/>
    <n v="13363.2"/>
    <s v="AFB30202200201 0000000015"/>
    <x v="61"/>
    <s v=""/>
    <s v=""/>
    <s v=""/>
    <s v="4008127006"/>
    <s v="SXFTMRB0"/>
    <s v="16"/>
  </r>
  <r>
    <x v="0"/>
    <d v="2022-02-25T00:00:00"/>
    <x v="1"/>
    <s v="6715000"/>
    <s v="Fire prevent serv."/>
    <s v="MW09C21028"/>
    <s v="Segurança Industrial"/>
    <n v="934.31"/>
    <s v="CO2 06 Kg"/>
    <x v="10"/>
    <s v=""/>
    <s v="660352730"/>
    <s v=""/>
    <s v="4008126280"/>
    <s v="GMGNH"/>
    <s v="1"/>
  </r>
  <r>
    <x v="0"/>
    <d v="2022-02-25T00:00:00"/>
    <x v="1"/>
    <s v="6715000"/>
    <s v="Fire prevent serv."/>
    <s v="MW09C21028"/>
    <s v="Segurança Industrial"/>
    <n v="391.3"/>
    <s v="Teste Hidrostático em mangueira de 2½&quot;"/>
    <x v="10"/>
    <s v=""/>
    <s v="660352718"/>
    <s v=""/>
    <s v="4008126364"/>
    <s v="GNEPP"/>
    <s v="1"/>
  </r>
  <r>
    <x v="0"/>
    <d v="2022-02-25T00:00:00"/>
    <x v="1"/>
    <s v="6715000"/>
    <s v="Fire prevent serv."/>
    <s v="MW09C21028"/>
    <s v="Segurança Industrial"/>
    <n v="120.35"/>
    <s v="Teste Hidrostático em mangueira de 1½&quot;"/>
    <x v="10"/>
    <s v=""/>
    <s v="660352718"/>
    <s v=""/>
    <s v="4008126364"/>
    <s v="GNEPP"/>
    <s v="2"/>
  </r>
  <r>
    <x v="0"/>
    <d v="2022-02-25T00:00:00"/>
    <x v="1"/>
    <s v="6712000"/>
    <s v="Infrastructure serv"/>
    <s v="MW09C21028"/>
    <s v="Segurança Industrial"/>
    <n v="2326.25"/>
    <s v="LOC REPETIDORA MOTOROLA MTS3 C/ LINK"/>
    <x v="62"/>
    <s v=""/>
    <s v="660427643"/>
    <s v=""/>
    <s v="4008126353"/>
    <s v="GEMKD"/>
    <s v="1"/>
  </r>
  <r>
    <x v="0"/>
    <d v="2022-02-25T00:00:00"/>
    <x v="1"/>
    <s v="6712000"/>
    <s v="Infrastructure serv"/>
    <s v="MW09C21028"/>
    <s v="Segurança Industrial"/>
    <n v="2326.25"/>
    <s v="LOC REPETIDORA MOTOROLA MTS3 C/ LINK"/>
    <x v="62"/>
    <s v=""/>
    <s v="660427451"/>
    <s v=""/>
    <s v="4008126365"/>
    <s v="GEMKD"/>
    <s v="1"/>
  </r>
  <r>
    <x v="0"/>
    <d v="2022-02-25T00:00:00"/>
    <x v="1"/>
    <s v="6623000"/>
    <s v="Depr Mach/tech Prod"/>
    <s v="MW09C21028"/>
    <s v="Segurança Industrial"/>
    <n v="1793.56"/>
    <s v="AFB30202200201 0000000013"/>
    <x v="35"/>
    <s v=""/>
    <s v=""/>
    <s v=""/>
    <s v="4008127004"/>
    <s v="SXFTMRB0"/>
    <s v="50"/>
  </r>
  <r>
    <x v="0"/>
    <d v="2022-02-25T00:00:00"/>
    <x v="1"/>
    <s v="8262000"/>
    <s v="FAM Settl Serv (Ext)"/>
    <s v="MW09C21028"/>
    <s v="Segurança Industrial"/>
    <n v="1425.37"/>
    <s v="CTR H353/MW09C21028"/>
    <x v="41"/>
    <s v="IE MW09C21028 SEG INDUSTRIAL - 2022"/>
    <s v=""/>
    <s v="Order"/>
    <s v="4600129564"/>
    <s v="SXFTMRB0"/>
    <s v="2"/>
  </r>
  <r>
    <x v="0"/>
    <d v="2022-02-25T00:00:00"/>
    <x v="1"/>
    <s v="8262000"/>
    <s v="FAM Settl Serv (Ext)"/>
    <s v="MW09C21028"/>
    <s v="Segurança Industrial"/>
    <n v="1136.57"/>
    <s v="CTR H353/MW09C21028"/>
    <x v="41"/>
    <s v="MAN 2022 SÓ ACUMULADORES"/>
    <s v=""/>
    <s v="Order"/>
    <s v="4600129523"/>
    <s v="SXFTM000"/>
    <s v="10"/>
  </r>
  <r>
    <x v="0"/>
    <d v="2022-02-25T00:00:00"/>
    <x v="1"/>
    <s v="6831400"/>
    <s v="Catering"/>
    <s v="MW09C21028"/>
    <s v="Segurança Industrial"/>
    <n v="950.82"/>
    <s v="Vr recup Serv Restaur Visitantes - Fev"/>
    <x v="15"/>
    <s v=""/>
    <s v=""/>
    <s v=""/>
    <s v="4008125725"/>
    <s v="GMDWF"/>
    <s v="19"/>
  </r>
  <r>
    <x v="0"/>
    <d v="2022-02-25T00:00:00"/>
    <x v="1"/>
    <s v="8261000"/>
    <s v="FAM Settl Prim Mat"/>
    <s v="MW09C21028"/>
    <s v="Segurança Industrial"/>
    <n v="784.95"/>
    <s v="CTR H353/MW09C21028"/>
    <x v="41"/>
    <s v="Locação de plataforma 2022"/>
    <s v=""/>
    <s v="Order"/>
    <s v="4600129400"/>
    <s v="SXFTM000"/>
    <s v="14"/>
  </r>
  <r>
    <x v="0"/>
    <d v="2022-02-25T00:00:00"/>
    <x v="1"/>
    <s v="6624000"/>
    <s v="Depr F/Fix"/>
    <s v="MW09C21028"/>
    <s v="Segurança Industrial"/>
    <n v="152.91"/>
    <s v="AFB30202200201 0000000014"/>
    <x v="38"/>
    <s v=""/>
    <s v=""/>
    <s v=""/>
    <s v="4008127005"/>
    <s v="SXFTMRB0"/>
    <s v="8"/>
  </r>
  <r>
    <x v="0"/>
    <d v="2022-02-26T00:00:00"/>
    <x v="1"/>
    <s v="6012500"/>
    <s v="Bonuses workers"/>
    <s v="MW09C21028"/>
    <s v="Segurança Industrial"/>
    <n v="22214.06"/>
    <s v="Lancto RH Bonuses workers"/>
    <x v="45"/>
    <s v=""/>
    <s v=""/>
    <s v=""/>
    <s v="4008126879"/>
    <s v="BRZFX_HR"/>
    <s v="96"/>
  </r>
  <r>
    <x v="0"/>
    <d v="2022-02-26T00:00:00"/>
    <x v="1"/>
    <s v="6011500"/>
    <s v="Bonuses"/>
    <s v="MW09C21028"/>
    <s v="Segurança Industrial"/>
    <n v="3396.14"/>
    <s v="Lancto RH Bonuses"/>
    <x v="45"/>
    <s v=""/>
    <s v=""/>
    <s v=""/>
    <s v="4008126879"/>
    <s v="BRZFX_HR"/>
    <s v="38"/>
  </r>
  <r>
    <x v="0"/>
    <d v="2022-02-26T00:00:00"/>
    <x v="1"/>
    <s v="6032003"/>
    <s v="Pension Accrual."/>
    <s v="MW09C21028"/>
    <s v="Segurança Industrial"/>
    <n v="1903.49"/>
    <s v="Prov Fundo de Pensao BCS 2022 02"/>
    <x v="47"/>
    <s v=""/>
    <s v=""/>
    <s v=""/>
    <s v="4008127177"/>
    <s v="GMLHA"/>
    <s v="17"/>
  </r>
  <r>
    <x v="0"/>
    <d v="2022-02-26T00:00:00"/>
    <x v="1"/>
    <s v="6032003"/>
    <s v="Pension Accrual."/>
    <s v="MW09C21028"/>
    <s v="Segurança Industrial"/>
    <n v="420.36"/>
    <s v="Prov Assist Medica BCS 2022 02"/>
    <x v="48"/>
    <s v=""/>
    <s v=""/>
    <s v=""/>
    <s v="4008127179"/>
    <s v="GMLHA"/>
    <s v="94"/>
  </r>
  <r>
    <x v="0"/>
    <d v="2022-02-28T00:00:00"/>
    <x v="1"/>
    <s v="6021550"/>
    <s v="Health ben sal"/>
    <s v="MW09C21028"/>
    <s v="Segurança Industrial"/>
    <n v="66361.919999999998"/>
    <s v="Lancamento Amil   Fevereiro"/>
    <x v="44"/>
    <s v=""/>
    <s v=""/>
    <s v=""/>
    <s v="4008131937"/>
    <s v="GMDGB"/>
    <s v="318"/>
  </r>
  <r>
    <x v="0"/>
    <d v="2022-02-28T00:00:00"/>
    <x v="1"/>
    <s v="6831400"/>
    <s v="Catering"/>
    <s v="MW09C21028"/>
    <s v="Segurança Industrial"/>
    <n v="28632.27"/>
    <s v="Lancamento Ticket   Fevereiro"/>
    <x v="44"/>
    <s v=""/>
    <s v=""/>
    <s v=""/>
    <s v="4008131937"/>
    <s v="GMDGB"/>
    <s v="643"/>
  </r>
  <r>
    <x v="0"/>
    <d v="2022-02-28T00:00:00"/>
    <x v="1"/>
    <s v="6031130"/>
    <s v="Group ins salaries"/>
    <s v="MW09C21028"/>
    <s v="Segurança Industrial"/>
    <n v="2405.1799999999998"/>
    <s v="Lancamento Seguro de Vida   Fevereiro"/>
    <x v="44"/>
    <s v=""/>
    <s v=""/>
    <s v=""/>
    <s v="4008131937"/>
    <s v="GMDGB"/>
    <s v="791"/>
  </r>
  <r>
    <x v="0"/>
    <d v="2022-02-28T00:00:00"/>
    <x v="1"/>
    <s v="6039300"/>
    <s v="Oth emp benefits"/>
    <s v="MW09C21028"/>
    <s v="Segurança Industrial"/>
    <n v="1628.37"/>
    <s v="Lancamento Outros Beneficios   Fevereiro"/>
    <x v="44"/>
    <s v=""/>
    <s v=""/>
    <s v=""/>
    <s v="4008131937"/>
    <s v="GMDGB"/>
    <s v="134"/>
  </r>
  <r>
    <x v="0"/>
    <d v="2022-02-28T00:00:00"/>
    <x v="1"/>
    <s v="6021550"/>
    <s v="Health ben sal"/>
    <s v="MW09C21028"/>
    <s v="Segurança Industrial"/>
    <n v="1306.51"/>
    <s v="Lancamento Odontoprev   Fevereiro"/>
    <x v="44"/>
    <s v=""/>
    <s v=""/>
    <s v=""/>
    <s v="4008131937"/>
    <s v="GMDGB"/>
    <s v="505"/>
  </r>
  <r>
    <x v="0"/>
    <d v="2022-02-28T00:00:00"/>
    <x v="1"/>
    <s v="6779000"/>
    <s v="Serv. cust. &amp; excise"/>
    <s v="MW09C21028"/>
    <s v="Segurança Industrial"/>
    <n v="465.75"/>
    <s v="Reclassif  Manutencao 363667"/>
    <x v="63"/>
    <s v=""/>
    <s v=""/>
    <s v=""/>
    <s v="4008131588"/>
    <s v="GMDWF"/>
    <s v="55"/>
  </r>
  <r>
    <x v="0"/>
    <d v="2022-02-28T00:00:00"/>
    <x v="1"/>
    <s v="6779000"/>
    <s v="Serv. cust. &amp; excise"/>
    <s v="MW09C21028"/>
    <s v="Segurança Industrial"/>
    <n v="414"/>
    <s v="Reclassif  Aluguel 364386"/>
    <x v="63"/>
    <s v=""/>
    <s v=""/>
    <s v=""/>
    <s v="4008131590"/>
    <s v="GMDWF"/>
    <s v="54"/>
  </r>
  <r>
    <x v="0"/>
    <d v="2022-02-28T00:00:00"/>
    <x v="1"/>
    <s v="6779000"/>
    <s v="Serv. cust. &amp; excise"/>
    <s v="MW09C21028"/>
    <s v="Segurança Industrial"/>
    <n v="374.08"/>
    <s v="Reclassif  Aluguel 362955"/>
    <x v="63"/>
    <s v=""/>
    <s v=""/>
    <s v=""/>
    <s v="4008131589"/>
    <s v="GMDWF"/>
    <s v="57"/>
  </r>
  <r>
    <x v="0"/>
    <d v="2022-03-01T00:00:00"/>
    <x v="1"/>
    <s v="6121001"/>
    <s v="Electricity fix"/>
    <s v="MW09C21028"/>
    <s v="Segurança Industrial"/>
    <n v="22669.64"/>
    <s v="MW4A010014MW09C21027 Energia Eletrica Fi"/>
    <x v="41"/>
    <s v="Alocações Periódicas"/>
    <s v=""/>
    <s v="Cost center"/>
    <s v="4400016300"/>
    <s v="SXFTMRB0"/>
    <s v="239"/>
  </r>
  <r>
    <x v="0"/>
    <d v="2022-03-01T00:00:00"/>
    <x v="1"/>
    <s v="6109990"/>
    <s v="Water - Other"/>
    <s v="MW09C21028"/>
    <s v="Segurança Industrial"/>
    <n v="3909.03"/>
    <s v="MW4A010009MW09C21027 Ág. Potavel"/>
    <x v="41"/>
    <s v="Alocações Periódicas"/>
    <s v=""/>
    <s v="Cost center"/>
    <s v="4400016300"/>
    <s v="SXFTMRB0"/>
    <s v="83"/>
  </r>
  <r>
    <x v="0"/>
    <d v="2022-03-01T00:00:00"/>
    <x v="1"/>
    <s v="6101000"/>
    <s v="Water var"/>
    <s v="MW09C21028"/>
    <s v="Segurança Industrial"/>
    <n v="3731.22"/>
    <s v="MW4A010008MW09C21027 Ág. Processo"/>
    <x v="41"/>
    <s v="Alocações Periódicas"/>
    <s v=""/>
    <s v="Cost center"/>
    <s v="4400016300"/>
    <s v="SXFTMRB0"/>
    <s v="37"/>
  </r>
  <r>
    <x v="0"/>
    <d v="2022-03-01T00:00:00"/>
    <x v="1"/>
    <s v="6121000"/>
    <s v="Electricity var"/>
    <s v="MW09C21028"/>
    <s v="Segurança Industrial"/>
    <n v="3583.55"/>
    <s v="MW4A010010MW09C21027 Energia Eletrica Va"/>
    <x v="41"/>
    <s v="Alocações Periódicas"/>
    <s v=""/>
    <s v="Cost center"/>
    <s v="4400016300"/>
    <s v="SXFTMRB0"/>
    <s v="139"/>
  </r>
  <r>
    <x v="0"/>
    <d v="2022-03-01T00:00:00"/>
    <x v="1"/>
    <s v="6321000"/>
    <s v="General supplies"/>
    <s v="MW09C21028"/>
    <s v="Segurança Industrial"/>
    <n v="2475.2199999999998"/>
    <s v="MW4A010015MW09C21027 Energia Eletrica Fi"/>
    <x v="41"/>
    <s v="Alocações Periódicas"/>
    <s v=""/>
    <s v="Cost center"/>
    <s v="4400016300"/>
    <s v="SXFTMRB0"/>
    <s v="279"/>
  </r>
  <r>
    <x v="0"/>
    <d v="2022-03-01T00:00:00"/>
    <x v="1"/>
    <s v="7711010"/>
    <s v="Security Service ASS"/>
    <s v="MW09C21028"/>
    <s v="Segurança Industrial"/>
    <n v="-1055381.95"/>
    <s v="MW5B02_017MW09C21028"/>
    <x v="41"/>
    <s v="Prédio 6201"/>
    <s v=""/>
    <s v="Cost center"/>
    <s v="4400016401"/>
    <s v="SXFTMRB0"/>
    <s v="298"/>
  </r>
  <r>
    <x v="0"/>
    <d v="2022-03-03T00:00:00"/>
    <x v="2"/>
    <s v="6715000"/>
    <s v="Fire prevent serv."/>
    <s v="MW09C21028"/>
    <s v="Segurança Industrial"/>
    <n v="7825.28"/>
    <s v="Inspecao e Manutencao de Rede Incendio"/>
    <x v="32"/>
    <s v=""/>
    <s v="614091459"/>
    <s v=""/>
    <s v="4008135062"/>
    <s v="GGUDG"/>
    <s v="1"/>
  </r>
  <r>
    <x v="0"/>
    <d v="2022-03-04T00:00:00"/>
    <x v="2"/>
    <s v="6890000"/>
    <s v="3d party pers"/>
    <s v="MW09C21028"/>
    <s v="Segurança Industrial"/>
    <n v="8444.93"/>
    <s v="Folha Temporarios BCS-BFR-META 02/2022"/>
    <x v="37"/>
    <s v=""/>
    <s v="660428675"/>
    <s v=""/>
    <s v="4008136359"/>
    <s v="EIMOH"/>
    <s v="3"/>
  </r>
  <r>
    <x v="0"/>
    <d v="2022-03-05T00:00:00"/>
    <x v="2"/>
    <s v="6822200"/>
    <s v="Milage allowance"/>
    <s v="MW09C21028"/>
    <s v="Segurança Industrial"/>
    <n v="100.8"/>
    <s v="Utilização Veículo Particular/06164223/C0F9ADB1D0F"/>
    <x v="25"/>
    <s v=""/>
    <s v=""/>
    <s v=""/>
    <s v="4008138387"/>
    <s v="SXIDOCXI"/>
    <s v="1"/>
  </r>
  <r>
    <x v="0"/>
    <d v="2022-03-09T00:00:00"/>
    <x v="2"/>
    <s v="6719990"/>
    <s v="Other site services"/>
    <s v="MW09C21028"/>
    <s v="Segurança Industrial"/>
    <n v="3000"/>
    <s v="Serv. Administração Rouparia"/>
    <x v="2"/>
    <s v=""/>
    <s v="660419959"/>
    <s v=""/>
    <s v="4008142052"/>
    <s v="GMGNH"/>
    <s v="2"/>
  </r>
  <r>
    <x v="0"/>
    <d v="2022-03-09T00:00:00"/>
    <x v="2"/>
    <s v="6719990"/>
    <s v="Other site services"/>
    <s v="MW09C21028"/>
    <s v="Segurança Industrial"/>
    <n v="3000"/>
    <s v="Valor Other site services ref  Docto Nr  21749"/>
    <x v="2"/>
    <s v=""/>
    <s v="660419959"/>
    <s v=""/>
    <s v="4008142054"/>
    <s v="GMGNH"/>
    <s v="2"/>
  </r>
  <r>
    <x v="0"/>
    <d v="2022-03-09T00:00:00"/>
    <x v="2"/>
    <s v="6719990"/>
    <s v="Other site services"/>
    <s v="MW09C21028"/>
    <s v="Segurança Industrial"/>
    <n v="-3000"/>
    <s v="Serv. Administração Rouparia"/>
    <x v="2"/>
    <s v=""/>
    <s v="660419959"/>
    <s v=""/>
    <s v="4008142025"/>
    <s v="GMGNH"/>
    <s v="2"/>
  </r>
  <r>
    <x v="0"/>
    <d v="2022-03-09T00:00:00"/>
    <x v="2"/>
    <s v="6719990"/>
    <s v="Other site services"/>
    <s v="MW09C21028"/>
    <s v="Segurança Industrial"/>
    <n v="-3000"/>
    <s v="Serv. Administração Rouparia"/>
    <x v="2"/>
    <s v=""/>
    <s v="660419959"/>
    <s v=""/>
    <s v="4008142053"/>
    <s v="GMGNH"/>
    <s v="2"/>
  </r>
  <r>
    <x v="0"/>
    <d v="2022-03-10T00:00:00"/>
    <x v="2"/>
    <s v="6861900"/>
    <s v="Automobile insurance"/>
    <s v="MW09C21028"/>
    <s v="Segurança Industrial"/>
    <n v="2406.4699999999998"/>
    <s v="Apolice Frota Bayer 2022 1 12"/>
    <x v="42"/>
    <s v=""/>
    <s v=""/>
    <s v=""/>
    <s v="4008143215"/>
    <s v="GMDWF"/>
    <s v="52"/>
  </r>
  <r>
    <x v="0"/>
    <d v="2022-03-10T00:00:00"/>
    <x v="2"/>
    <s v="6861900"/>
    <s v="Automobile insurance"/>
    <s v="MW09C21028"/>
    <s v="Segurança Industrial"/>
    <n v="2406.4699999999998"/>
    <s v="Apolice Frota Bayer 2022 2 12"/>
    <x v="42"/>
    <s v=""/>
    <s v=""/>
    <s v=""/>
    <s v="4008143220"/>
    <s v="GMDWF"/>
    <s v="52"/>
  </r>
  <r>
    <x v="0"/>
    <d v="2022-03-12T00:00:00"/>
    <x v="2"/>
    <s v="6822200"/>
    <s v="Milage allowance"/>
    <s v="MW09C21028"/>
    <s v="Segurança Industrial"/>
    <n v="81"/>
    <s v="Utilização Veículo Particular/08855401/CF525B1E227"/>
    <x v="13"/>
    <s v=""/>
    <s v=""/>
    <s v=""/>
    <s v="4008146013"/>
    <s v="SXIDOCXI"/>
    <s v="1"/>
  </r>
  <r>
    <x v="0"/>
    <d v="2022-03-13T00:00:00"/>
    <x v="2"/>
    <s v="6829990"/>
    <s v="Other travel cost"/>
    <s v="MW09C21028"/>
    <s v="Segurança Industrial"/>
    <n v="653.16999999999996"/>
    <s v="Abastecimento Veículo Emergencial Segurança Indust"/>
    <x v="7"/>
    <s v=""/>
    <s v=""/>
    <s v=""/>
    <s v="4008147142"/>
    <s v="SXIDOCXI"/>
    <s v="2"/>
  </r>
  <r>
    <x v="0"/>
    <d v="2022-03-13T00:00:00"/>
    <x v="2"/>
    <s v="6829990"/>
    <s v="Other travel cost"/>
    <s v="MW09C21028"/>
    <s v="Segurança Industrial"/>
    <n v="621.63"/>
    <s v="Abastecimento Veículo Emergencial Segurança Indust"/>
    <x v="23"/>
    <s v=""/>
    <s v=""/>
    <s v=""/>
    <s v="4008147141"/>
    <s v="SXIDOCXI"/>
    <s v="1"/>
  </r>
  <r>
    <x v="0"/>
    <d v="2022-03-13T00:00:00"/>
    <x v="2"/>
    <s v="6829990"/>
    <s v="Other travel cost"/>
    <s v="MW09C21028"/>
    <s v="Segurança Industrial"/>
    <n v="208.99"/>
    <s v="Abastecimento Veículo Frota Bayer/06169241/D5D479F"/>
    <x v="7"/>
    <s v=""/>
    <s v=""/>
    <s v=""/>
    <s v="4008147142"/>
    <s v="SXIDOCXI"/>
    <s v="4"/>
  </r>
  <r>
    <x v="0"/>
    <d v="2022-03-13T00:00:00"/>
    <x v="2"/>
    <s v="6822200"/>
    <s v="Milage allowance"/>
    <s v="MW09C21028"/>
    <s v="Segurança Industrial"/>
    <n v="180"/>
    <s v="Utilização de Veículo Particular/06169241/D5D479F3"/>
    <x v="7"/>
    <s v=""/>
    <s v=""/>
    <s v=""/>
    <s v="4008147142"/>
    <s v="SXIDOCXI"/>
    <s v="9"/>
  </r>
  <r>
    <x v="0"/>
    <d v="2022-03-13T00:00:00"/>
    <x v="2"/>
    <s v="6829990"/>
    <s v="Other travel cost"/>
    <s v="MW09C21028"/>
    <s v="Segurança Industrial"/>
    <n v="135.38999999999999"/>
    <s v="Abastecimento Veículo Executivo Segurança Industri"/>
    <x v="7"/>
    <s v=""/>
    <s v=""/>
    <s v=""/>
    <s v="4008147142"/>
    <s v="SXIDOCXI"/>
    <s v="3"/>
  </r>
  <r>
    <x v="0"/>
    <d v="2022-03-13T00:00:00"/>
    <x v="2"/>
    <s v="6829990"/>
    <s v="Other travel cost"/>
    <s v="MW09C21028"/>
    <s v="Segurança Industrial"/>
    <n v="110.4"/>
    <s v="Utilização Veículo Executivo Segurança Industrial/"/>
    <x v="23"/>
    <s v=""/>
    <s v=""/>
    <s v=""/>
    <s v="4008147141"/>
    <s v="SXIDOCXI"/>
    <s v="2"/>
  </r>
  <r>
    <x v="0"/>
    <d v="2022-03-13T00:00:00"/>
    <x v="2"/>
    <s v="6829990"/>
    <s v="Other travel cost"/>
    <s v="MW09C21028"/>
    <s v="Segurança Industrial"/>
    <n v="87.8"/>
    <s v="Material de Limpeza Veículos Emergenciais Seguranç"/>
    <x v="7"/>
    <s v=""/>
    <s v=""/>
    <s v=""/>
    <s v="4008147142"/>
    <s v="SXIDOCXI"/>
    <s v="8"/>
  </r>
  <r>
    <x v="0"/>
    <d v="2022-03-13T00:00:00"/>
    <x v="2"/>
    <s v="6822200"/>
    <s v="Milage allowance"/>
    <s v="MW09C21028"/>
    <s v="Segurança Industrial"/>
    <n v="50.4"/>
    <s v="Utilização de Veículo Particular/06164223/957728B2"/>
    <x v="25"/>
    <s v=""/>
    <s v=""/>
    <s v=""/>
    <s v="4008147140"/>
    <s v="SXIDOCXI"/>
    <s v="1"/>
  </r>
  <r>
    <x v="0"/>
    <d v="2022-03-13T00:00:00"/>
    <x v="2"/>
    <s v="6829990"/>
    <s v="Other travel cost"/>
    <s v="MW09C21028"/>
    <s v="Segurança Industrial"/>
    <n v="42"/>
    <s v="Cópias de Chave da Academia CS/06169241/D5D479F36F"/>
    <x v="7"/>
    <s v=""/>
    <s v=""/>
    <s v=""/>
    <s v="4008147142"/>
    <s v="SXIDOCXI"/>
    <s v="6"/>
  </r>
  <r>
    <x v="0"/>
    <d v="2022-03-13T00:00:00"/>
    <x v="2"/>
    <s v="6829990"/>
    <s v="Other travel cost"/>
    <s v="MW09C21028"/>
    <s v="Segurança Industrial"/>
    <n v="23.98"/>
    <s v="Compra de Material de Escritório Segurança Industr"/>
    <x v="7"/>
    <s v=""/>
    <s v=""/>
    <s v=""/>
    <s v="4008147142"/>
    <s v="SXIDOCXI"/>
    <s v="5"/>
  </r>
  <r>
    <x v="0"/>
    <d v="2022-03-13T00:00:00"/>
    <x v="2"/>
    <s v="6822200"/>
    <s v="Milage allowance"/>
    <s v="MW09C21028"/>
    <s v="Segurança Industrial"/>
    <n v="23.4"/>
    <s v="Utilização de Veículo Particular/09695459/3215B904"/>
    <x v="54"/>
    <s v=""/>
    <s v=""/>
    <s v=""/>
    <s v="4008147146"/>
    <s v="SXIDOCXI"/>
    <s v="1"/>
  </r>
  <r>
    <x v="0"/>
    <d v="2022-03-15T00:00:00"/>
    <x v="2"/>
    <s v="6715000"/>
    <s v="Fire prevent serv."/>
    <s v="MW09C21028"/>
    <s v="Segurança Industrial"/>
    <n v="10193.99"/>
    <s v="Valor Fire prevent serv  ref  Docto Nr  36614"/>
    <x v="10"/>
    <s v=""/>
    <s v="660435028"/>
    <s v=""/>
    <s v="4008150432"/>
    <s v="GMGNH"/>
    <s v="1"/>
  </r>
  <r>
    <x v="0"/>
    <d v="2022-03-15T00:00:00"/>
    <x v="2"/>
    <s v="6200000"/>
    <s v="Maint &amp; Leg/Co.Compl"/>
    <s v="MW09C21028"/>
    <s v="Segurança Industrial"/>
    <n v="3380.59"/>
    <s v="Valor do documento Nr  77774 1"/>
    <x v="64"/>
    <s v=""/>
    <s v="660354556"/>
    <s v=""/>
    <s v="4008149692"/>
    <s v="GMLYE"/>
    <s v="1"/>
  </r>
  <r>
    <x v="0"/>
    <d v="2022-03-15T00:00:00"/>
    <x v="2"/>
    <s v="6200000"/>
    <s v="Maint &amp; Leg/Co.Compl"/>
    <s v="MW09C21028"/>
    <s v="Segurança Industrial"/>
    <n v="3074.07"/>
    <s v="Valor do documento Nr  77774 1"/>
    <x v="64"/>
    <s v=""/>
    <s v="660354556"/>
    <s v=""/>
    <s v="4008149692"/>
    <s v="GMLYE"/>
    <s v="3"/>
  </r>
  <r>
    <x v="0"/>
    <d v="2022-03-15T00:00:00"/>
    <x v="2"/>
    <s v="6200000"/>
    <s v="Maint &amp; Leg/Co.Compl"/>
    <s v="MW09C21028"/>
    <s v="Segurança Industrial"/>
    <n v="1954.69"/>
    <s v="Valor do documento Nr  77774 1"/>
    <x v="64"/>
    <s v=""/>
    <s v="660354556"/>
    <s v=""/>
    <s v="4008149692"/>
    <s v="GMLYE"/>
    <s v="2"/>
  </r>
  <r>
    <x v="0"/>
    <d v="2022-03-15T00:00:00"/>
    <x v="2"/>
    <s v="6629004"/>
    <s v="LVA Tangible Exp"/>
    <s v="MW09C21028"/>
    <s v="Segurança Industrial"/>
    <n v="438.9"/>
    <s v="Valor LVA Tangible Exp ref  Docto Nr  1908"/>
    <x v="5"/>
    <s v=""/>
    <s v="660434877"/>
    <s v=""/>
    <s v="4008150172"/>
    <s v="GMGNH"/>
    <s v="1"/>
  </r>
  <r>
    <x v="0"/>
    <d v="2022-03-16T00:00:00"/>
    <x v="2"/>
    <s v="6829990"/>
    <s v="Other travel cost"/>
    <s v="MW09C21028"/>
    <s v="Segurança Industrial"/>
    <n v="852.13"/>
    <s v="Abastecimento Veículo Emergencial Segurança Indust"/>
    <x v="22"/>
    <s v=""/>
    <s v=""/>
    <s v=""/>
    <s v="4008150327"/>
    <s v="SXIDOCXI"/>
    <s v="1"/>
  </r>
  <r>
    <x v="0"/>
    <d v="2022-03-16T00:00:00"/>
    <x v="2"/>
    <s v="6829990"/>
    <s v="Other travel cost"/>
    <s v="MW09C21028"/>
    <s v="Segurança Industrial"/>
    <n v="700"/>
    <s v="Retirada de Cães do Complexo Industrial/06165327/E"/>
    <x v="52"/>
    <s v=""/>
    <s v=""/>
    <s v=""/>
    <s v="4008150326"/>
    <s v="SXIDOCXI"/>
    <s v="3"/>
  </r>
  <r>
    <x v="0"/>
    <d v="2022-03-16T00:00:00"/>
    <x v="2"/>
    <s v="6829990"/>
    <s v="Other travel cost"/>
    <s v="MW09C21028"/>
    <s v="Segurança Industrial"/>
    <n v="616.30999999999995"/>
    <s v="Abastecimento Veículo Executivo Segurança Industri"/>
    <x v="52"/>
    <s v=""/>
    <s v=""/>
    <s v=""/>
    <s v="4008150326"/>
    <s v="SXIDOCXI"/>
    <s v="2"/>
  </r>
  <r>
    <x v="0"/>
    <d v="2022-03-16T00:00:00"/>
    <x v="2"/>
    <s v="6829990"/>
    <s v="Other travel cost"/>
    <s v="MW09C21028"/>
    <s v="Segurança Industrial"/>
    <n v="559"/>
    <s v="Abastecimento Veículo Emergencial Segurança Indust"/>
    <x v="52"/>
    <s v=""/>
    <s v=""/>
    <s v=""/>
    <s v="4008150326"/>
    <s v="SXIDOCXI"/>
    <s v="1"/>
  </r>
  <r>
    <x v="0"/>
    <d v="2022-03-16T00:00:00"/>
    <x v="2"/>
    <s v="6829990"/>
    <s v="Other travel cost"/>
    <s v="MW09C21028"/>
    <s v="Segurança Industrial"/>
    <n v="508"/>
    <s v="Material Escritório Segurança Industrial/06168407/"/>
    <x v="22"/>
    <s v=""/>
    <s v=""/>
    <s v=""/>
    <s v="4008150327"/>
    <s v="SXIDOCXI"/>
    <s v="5"/>
  </r>
  <r>
    <x v="0"/>
    <d v="2022-03-16T00:00:00"/>
    <x v="2"/>
    <s v="6829990"/>
    <s v="Other travel cost"/>
    <s v="MW09C21028"/>
    <s v="Segurança Industrial"/>
    <n v="358.66"/>
    <s v="Abastecimento Veículo Executivo Segurança Industri"/>
    <x v="22"/>
    <s v=""/>
    <s v=""/>
    <s v=""/>
    <s v="4008150327"/>
    <s v="SXIDOCXI"/>
    <s v="2"/>
  </r>
  <r>
    <x v="0"/>
    <d v="2022-03-16T00:00:00"/>
    <x v="2"/>
    <s v="6822200"/>
    <s v="Milage allowance"/>
    <s v="MW09C21028"/>
    <s v="Segurança Industrial"/>
    <n v="259.2"/>
    <s v="Utilização de Veículo Particular/06168407/8F808E91"/>
    <x v="22"/>
    <s v=""/>
    <s v=""/>
    <s v=""/>
    <s v="4008150327"/>
    <s v="SXIDOCXI"/>
    <s v="8"/>
  </r>
  <r>
    <x v="0"/>
    <d v="2022-03-16T00:00:00"/>
    <x v="2"/>
    <s v="6829990"/>
    <s v="Other travel cost"/>
    <s v="MW09C21028"/>
    <s v="Segurança Industrial"/>
    <n v="79.989999999999995"/>
    <s v="Manutenção Veículos Segurança Industrial/06168407/"/>
    <x v="22"/>
    <s v=""/>
    <s v=""/>
    <s v=""/>
    <s v="4008150327"/>
    <s v="SXIDOCXI"/>
    <s v="4"/>
  </r>
  <r>
    <x v="0"/>
    <d v="2022-03-16T00:00:00"/>
    <x v="2"/>
    <s v="6829990"/>
    <s v="Other travel cost"/>
    <s v="MW09C21028"/>
    <s v="Segurança Industrial"/>
    <n v="42.2"/>
    <s v="Utilização Veículo Executivo Segurança Industrial/"/>
    <x v="22"/>
    <s v=""/>
    <s v=""/>
    <s v=""/>
    <s v="4008150327"/>
    <s v="SXIDOCXI"/>
    <s v="7"/>
  </r>
  <r>
    <x v="0"/>
    <d v="2022-03-16T00:00:00"/>
    <x v="2"/>
    <s v="6829990"/>
    <s v="Other travel cost"/>
    <s v="MW09C21028"/>
    <s v="Segurança Industrial"/>
    <n v="40"/>
    <s v="Manutenção Veículo Emergencial Segurança Industria"/>
    <x v="22"/>
    <s v=""/>
    <s v=""/>
    <s v=""/>
    <s v="4008150327"/>
    <s v="SXIDOCXI"/>
    <s v="3"/>
  </r>
  <r>
    <x v="0"/>
    <d v="2022-03-16T00:00:00"/>
    <x v="2"/>
    <s v="6829990"/>
    <s v="Other travel cost"/>
    <s v="MW09C21028"/>
    <s v="Segurança Industrial"/>
    <n v="32"/>
    <s v="Uniforme Segurança Industrial/06168407/8F808E917CE"/>
    <x v="22"/>
    <s v=""/>
    <s v=""/>
    <s v=""/>
    <s v="4008150327"/>
    <s v="SXIDOCXI"/>
    <s v="6"/>
  </r>
  <r>
    <x v="0"/>
    <d v="2022-03-17T00:00:00"/>
    <x v="2"/>
    <s v="6829990"/>
    <s v="Other travel cost"/>
    <s v="MW09C21028"/>
    <s v="Segurança Industrial"/>
    <n v="10689"/>
    <s v="Manutenção corretiva/06169225/58107958A9DE4101BDDD"/>
    <x v="20"/>
    <s v=""/>
    <s v=""/>
    <s v=""/>
    <s v="4008153049"/>
    <s v="SXIDOCXI"/>
    <s v="2"/>
  </r>
  <r>
    <x v="0"/>
    <d v="2022-03-17T00:00:00"/>
    <x v="2"/>
    <s v="6719990"/>
    <s v="Other site services"/>
    <s v="MW09C21028"/>
    <s v="Segurança Industrial"/>
    <n v="7006.45"/>
    <s v="Locação Uniformes e Toalhas"/>
    <x v="2"/>
    <s v=""/>
    <s v="660436708"/>
    <s v=""/>
    <s v="4008155543"/>
    <s v="GMGNH"/>
    <s v="2"/>
  </r>
  <r>
    <x v="0"/>
    <d v="2022-03-17T00:00:00"/>
    <x v="2"/>
    <s v="6542000"/>
    <s v="Environmental serv"/>
    <s v="MW09C21028"/>
    <s v="Segurança Industrial"/>
    <n v="4780.07"/>
    <s v="Valor Environmental serv ref  Docto Nr  390"/>
    <x v="0"/>
    <s v=""/>
    <s v="660417442"/>
    <s v=""/>
    <s v="4008155177"/>
    <s v="GMGNH"/>
    <s v="1"/>
  </r>
  <r>
    <x v="0"/>
    <d v="2022-03-17T00:00:00"/>
    <x v="2"/>
    <s v="6542000"/>
    <s v="Environmental serv"/>
    <s v="MW09C21028"/>
    <s v="Segurança Industrial"/>
    <n v="4780.07"/>
    <s v="Valor Environmental serv ref  Docto Nr  393"/>
    <x v="0"/>
    <s v=""/>
    <s v="660434911"/>
    <s v=""/>
    <s v="4008155212"/>
    <s v="GMGNH"/>
    <s v="1"/>
  </r>
  <r>
    <x v="0"/>
    <d v="2022-03-17T00:00:00"/>
    <x v="2"/>
    <s v="6719990"/>
    <s v="Other site services"/>
    <s v="MW09C21028"/>
    <s v="Segurança Industrial"/>
    <n v="3000"/>
    <s v="Valor Other site services ref  Docto Nr  21820"/>
    <x v="2"/>
    <s v=""/>
    <s v="660436710"/>
    <s v=""/>
    <s v="4008155366"/>
    <s v="GNEPP"/>
    <s v="2"/>
  </r>
  <r>
    <x v="0"/>
    <d v="2022-03-17T00:00:00"/>
    <x v="2"/>
    <s v="6829990"/>
    <s v="Other travel cost"/>
    <s v="MW09C21028"/>
    <s v="Segurança Industrial"/>
    <n v="2077.77"/>
    <s v="Abastecimento/06169225/58107958A9DE4101BDDD/RDVV F"/>
    <x v="20"/>
    <s v=""/>
    <s v=""/>
    <s v=""/>
    <s v="4008153049"/>
    <s v="SXIDOCXI"/>
    <s v="1"/>
  </r>
  <r>
    <x v="0"/>
    <d v="2022-03-17T00:00:00"/>
    <x v="2"/>
    <s v="6772000"/>
    <s v="MGT Consultancy"/>
    <s v="MW09C21028"/>
    <s v="Segurança Industrial"/>
    <n v="900"/>
    <s v="Valor MGT Consultancy ref  Docto Nr  1401"/>
    <x v="3"/>
    <s v=""/>
    <s v="660434859"/>
    <s v=""/>
    <s v="4008155474"/>
    <s v="GNEPP"/>
    <s v="1"/>
  </r>
  <r>
    <x v="0"/>
    <d v="2022-03-17T00:00:00"/>
    <x v="2"/>
    <s v="6829990"/>
    <s v="Other travel cost"/>
    <s v="MW09C21028"/>
    <s v="Segurança Industrial"/>
    <n v="161.02000000000001"/>
    <s v="Serviço de Cartório/06169225/58107958A9DE4101BDDD/"/>
    <x v="20"/>
    <s v=""/>
    <s v=""/>
    <s v=""/>
    <s v="4008153049"/>
    <s v="SXIDOCXI"/>
    <s v="4"/>
  </r>
  <r>
    <x v="0"/>
    <d v="2022-03-17T00:00:00"/>
    <x v="2"/>
    <s v="6829990"/>
    <s v="Other travel cost"/>
    <s v="MW09C21028"/>
    <s v="Segurança Industrial"/>
    <n v="145.80000000000001"/>
    <s v="TAG SEM PARAR/06169225/58107958A9DE4101BDDD/RDVV F"/>
    <x v="20"/>
    <s v=""/>
    <s v=""/>
    <s v=""/>
    <s v="4008153049"/>
    <s v="SXIDOCXI"/>
    <s v="5"/>
  </r>
  <r>
    <x v="0"/>
    <d v="2022-03-17T00:00:00"/>
    <x v="2"/>
    <s v="6821200"/>
    <s v="Food allowance"/>
    <s v="MW09C21028"/>
    <s v="Segurança Industrial"/>
    <n v="67.48"/>
    <s v="Missão Executiva/06169225/58107958A9DE4101BDDD/RDV"/>
    <x v="20"/>
    <s v=""/>
    <s v=""/>
    <s v=""/>
    <s v="4008153049"/>
    <s v="SXIDOCXI"/>
    <s v="6"/>
  </r>
  <r>
    <x v="0"/>
    <d v="2022-03-17T00:00:00"/>
    <x v="2"/>
    <s v="6822300"/>
    <s v="Coll transp staff"/>
    <s v="MW09C21028"/>
    <s v="Segurança Industrial"/>
    <n v="60.4"/>
    <s v="Valor Coll transp staff ref  Docto Nr  50119"/>
    <x v="65"/>
    <s v=""/>
    <s v="660437418"/>
    <s v=""/>
    <s v="4008154910"/>
    <s v="GMGNH"/>
    <s v="8"/>
  </r>
  <r>
    <x v="0"/>
    <d v="2022-03-17T00:00:00"/>
    <x v="2"/>
    <s v="6829990"/>
    <s v="Other travel cost"/>
    <s v="MW09C21028"/>
    <s v="Segurança Industrial"/>
    <n v="12"/>
    <s v="Missão Administrativa/06169225/58107958A9DE4101BDD"/>
    <x v="20"/>
    <s v=""/>
    <s v=""/>
    <s v=""/>
    <s v="4008153049"/>
    <s v="SXIDOCXI"/>
    <s v="3"/>
  </r>
  <r>
    <x v="0"/>
    <d v="2022-03-17T00:00:00"/>
    <x v="2"/>
    <s v="6719990"/>
    <s v="Other site services"/>
    <s v="MW09C21028"/>
    <s v="Segurança Industrial"/>
    <n v="-7006.45"/>
    <s v="Locação Uniformes e Toalhas"/>
    <x v="2"/>
    <s v=""/>
    <s v="660436708"/>
    <s v=""/>
    <s v="4008155549"/>
    <s v="GMGNH"/>
    <s v="2"/>
  </r>
  <r>
    <x v="0"/>
    <d v="2022-03-18T00:00:00"/>
    <x v="2"/>
    <s v="6861300"/>
    <s v="Oper Liab ins"/>
    <s v="MW09C21028"/>
    <s v="Segurança Industrial"/>
    <n v="526.27"/>
    <s v="Apolice Respons  Civil    Mar 22"/>
    <x v="42"/>
    <s v=""/>
    <s v=""/>
    <s v=""/>
    <s v="4008157262"/>
    <s v="GMDWF"/>
    <s v="128"/>
  </r>
  <r>
    <x v="0"/>
    <d v="2022-03-21T00:00:00"/>
    <x v="2"/>
    <s v="6711000"/>
    <s v="Security Service"/>
    <s v="MW09C21028"/>
    <s v="Segurança Industrial"/>
    <n v="9380.1299999999992"/>
    <s v="Valor Security Service ref  Docto Nr  16162"/>
    <x v="19"/>
    <s v=""/>
    <s v="660417440"/>
    <s v=""/>
    <s v="4008162375"/>
    <s v="GMGNH"/>
    <s v="1"/>
  </r>
  <r>
    <x v="0"/>
    <d v="2022-03-21T00:00:00"/>
    <x v="2"/>
    <s v="6719990"/>
    <s v="Other site services"/>
    <s v="MW09C21028"/>
    <s v="Segurança Industrial"/>
    <n v="7006.45"/>
    <s v="Locação Uniformes e Toalhas"/>
    <x v="2"/>
    <s v=""/>
    <s v="660436708"/>
    <s v=""/>
    <s v="4008162344"/>
    <s v="GMGNH"/>
    <s v="2"/>
  </r>
  <r>
    <x v="0"/>
    <d v="2022-03-21T00:00:00"/>
    <x v="2"/>
    <s v="6822300"/>
    <s v="Coll transp staff"/>
    <s v="MW09C21028"/>
    <s v="Segurança Industrial"/>
    <n v="661.83"/>
    <s v="Recup Transporte Colaboradores   Fev"/>
    <x v="66"/>
    <s v=""/>
    <s v=""/>
    <s v=""/>
    <s v="4008162972"/>
    <s v="GMDWF"/>
    <s v="30"/>
  </r>
  <r>
    <x v="0"/>
    <d v="2022-03-21T00:00:00"/>
    <x v="2"/>
    <s v="6831400"/>
    <s v="Catering"/>
    <s v="MW09C21028"/>
    <s v="Segurança Industrial"/>
    <n v="469.45"/>
    <s v="Vr recup Refeicoes Colaboradores   Fev"/>
    <x v="66"/>
    <s v=""/>
    <s v=""/>
    <s v=""/>
    <s v="4008162972"/>
    <s v="GMDWF"/>
    <s v="15"/>
  </r>
  <r>
    <x v="0"/>
    <d v="2022-03-23T00:00:00"/>
    <x v="2"/>
    <s v="6822100"/>
    <s v="Transp cost staff"/>
    <s v="MW09C21028"/>
    <s v="Segurança Industrial"/>
    <n v="287.91000000000003"/>
    <s v="Reciclagem Curso Vigilante - STARSEC/06167303/63CB"/>
    <x v="67"/>
    <s v=""/>
    <s v=""/>
    <s v=""/>
    <s v="4008164618"/>
    <s v="SXIDOCXI"/>
    <s v="1"/>
  </r>
  <r>
    <x v="0"/>
    <d v="2022-03-23T00:00:00"/>
    <x v="2"/>
    <s v="6821200"/>
    <s v="Food allowance"/>
    <s v="MW09C21028"/>
    <s v="Segurança Industrial"/>
    <n v="107.64"/>
    <s v="Reciclagem Curso Vigilante - STARSEC/06167303/63CB"/>
    <x v="67"/>
    <s v=""/>
    <s v=""/>
    <s v=""/>
    <s v="4008164618"/>
    <s v="SXIDOCXI"/>
    <s v="2"/>
  </r>
  <r>
    <x v="0"/>
    <d v="2022-03-23T00:00:00"/>
    <x v="2"/>
    <s v="6829990"/>
    <s v="Other travel cost"/>
    <s v="MW09C21028"/>
    <s v="Segurança Industrial"/>
    <n v="20"/>
    <s v="Conserto Uniforme Segurança Industrial/10899445/44"/>
    <x v="68"/>
    <s v=""/>
    <s v=""/>
    <s v=""/>
    <s v="4008164656"/>
    <s v="SXIDOCXI"/>
    <s v="1"/>
  </r>
  <r>
    <x v="0"/>
    <d v="2022-03-28T00:00:00"/>
    <x v="2"/>
    <s v="6890000"/>
    <s v="3d party pers"/>
    <s v="MW09C21028"/>
    <s v="Segurança Industrial"/>
    <n v="2747.95"/>
    <s v="Valor 3d party pers ref  Docto Nr  43464"/>
    <x v="37"/>
    <s v=""/>
    <s v="660443620"/>
    <s v=""/>
    <s v="4008175953"/>
    <s v="EIMOH"/>
    <s v="3"/>
  </r>
  <r>
    <x v="0"/>
    <d v="2022-03-29T00:00:00"/>
    <x v="2"/>
    <s v="6711000"/>
    <s v="Security Service"/>
    <s v="MW09C21028"/>
    <s v="Segurança Industrial"/>
    <n v="322580.15000000002"/>
    <s v="Valor Security Service ref  Docto Nr  8666"/>
    <x v="17"/>
    <s v=""/>
    <s v="660435669"/>
    <s v=""/>
    <s v="4008176869"/>
    <s v="GNEDA"/>
    <s v="1"/>
  </r>
  <r>
    <x v="0"/>
    <d v="2022-03-29T00:00:00"/>
    <x v="2"/>
    <s v="6011000"/>
    <s v="Salaries"/>
    <s v="MW09C21028"/>
    <s v="Segurança Industrial"/>
    <n v="108839.84"/>
    <s v="37NA/37U/Salários"/>
    <x v="33"/>
    <s v=""/>
    <s v=""/>
    <s v=""/>
    <s v="4008177618"/>
    <s v="WWCAST1_HR"/>
    <s v="840"/>
  </r>
  <r>
    <x v="0"/>
    <d v="2022-03-29T00:00:00"/>
    <x v="2"/>
    <s v="6011000"/>
    <s v="Salaries"/>
    <s v="MW09C21028"/>
    <s v="Segurança Industrial"/>
    <n v="58622.92"/>
    <s v="37NC/37U/Salarios Outros"/>
    <x v="33"/>
    <s v=""/>
    <s v=""/>
    <s v=""/>
    <s v="4008177618"/>
    <s v="WWCAST1_HR"/>
    <s v="839"/>
  </r>
  <r>
    <x v="0"/>
    <d v="2022-03-29T00:00:00"/>
    <x v="2"/>
    <s v="6020300"/>
    <s v="Soc sec cont-severan"/>
    <s v="MW09C21028"/>
    <s v="Segurança Industrial"/>
    <n v="46665.96"/>
    <s v="37NP/37U/Contribuição Inst.de Previdência"/>
    <x v="33"/>
    <s v=""/>
    <s v=""/>
    <s v=""/>
    <s v="4008177618"/>
    <s v="WWCAST1_HR"/>
    <s v="832"/>
  </r>
  <r>
    <x v="0"/>
    <d v="2022-03-29T00:00:00"/>
    <x v="2"/>
    <s v="6011100"/>
    <s v="Vacation Comp-Sal"/>
    <s v="MW09C21028"/>
    <s v="Segurança Industrial"/>
    <n v="27000.97"/>
    <s v="37NN/37U/Provisão Pagto Férias DL 1730/79"/>
    <x v="33"/>
    <s v=""/>
    <s v=""/>
    <s v=""/>
    <s v="4008177618"/>
    <s v="WWCAST1_HR"/>
    <s v="837"/>
  </r>
  <r>
    <x v="0"/>
    <d v="2022-03-29T00:00:00"/>
    <x v="2"/>
    <s v="6011700"/>
    <s v="Overtime Premium-sal"/>
    <s v="MW09C21028"/>
    <s v="Segurança Industrial"/>
    <n v="24893.62"/>
    <s v="37NF/37U/Horas Extras"/>
    <x v="33"/>
    <s v=""/>
    <s v=""/>
    <s v=""/>
    <s v="4008177618"/>
    <s v="WWCAST1_HR"/>
    <s v="829"/>
  </r>
  <r>
    <x v="0"/>
    <d v="2022-03-29T00:00:00"/>
    <x v="2"/>
    <s v="6012500"/>
    <s v="Bonuses workers"/>
    <s v="MW09C21028"/>
    <s v="Segurança Industrial"/>
    <n v="23576.52"/>
    <s v="Lancto RH Bonuses workers"/>
    <x v="45"/>
    <s v=""/>
    <s v=""/>
    <s v=""/>
    <s v="4008177291"/>
    <s v="BRZFX_HR"/>
    <s v="105"/>
  </r>
  <r>
    <x v="0"/>
    <d v="2022-03-29T00:00:00"/>
    <x v="2"/>
    <s v="6020220"/>
    <s v="Unemployment fund"/>
    <s v="MW09C21028"/>
    <s v="Segurança Industrial"/>
    <n v="16446.150000000001"/>
    <s v="37OF/37U/Desp.FGTS Diferença 10% C/Liminar"/>
    <x v="33"/>
    <s v=""/>
    <s v=""/>
    <s v=""/>
    <s v="4008177618"/>
    <s v="WWCAST1_HR"/>
    <s v="828"/>
  </r>
  <r>
    <x v="0"/>
    <d v="2022-03-29T00:00:00"/>
    <x v="2"/>
    <s v="6011530"/>
    <s v="13th month rem sal"/>
    <s v="MW09C21028"/>
    <s v="Segurança Industrial"/>
    <n v="15428.7"/>
    <s v="37NI/37U/13º Salário"/>
    <x v="33"/>
    <s v=""/>
    <s v=""/>
    <s v=""/>
    <s v="4008177618"/>
    <s v="WWCAST1_HR"/>
    <s v="835"/>
  </r>
  <r>
    <x v="0"/>
    <d v="2022-03-29T00:00:00"/>
    <x v="2"/>
    <s v="6020350"/>
    <s v="Accr soc-sec. contr."/>
    <s v="MW09C21028"/>
    <s v="Segurança Industrial"/>
    <n v="9033.7800000000007"/>
    <s v="37OD/37U/Provisão Encargos Sociais S/Férias DL 173"/>
    <x v="33"/>
    <s v=""/>
    <s v=""/>
    <s v=""/>
    <s v="4008177618"/>
    <s v="WWCAST1_HR"/>
    <s v="838"/>
  </r>
  <r>
    <x v="0"/>
    <d v="2022-03-29T00:00:00"/>
    <x v="2"/>
    <s v="6011700"/>
    <s v="Overtime Premium-sal"/>
    <s v="MW09C21028"/>
    <s v="Segurança Industrial"/>
    <n v="8415.69"/>
    <s v="37NG/37U/Horas Extras Revezamento"/>
    <x v="33"/>
    <s v=""/>
    <s v=""/>
    <s v=""/>
    <s v="4008177618"/>
    <s v="WWCAST1_HR"/>
    <s v="843"/>
  </r>
  <r>
    <x v="0"/>
    <d v="2022-03-29T00:00:00"/>
    <x v="2"/>
    <s v="6021130"/>
    <s v="Pay Ins Accid sal"/>
    <s v="MW09C21028"/>
    <s v="Segurança Industrial"/>
    <n v="7711.68"/>
    <s v="37NY/37U/Seguro Contra Acidentes de Trabalho"/>
    <x v="33"/>
    <s v=""/>
    <s v=""/>
    <s v=""/>
    <s v="4008177618"/>
    <s v="WWCAST1_HR"/>
    <s v="833"/>
  </r>
  <r>
    <x v="0"/>
    <d v="2022-03-29T00:00:00"/>
    <x v="2"/>
    <s v="6020300"/>
    <s v="Soc sec cont-severan"/>
    <s v="MW09C21028"/>
    <s v="Segurança Industrial"/>
    <n v="6784.06"/>
    <s v="37NX/37U/Salário Educação LEI 4440/64"/>
    <x v="33"/>
    <s v=""/>
    <s v=""/>
    <s v=""/>
    <s v="4008177618"/>
    <s v="WWCAST1_HR"/>
    <s v="834"/>
  </r>
  <r>
    <x v="0"/>
    <d v="2022-03-29T00:00:00"/>
    <x v="2"/>
    <s v="6011540"/>
    <s v="Oth premium sal"/>
    <s v="MW09C21028"/>
    <s v="Segurança Industrial"/>
    <n v="6374.08"/>
    <s v="37NM/37U/Gratificação Ajustada Espontânea"/>
    <x v="33"/>
    <s v=""/>
    <s v=""/>
    <s v=""/>
    <s v="4008177618"/>
    <s v="WWCAST1_HR"/>
    <s v="847"/>
  </r>
  <r>
    <x v="0"/>
    <d v="2022-03-29T00:00:00"/>
    <x v="2"/>
    <s v="6042050"/>
    <s v="Rem. limited dur."/>
    <s v="MW09C21028"/>
    <s v="Segurança Industrial"/>
    <n v="6361.36"/>
    <s v="37NA/37W/Salários"/>
    <x v="33"/>
    <s v=""/>
    <s v=""/>
    <s v=""/>
    <s v="4008177617"/>
    <s v="WWCAST1_HR"/>
    <s v="645"/>
  </r>
  <r>
    <x v="0"/>
    <d v="2022-03-29T00:00:00"/>
    <x v="2"/>
    <s v="6020320"/>
    <s v="Contingency fund"/>
    <s v="MW09C21028"/>
    <s v="Segurança Industrial"/>
    <n v="6001.62"/>
    <s v="37PE/37U/Encargos sobre 13o salário"/>
    <x v="33"/>
    <s v=""/>
    <s v=""/>
    <s v=""/>
    <s v="4008177618"/>
    <s v="WWCAST1_HR"/>
    <s v="836"/>
  </r>
  <r>
    <x v="0"/>
    <d v="2022-03-29T00:00:00"/>
    <x v="2"/>
    <s v="6032730"/>
    <s v="Exp emp con-ded"/>
    <s v="MW09C21028"/>
    <s v="Segurança Industrial"/>
    <n v="5969.74"/>
    <s v="37PA/37U/Contribuição a Previdencia Privada"/>
    <x v="33"/>
    <s v=""/>
    <s v=""/>
    <s v=""/>
    <s v="4008177618"/>
    <s v="WWCAST1_HR"/>
    <s v="831"/>
  </r>
  <r>
    <x v="0"/>
    <d v="2022-03-29T00:00:00"/>
    <x v="2"/>
    <s v="6420000"/>
    <s v="Transports"/>
    <s v="MW09C21028"/>
    <s v="Segurança Industrial"/>
    <n v="5279.22"/>
    <s v="Valor Transports ref  Docto Nr  594"/>
    <x v="18"/>
    <s v=""/>
    <s v=""/>
    <s v=""/>
    <s v="4008176763"/>
    <s v="GNLUA"/>
    <s v="1"/>
  </r>
  <r>
    <x v="0"/>
    <d v="2022-03-29T00:00:00"/>
    <x v="2"/>
    <s v="6011500"/>
    <s v="Bonuses"/>
    <s v="MW09C21028"/>
    <s v="Segurança Industrial"/>
    <n v="3396.12"/>
    <s v="Lancto RH Bonuses"/>
    <x v="45"/>
    <s v=""/>
    <s v=""/>
    <s v=""/>
    <s v="4008177291"/>
    <s v="BRZFX_HR"/>
    <s v="63"/>
  </r>
  <r>
    <x v="0"/>
    <d v="2022-03-29T00:00:00"/>
    <x v="2"/>
    <s v="6061000"/>
    <s v="Allow for prec. Job"/>
    <s v="MW09C21028"/>
    <s v="Segurança Industrial"/>
    <n v="2993.63"/>
    <s v="37NC/37W/Salarios Outros"/>
    <x v="33"/>
    <s v=""/>
    <s v=""/>
    <s v=""/>
    <s v="4008177617"/>
    <s v="WWCAST1_HR"/>
    <s v="644"/>
  </r>
  <r>
    <x v="0"/>
    <d v="2022-03-29T00:00:00"/>
    <x v="2"/>
    <s v="6020360"/>
    <s v="Employer cont pens p"/>
    <s v="MW09C21028"/>
    <s v="Segurança Industrial"/>
    <n v="2581.65"/>
    <s v="37NP/37W/Contribuição Inst.de Previdência"/>
    <x v="33"/>
    <s v=""/>
    <s v=""/>
    <s v=""/>
    <s v="4008177617"/>
    <s v="WWCAST1_HR"/>
    <s v="637"/>
  </r>
  <r>
    <x v="0"/>
    <d v="2022-03-29T00:00:00"/>
    <x v="2"/>
    <s v="6043100"/>
    <s v="Pay apprenticeship"/>
    <s v="MW09C21028"/>
    <s v="Segurança Industrial"/>
    <n v="2000"/>
    <s v="37OU/37W/Serviço de Estagiário-PF"/>
    <x v="33"/>
    <s v=""/>
    <s v=""/>
    <s v=""/>
    <s v="4008177617"/>
    <s v="WWCAST1_HR"/>
    <s v="359"/>
  </r>
  <r>
    <x v="0"/>
    <d v="2022-03-29T00:00:00"/>
    <x v="2"/>
    <s v="6042050"/>
    <s v="Rem. limited dur."/>
    <s v="MW09C21028"/>
    <s v="Segurança Industrial"/>
    <n v="1642.22"/>
    <s v="37NF/37W/Horas Extras"/>
    <x v="33"/>
    <s v=""/>
    <s v=""/>
    <s v=""/>
    <s v="4008177618"/>
    <s v="WWCAST1_HR"/>
    <s v="63"/>
  </r>
  <r>
    <x v="0"/>
    <d v="2022-03-29T00:00:00"/>
    <x v="2"/>
    <s v="6039300"/>
    <s v="Oth emp benefits"/>
    <s v="MW09C21028"/>
    <s v="Segurança Industrial"/>
    <n v="1341"/>
    <s v="37OR/37U/Outras Despesas Sociais"/>
    <x v="33"/>
    <s v=""/>
    <s v=""/>
    <s v=""/>
    <s v="4008177618"/>
    <s v="WWCAST1_HR"/>
    <s v="848"/>
  </r>
  <r>
    <x v="0"/>
    <d v="2022-03-29T00:00:00"/>
    <x v="2"/>
    <s v="6052340"/>
    <s v="Soc. security contr."/>
    <s v="MW09C21028"/>
    <s v="Segurança Industrial"/>
    <n v="1011.79"/>
    <s v="37NN/37W/Provisão Pagto Férias DL 1730/79"/>
    <x v="33"/>
    <s v=""/>
    <s v=""/>
    <s v=""/>
    <s v="4008177617"/>
    <s v="WWCAST1_HR"/>
    <s v="642"/>
  </r>
  <r>
    <x v="0"/>
    <d v="2022-03-29T00:00:00"/>
    <x v="2"/>
    <s v="6052340"/>
    <s v="Soc. security contr."/>
    <s v="MW09C21028"/>
    <s v="Segurança Industrial"/>
    <n v="909.82"/>
    <s v="37OF/37W/Desp.FGTS Diferença 10% C/Liminar"/>
    <x v="33"/>
    <s v=""/>
    <s v=""/>
    <s v=""/>
    <s v="4008177617"/>
    <s v="WWCAST1_HR"/>
    <s v="633"/>
  </r>
  <r>
    <x v="0"/>
    <d v="2022-03-29T00:00:00"/>
    <x v="2"/>
    <s v="6042100"/>
    <s v="RemTM yearly premium"/>
    <s v="MW09C21028"/>
    <s v="Segurança Industrial"/>
    <n v="784.71"/>
    <s v="37NI/37W/13º Salário"/>
    <x v="33"/>
    <s v=""/>
    <s v=""/>
    <s v=""/>
    <s v="4008177617"/>
    <s v="WWCAST1_HR"/>
    <s v="640"/>
  </r>
  <r>
    <x v="0"/>
    <d v="2022-03-29T00:00:00"/>
    <x v="2"/>
    <s v="6042050"/>
    <s v="Rem. limited dur."/>
    <s v="MW09C21028"/>
    <s v="Segurança Industrial"/>
    <n v="375.62"/>
    <s v="37NG/37W/Horas Extras Revezamento"/>
    <x v="33"/>
    <s v=""/>
    <s v=""/>
    <s v=""/>
    <s v="4008177618"/>
    <s v="WWCAST1_HR"/>
    <s v="65"/>
  </r>
  <r>
    <x v="0"/>
    <d v="2022-03-29T00:00:00"/>
    <x v="2"/>
    <s v="6052400"/>
    <s v="Soc Contr 'oth'"/>
    <s v="MW09C21028"/>
    <s v="Segurança Industrial"/>
    <n v="375.3"/>
    <s v="37NX/37W/Salário Educação LEI 4440/64"/>
    <x v="33"/>
    <s v=""/>
    <s v=""/>
    <s v=""/>
    <s v="4008177617"/>
    <s v="WWCAST1_HR"/>
    <s v="639"/>
  </r>
  <r>
    <x v="0"/>
    <d v="2022-03-29T00:00:00"/>
    <x v="2"/>
    <s v="6052340"/>
    <s v="Soc. security contr."/>
    <s v="MW09C21028"/>
    <s v="Segurança Industrial"/>
    <n v="371.66"/>
    <s v="37OD/37W/Provisão Encargos Sociais S/Férias DL 173"/>
    <x v="33"/>
    <s v=""/>
    <s v=""/>
    <s v=""/>
    <s v="4008177617"/>
    <s v="WWCAST1_HR"/>
    <s v="643"/>
  </r>
  <r>
    <x v="0"/>
    <d v="2022-03-29T00:00:00"/>
    <x v="2"/>
    <s v="6021130"/>
    <s v="Pay Ins Accid sal"/>
    <s v="MW09C21028"/>
    <s v="Segurança Industrial"/>
    <n v="336.96"/>
    <s v="37NY/37W/Seguro Contra Acidentes de Trabalho"/>
    <x v="33"/>
    <s v=""/>
    <s v=""/>
    <s v=""/>
    <s v="4008177617"/>
    <s v="WWCAST1_HR"/>
    <s v="638"/>
  </r>
  <r>
    <x v="0"/>
    <d v="2022-03-29T00:00:00"/>
    <x v="2"/>
    <s v="6052400"/>
    <s v="Soc Contr 'oth'"/>
    <s v="MW09C21028"/>
    <s v="Segurança Industrial"/>
    <n v="288.23"/>
    <s v="37PE/37W/Encargos sobre 13o salário"/>
    <x v="33"/>
    <s v=""/>
    <s v=""/>
    <s v=""/>
    <s v="4008177617"/>
    <s v="WWCAST1_HR"/>
    <s v="641"/>
  </r>
  <r>
    <x v="0"/>
    <d v="2022-03-29T00:00:00"/>
    <x v="2"/>
    <s v="6032730"/>
    <s v="Exp emp con-ded"/>
    <s v="MW09C21028"/>
    <s v="Segurança Industrial"/>
    <n v="96.4"/>
    <s v="37PA/37W/Contribuição a Previdencia Privada"/>
    <x v="33"/>
    <s v=""/>
    <s v=""/>
    <s v=""/>
    <s v="4008177617"/>
    <s v="WWCAST1_HR"/>
    <s v="635"/>
  </r>
  <r>
    <x v="0"/>
    <d v="2022-03-29T00:00:00"/>
    <x v="2"/>
    <s v="6031130"/>
    <s v="Group ins salaries"/>
    <s v="MW09C21028"/>
    <s v="Segurança Industrial"/>
    <n v="-26.35"/>
    <s v="37OG/37W/Seguro de Vida Acidentes Pessoais em Grup"/>
    <x v="34"/>
    <s v=""/>
    <s v=""/>
    <s v=""/>
    <s v="4008177617"/>
    <s v="WWCAST1_HR"/>
    <s v="634"/>
  </r>
  <r>
    <x v="0"/>
    <d v="2022-03-29T00:00:00"/>
    <x v="2"/>
    <s v="6021550"/>
    <s v="Health ben sal"/>
    <s v="MW09C21028"/>
    <s v="Segurança Industrial"/>
    <n v="-62.58"/>
    <s v="37OS/37W/Reembolso Co-Participação Assistência Méd"/>
    <x v="34"/>
    <s v=""/>
    <s v=""/>
    <s v=""/>
    <s v="4008177618"/>
    <s v="WWCAST1_HR"/>
    <s v="64"/>
  </r>
  <r>
    <x v="0"/>
    <d v="2022-03-29T00:00:00"/>
    <x v="2"/>
    <s v="6716000"/>
    <s v="Food f. Empl."/>
    <s v="MW09C21028"/>
    <s v="Segurança Industrial"/>
    <n v="-77.099999999999994"/>
    <s v="37OV/37W/Recuperação por Refeições Fornecidas"/>
    <x v="34"/>
    <s v=""/>
    <s v=""/>
    <s v=""/>
    <s v="4008177617"/>
    <s v="WWCAST1_HR"/>
    <s v="646"/>
  </r>
  <r>
    <x v="0"/>
    <d v="2022-03-29T00:00:00"/>
    <x v="2"/>
    <s v="6822300"/>
    <s v="Coll transp staff"/>
    <s v="MW09C21028"/>
    <s v="Segurança Industrial"/>
    <n v="-298.17"/>
    <s v="37OK/37W/Transportes Colaboradores PJ"/>
    <x v="34"/>
    <s v=""/>
    <s v=""/>
    <s v=""/>
    <s v="4008177617"/>
    <s v="WWCAST1_HR"/>
    <s v="636"/>
  </r>
  <r>
    <x v="0"/>
    <d v="2022-03-29T00:00:00"/>
    <x v="2"/>
    <s v="6021550"/>
    <s v="Health ben sal"/>
    <s v="MW09C21028"/>
    <s v="Segurança Industrial"/>
    <n v="-473.46"/>
    <s v="37OI/37U/Assistência Médica/Hospitalar PJ"/>
    <x v="34"/>
    <s v=""/>
    <s v=""/>
    <s v=""/>
    <s v="4008177618"/>
    <s v="WWCAST1_HR"/>
    <s v="849"/>
  </r>
  <r>
    <x v="0"/>
    <d v="2022-03-29T00:00:00"/>
    <x v="2"/>
    <s v="6031130"/>
    <s v="Group ins salaries"/>
    <s v="MW09C21028"/>
    <s v="Segurança Industrial"/>
    <n v="-536.45000000000005"/>
    <s v="37OG/37U/Seguro de Vida Acidentes Pessoais em Grup"/>
    <x v="34"/>
    <s v=""/>
    <s v=""/>
    <s v=""/>
    <s v="4008177618"/>
    <s v="WWCAST1_HR"/>
    <s v="830"/>
  </r>
  <r>
    <x v="0"/>
    <d v="2022-03-29T00:00:00"/>
    <x v="2"/>
    <s v="6021550"/>
    <s v="Health ben sal"/>
    <s v="MW09C21028"/>
    <s v="Segurança Industrial"/>
    <n v="-580.73"/>
    <s v="37OS/37U/Reembolso Co-Participação Assistência Méd"/>
    <x v="34"/>
    <s v=""/>
    <s v=""/>
    <s v=""/>
    <s v="4008177618"/>
    <s v="WWCAST1_HR"/>
    <s v="841"/>
  </r>
  <r>
    <x v="0"/>
    <d v="2022-03-29T00:00:00"/>
    <x v="2"/>
    <s v="6716000"/>
    <s v="Food f. Empl."/>
    <s v="MW09C21028"/>
    <s v="Segurança Industrial"/>
    <n v="-617.36"/>
    <s v="37OV/37U/Recuperação por Refeições Fornecidas"/>
    <x v="34"/>
    <s v=""/>
    <s v=""/>
    <s v=""/>
    <s v="4008177618"/>
    <s v="WWCAST1_HR"/>
    <s v="842"/>
  </r>
  <r>
    <x v="0"/>
    <d v="2022-03-29T00:00:00"/>
    <x v="2"/>
    <s v="6021550"/>
    <s v="Health ben sal"/>
    <s v="MW09C21028"/>
    <s v="Segurança Industrial"/>
    <n v="-759.22"/>
    <s v="37OJ/37U/Assistência Odontológica  -   Ativos"/>
    <x v="34"/>
    <s v=""/>
    <s v=""/>
    <s v=""/>
    <s v="4008177618"/>
    <s v="WWCAST1_HR"/>
    <s v="826"/>
  </r>
  <r>
    <x v="0"/>
    <d v="2022-03-29T00:00:00"/>
    <x v="2"/>
    <s v="6822300"/>
    <s v="Coll transp staff"/>
    <s v="MW09C21028"/>
    <s v="Segurança Industrial"/>
    <n v="-1110.82"/>
    <s v="37OK/37U/Transportes Colaboradores PJ"/>
    <x v="34"/>
    <s v=""/>
    <s v=""/>
    <s v=""/>
    <s v="4008177618"/>
    <s v="WWCAST1_HR"/>
    <s v="846"/>
  </r>
  <r>
    <x v="0"/>
    <d v="2022-03-30T00:00:00"/>
    <x v="2"/>
    <s v="8261000"/>
    <s v="FAM Settl Prim Mat"/>
    <s v="MW09C21028"/>
    <s v="Segurança Industrial"/>
    <n v="22413.53"/>
    <s v="CTR H353/MW09C21028"/>
    <x v="41"/>
    <s v="IE MW09C21028 SEG INDUSTRIAL - 2022"/>
    <s v=""/>
    <s v="Order"/>
    <s v="4600131265"/>
    <s v="SXFTM000"/>
    <s v="2"/>
  </r>
  <r>
    <x v="0"/>
    <d v="2022-03-30T00:00:00"/>
    <x v="2"/>
    <s v="8261000"/>
    <s v="FAM Settl Prim Mat"/>
    <s v="MW09C21028"/>
    <s v="Segurança Industrial"/>
    <n v="11040.79"/>
    <s v="CTR H353/MW09C21028"/>
    <x v="41"/>
    <s v="MAN 2021 REDE DE INCENDIO BR"/>
    <s v=""/>
    <s v="Order"/>
    <s v="4600131264"/>
    <s v="SXFTM000"/>
    <s v="2"/>
  </r>
  <r>
    <x v="0"/>
    <d v="2022-03-30T00:00:00"/>
    <x v="2"/>
    <s v="8262000"/>
    <s v="FAM Settl Serv (Ext)"/>
    <s v="MW09C21028"/>
    <s v="Segurança Industrial"/>
    <n v="4547.47"/>
    <s v="CTR H353/MW09C21028"/>
    <x v="41"/>
    <s v="MAN 2021 REDE DE INCENDIO BR"/>
    <s v=""/>
    <s v="Order"/>
    <s v="4600131264"/>
    <s v="SXFTM000"/>
    <s v="4"/>
  </r>
  <r>
    <x v="0"/>
    <d v="2022-03-30T00:00:00"/>
    <x v="2"/>
    <s v="6861900"/>
    <s v="Automobile insurance"/>
    <s v="MW09C21028"/>
    <s v="Segurança Industrial"/>
    <n v="2406.4699999999998"/>
    <s v="Apolice Frota Bayer 2022 3 12"/>
    <x v="42"/>
    <s v=""/>
    <s v=""/>
    <s v=""/>
    <s v="4008178222"/>
    <s v="GMDWF"/>
    <s v="52"/>
  </r>
  <r>
    <x v="0"/>
    <d v="2022-03-30T00:00:00"/>
    <x v="2"/>
    <s v="8261000"/>
    <s v="FAM Settl Prim Mat"/>
    <s v="MW09C21028"/>
    <s v="Segurança Industrial"/>
    <n v="1547.61"/>
    <s v="CTR H353/MW09C21028"/>
    <x v="41"/>
    <s v="IE SERV ELÉTRICA ADMINISTRATIVO 2022"/>
    <s v=""/>
    <s v="Order"/>
    <s v="4600130650"/>
    <s v="SXFTM000"/>
    <s v="4"/>
  </r>
  <r>
    <x v="0"/>
    <d v="2022-03-30T00:00:00"/>
    <x v="2"/>
    <s v="8261000"/>
    <s v="FAM Settl Prim Mat"/>
    <s v="MW09C21028"/>
    <s v="Segurança Industrial"/>
    <n v="1198.45"/>
    <s v="CTR H353/MW09C21028"/>
    <x v="41"/>
    <s v="IE SERV HIDRAULICA ADMINISTRATIVO 2022"/>
    <s v=""/>
    <s v="Order"/>
    <s v="4600130649"/>
    <s v="SXFTM000"/>
    <s v="10"/>
  </r>
  <r>
    <x v="0"/>
    <d v="2022-03-30T00:00:00"/>
    <x v="2"/>
    <s v="8262000"/>
    <s v="FAM Settl Serv (Ext)"/>
    <s v="MW09C21028"/>
    <s v="Segurança Industrial"/>
    <n v="1136.58"/>
    <s v="CTR H353/MW09C21028"/>
    <x v="41"/>
    <s v="MAN 2022 SÓ ACUMULADORES"/>
    <s v=""/>
    <s v="Order"/>
    <s v="4600131268"/>
    <s v="SXFTM000"/>
    <s v="4"/>
  </r>
  <r>
    <x v="0"/>
    <d v="2022-03-30T00:00:00"/>
    <x v="2"/>
    <s v="8262000"/>
    <s v="FAM Settl Serv (Ext)"/>
    <s v="MW09C21028"/>
    <s v="Segurança Industrial"/>
    <n v="978.27"/>
    <s v="CTR H353/MW09C21028"/>
    <x v="41"/>
    <s v="IE MW09C21028 SEG INDUSTRIAL - 2022"/>
    <s v=""/>
    <s v="Order"/>
    <s v="4600131265"/>
    <s v="SXFTM000"/>
    <s v="4"/>
  </r>
  <r>
    <x v="0"/>
    <d v="2022-03-30T00:00:00"/>
    <x v="2"/>
    <s v="6876000"/>
    <s v="Municip+regional tax"/>
    <s v="MW09C21028"/>
    <s v="Segurança Industrial"/>
    <n v="833.94"/>
    <s v="Seguranca Industrial"/>
    <x v="69"/>
    <s v=""/>
    <s v=""/>
    <s v=""/>
    <s v="4008179766"/>
    <s v="GMDWF"/>
    <s v="13"/>
  </r>
  <r>
    <x v="0"/>
    <d v="2022-03-30T00:00:00"/>
    <x v="2"/>
    <s v="8261000"/>
    <s v="FAM Settl Prim Mat"/>
    <s v="MW09C21028"/>
    <s v="Segurança Industrial"/>
    <n v="784.95"/>
    <s v="CTR H353/MW09C21028"/>
    <x v="41"/>
    <s v="Locação de plataforma 2022"/>
    <s v=""/>
    <s v="Order"/>
    <s v="4600130911"/>
    <s v="SXFTM000"/>
    <s v="6"/>
  </r>
  <r>
    <x v="0"/>
    <d v="2022-03-30T00:00:00"/>
    <x v="2"/>
    <s v="6324000"/>
    <s v="Working/safety cloth"/>
    <s v="MW09C21028"/>
    <s v="Segurança Industrial"/>
    <n v="691.35"/>
    <s v="Valor Working safety cloth ref  Docto Nr  279"/>
    <x v="70"/>
    <s v=""/>
    <s v="660428037"/>
    <s v=""/>
    <s v="4008179319"/>
    <s v="GMGNH"/>
    <s v="1"/>
  </r>
  <r>
    <x v="0"/>
    <d v="2022-03-30T00:00:00"/>
    <x v="2"/>
    <s v="6831400"/>
    <s v="Catering"/>
    <s v="MW09C21028"/>
    <s v="Segurança Industrial"/>
    <n v="682.52"/>
    <s v="Vr recup Serv Restaur Visitantes   Mar"/>
    <x v="15"/>
    <s v=""/>
    <s v=""/>
    <s v=""/>
    <s v="4008178977"/>
    <s v="GMDWF"/>
    <s v="17"/>
  </r>
  <r>
    <x v="0"/>
    <d v="2022-03-30T00:00:00"/>
    <x v="2"/>
    <s v="8261000"/>
    <s v="FAM Settl Prim Mat"/>
    <s v="MW09C21028"/>
    <s v="Segurança Industrial"/>
    <n v="542.03"/>
    <s v="CTR H353/MW09C21028"/>
    <x v="41"/>
    <s v="IE SERV MARCENARIA ADMINISTRATIVO 2022"/>
    <s v=""/>
    <s v="Order"/>
    <s v="4600130637"/>
    <s v="SXFTM000"/>
    <s v="8"/>
  </r>
  <r>
    <x v="0"/>
    <d v="2022-03-30T00:00:00"/>
    <x v="2"/>
    <s v="8261000"/>
    <s v="FAM Settl Prim Mat"/>
    <s v="MW09C21028"/>
    <s v="Segurança Industrial"/>
    <n v="329.17"/>
    <s v="CTR H353/MW09C21028"/>
    <x v="41"/>
    <s v="2021 SERVIÇOS DE LUBRIFICAÇÃO SEGURANÇA"/>
    <s v=""/>
    <s v="Order"/>
    <s v="4600131263"/>
    <s v="SXFTM000"/>
    <s v="2"/>
  </r>
  <r>
    <x v="0"/>
    <d v="2022-03-30T00:00:00"/>
    <x v="2"/>
    <s v="6711000"/>
    <s v="Security Service"/>
    <s v="MW09C21028"/>
    <s v="Segurança Industrial"/>
    <n v="320"/>
    <s v="Valor Security Service ref  Docto Nr  111726"/>
    <x v="29"/>
    <s v=""/>
    <s v="660440249"/>
    <s v=""/>
    <s v="4008179340"/>
    <s v="GMGNH"/>
    <s v="1"/>
  </r>
  <r>
    <x v="0"/>
    <d v="2022-03-30T00:00:00"/>
    <x v="2"/>
    <s v="6831400"/>
    <s v="Catering"/>
    <s v="MW09C21028"/>
    <s v="Segurança Industrial"/>
    <n v="272.16000000000003"/>
    <s v="Vr recup Refeicoes Estagiarios   Mar"/>
    <x v="15"/>
    <s v=""/>
    <s v=""/>
    <s v=""/>
    <s v="4008178977"/>
    <s v="GMDWF"/>
    <s v="33"/>
  </r>
  <r>
    <x v="0"/>
    <d v="2022-03-30T00:00:00"/>
    <x v="2"/>
    <s v="6861900"/>
    <s v="Automobile insurance"/>
    <s v="MW09C21028"/>
    <s v="Segurança Industrial"/>
    <n v="65.05"/>
    <s v="Apolice Sura Responsabilidade Civil 01 12   Jan"/>
    <x v="42"/>
    <s v=""/>
    <s v=""/>
    <s v=""/>
    <s v="4008178938"/>
    <s v="GMDWF"/>
    <s v="52"/>
  </r>
  <r>
    <x v="0"/>
    <d v="2022-03-30T00:00:00"/>
    <x v="2"/>
    <s v="6861900"/>
    <s v="Automobile insurance"/>
    <s v="MW09C21028"/>
    <s v="Segurança Industrial"/>
    <n v="65.05"/>
    <s v="Apolice Sura Responsabilidade Civil 02 12   Fev"/>
    <x v="42"/>
    <s v=""/>
    <s v=""/>
    <s v=""/>
    <s v="4008178939"/>
    <s v="GMDWF"/>
    <s v="52"/>
  </r>
  <r>
    <x v="0"/>
    <d v="2022-03-30T00:00:00"/>
    <x v="2"/>
    <s v="6861900"/>
    <s v="Automobile insurance"/>
    <s v="MW09C21028"/>
    <s v="Segurança Industrial"/>
    <n v="65.05"/>
    <s v="Apolice Sura Responsabilidade Civil 03 12   Mar"/>
    <x v="42"/>
    <s v=""/>
    <s v=""/>
    <s v=""/>
    <s v="4008178943"/>
    <s v="GMDWF"/>
    <s v="52"/>
  </r>
  <r>
    <x v="0"/>
    <d v="2022-03-30T00:00:00"/>
    <x v="2"/>
    <s v="6876000"/>
    <s v="Municip+regional tax"/>
    <s v="MW09C21028"/>
    <s v="Segurança Industrial"/>
    <n v="-8339.43"/>
    <s v="Seguranca Industrial"/>
    <x v="69"/>
    <s v=""/>
    <s v=""/>
    <s v=""/>
    <s v="4008179763"/>
    <s v="GMDWF"/>
    <s v="13"/>
  </r>
  <r>
    <x v="0"/>
    <d v="2022-03-31T00:00:00"/>
    <x v="2"/>
    <s v="6622400"/>
    <s v="Depr Infrastructure"/>
    <s v="MW09C21028"/>
    <s v="Segurança Industrial"/>
    <n v="50980.18"/>
    <s v="AFB30202200301 0000000021"/>
    <x v="35"/>
    <s v=""/>
    <s v=""/>
    <s v=""/>
    <s v="4008179888"/>
    <s v="SXFTMRB0"/>
    <s v="8"/>
  </r>
  <r>
    <x v="0"/>
    <d v="2022-03-31T00:00:00"/>
    <x v="2"/>
    <s v="6622000"/>
    <s v="Depr Buildings"/>
    <s v="MW09C21028"/>
    <s v="Segurança Industrial"/>
    <n v="28230.49"/>
    <s v="AFB30202200301 0000000020"/>
    <x v="36"/>
    <s v=""/>
    <s v=""/>
    <s v=""/>
    <s v="4008179887"/>
    <s v="SXFTMRB0"/>
    <s v="34"/>
  </r>
  <r>
    <x v="0"/>
    <d v="2022-03-31T00:00:00"/>
    <x v="2"/>
    <s v="6624010"/>
    <s v="Depr IT-Hardware"/>
    <s v="MW09C21028"/>
    <s v="Segurança Industrial"/>
    <n v="14459.13"/>
    <s v="AFB30202200301 0000000022"/>
    <x v="38"/>
    <s v=""/>
    <s v=""/>
    <s v=""/>
    <s v="4008179889"/>
    <s v="SXFTMRB0"/>
    <s v="39"/>
  </r>
  <r>
    <x v="0"/>
    <d v="2022-03-31T00:00:00"/>
    <x v="2"/>
    <s v="6624030"/>
    <s v="Depr Transp."/>
    <s v="MW09C21028"/>
    <s v="Segurança Industrial"/>
    <n v="13363.23"/>
    <s v="AFB30202200301 0000000023"/>
    <x v="61"/>
    <s v=""/>
    <s v=""/>
    <s v=""/>
    <s v="4008179890"/>
    <s v="SXFTMRB0"/>
    <s v="25"/>
  </r>
  <r>
    <x v="0"/>
    <d v="2022-03-31T00:00:00"/>
    <x v="2"/>
    <s v="6032003"/>
    <s v="Pension Accrual."/>
    <s v="MW09C21028"/>
    <s v="Segurança Industrial"/>
    <n v="1882.92"/>
    <s v="Prov Pension Ebit Effect BCS 2022 01"/>
    <x v="47"/>
    <s v=""/>
    <s v=""/>
    <s v=""/>
    <s v="4008181077"/>
    <s v="GMLHA"/>
    <s v="40"/>
  </r>
  <r>
    <x v="0"/>
    <d v="2022-03-31T00:00:00"/>
    <x v="2"/>
    <s v="6032003"/>
    <s v="Pension Accrual."/>
    <s v="MW09C21028"/>
    <s v="Segurança Industrial"/>
    <n v="1882.92"/>
    <s v="Prov Pension Ebit Effect BCS 2022 02"/>
    <x v="47"/>
    <s v=""/>
    <s v=""/>
    <s v=""/>
    <s v="4008181080"/>
    <s v="GMLHA"/>
    <s v="40"/>
  </r>
  <r>
    <x v="0"/>
    <d v="2022-03-31T00:00:00"/>
    <x v="2"/>
    <s v="6032003"/>
    <s v="Pension Accrual."/>
    <s v="MW09C21028"/>
    <s v="Segurança Industrial"/>
    <n v="1882.92"/>
    <s v="Prov Pension Ebit Effect BCS 2022 03"/>
    <x v="47"/>
    <s v=""/>
    <s v=""/>
    <s v=""/>
    <s v="4008181081"/>
    <s v="GMLHA"/>
    <s v="40"/>
  </r>
  <r>
    <x v="0"/>
    <d v="2022-03-31T00:00:00"/>
    <x v="2"/>
    <s v="6623000"/>
    <s v="Depr Mach/tech Prod"/>
    <s v="MW09C21028"/>
    <s v="Segurança Industrial"/>
    <n v="1793.54"/>
    <s v="AFB30202200301 0000000021"/>
    <x v="35"/>
    <s v=""/>
    <s v=""/>
    <s v=""/>
    <s v="4008179888"/>
    <s v="SXFTMRB0"/>
    <s v="52"/>
  </r>
  <r>
    <x v="0"/>
    <d v="2022-03-31T00:00:00"/>
    <x v="2"/>
    <s v="6032003"/>
    <s v="Pension Accrual."/>
    <s v="MW09C21028"/>
    <s v="Segurança Industrial"/>
    <n v="420.36"/>
    <s v="Prov OPEB Ebit Effect BCS 2022 03"/>
    <x v="48"/>
    <s v=""/>
    <s v=""/>
    <s v=""/>
    <s v="4008184543"/>
    <s v="GMLHA"/>
    <s v="1"/>
  </r>
  <r>
    <x v="0"/>
    <d v="2022-03-31T00:00:00"/>
    <x v="2"/>
    <s v="6624000"/>
    <s v="Depr F/Fix"/>
    <s v="MW09C21028"/>
    <s v="Segurança Industrial"/>
    <n v="152.9"/>
    <s v="AFB30202200301 0000000022"/>
    <x v="38"/>
    <s v=""/>
    <s v=""/>
    <s v=""/>
    <s v="4008179889"/>
    <s v="SXFTMRB0"/>
    <s v="8"/>
  </r>
  <r>
    <x v="0"/>
    <d v="2022-03-31T00:00:00"/>
    <x v="2"/>
    <s v="6032003"/>
    <s v="Pension Accrual."/>
    <s v="MW09C21028"/>
    <s v="Segurança Industrial"/>
    <n v="-1903.49"/>
    <s v="Prov Fundo de Pensao BCS 2022 02"/>
    <x v="47"/>
    <s v=""/>
    <s v=""/>
    <s v=""/>
    <s v="4008181033"/>
    <s v="GMLHA"/>
    <s v="17"/>
  </r>
  <r>
    <x v="0"/>
    <d v="2022-03-31T00:00:00"/>
    <x v="2"/>
    <s v="6032003"/>
    <s v="Pension Accrual."/>
    <s v="MW09C21028"/>
    <s v="Segurança Industrial"/>
    <n v="-1903.49"/>
    <s v="Prov Fundo de Pensao BCS 2022 01"/>
    <x v="47"/>
    <s v=""/>
    <s v=""/>
    <s v=""/>
    <s v="4008181034"/>
    <s v="GMLHA"/>
    <s v="17"/>
  </r>
  <r>
    <x v="0"/>
    <d v="2022-03-31T00:00:00"/>
    <x v="2"/>
    <s v="6879990"/>
    <s v="Other taxes"/>
    <s v="MW09C21028"/>
    <s v="Segurança Industrial"/>
    <n v="-5952.16"/>
    <s v="Credito de PIS e COFINS sobre a depreciacao MAR 20"/>
    <x v="49"/>
    <s v=""/>
    <s v=""/>
    <s v=""/>
    <s v="4008181090"/>
    <s v="GMGLN"/>
    <s v="39"/>
  </r>
  <r>
    <x v="0"/>
    <d v="2022-04-01T00:00:00"/>
    <x v="2"/>
    <s v="6021550"/>
    <s v="Health ben sal"/>
    <s v="MW09C21028"/>
    <s v="Segurança Industrial"/>
    <n v="84306.36"/>
    <s v="Lancamento Amil   Marco"/>
    <x v="44"/>
    <s v=""/>
    <s v=""/>
    <s v=""/>
    <s v="4008184553"/>
    <s v="GMDWF"/>
    <s v="318"/>
  </r>
  <r>
    <x v="0"/>
    <d v="2022-04-01T00:00:00"/>
    <x v="2"/>
    <s v="6831400"/>
    <s v="Catering"/>
    <s v="MW09C21028"/>
    <s v="Segurança Industrial"/>
    <n v="27396.53"/>
    <s v="Lancamento Ticket   Marco"/>
    <x v="44"/>
    <s v=""/>
    <s v=""/>
    <s v=""/>
    <s v="4008184553"/>
    <s v="GMDWF"/>
    <s v="643"/>
  </r>
  <r>
    <x v="0"/>
    <d v="2022-04-01T00:00:00"/>
    <x v="2"/>
    <s v="6121001"/>
    <s v="Electricity fix"/>
    <s v="MW09C21028"/>
    <s v="Segurança Industrial"/>
    <n v="21061.919999999998"/>
    <s v="MW4A010014MW09C21027 Energia Eletrica Fi"/>
    <x v="41"/>
    <s v="Alocações Periódicas"/>
    <s v=""/>
    <s v="Cost center"/>
    <s v="4400016501"/>
    <s v="SXFTMRB0"/>
    <s v="237"/>
  </r>
  <r>
    <x v="0"/>
    <d v="2022-04-01T00:00:00"/>
    <x v="3"/>
    <s v="6711000"/>
    <s v="Security Service"/>
    <s v="MW09C21028"/>
    <s v="Segurança Industrial"/>
    <n v="9380.1299999999992"/>
    <s v="Valor Security Service ref  Docto Nr  16725"/>
    <x v="19"/>
    <s v=""/>
    <s v="660435605"/>
    <s v=""/>
    <s v="4008185718"/>
    <s v="GNEPP"/>
    <s v="1"/>
  </r>
  <r>
    <x v="0"/>
    <d v="2022-04-01T00:00:00"/>
    <x v="2"/>
    <s v="6121000"/>
    <s v="Electricity var"/>
    <s v="MW09C21028"/>
    <s v="Segurança Industrial"/>
    <n v="2496.36"/>
    <s v="MW4A010010MW09C21027 Energia Eletrica Va"/>
    <x v="41"/>
    <s v="Alocações Periódicas"/>
    <s v=""/>
    <s v="Cost center"/>
    <s v="4400016501"/>
    <s v="SXFTMRB0"/>
    <s v="137"/>
  </r>
  <r>
    <x v="0"/>
    <d v="2022-04-01T00:00:00"/>
    <x v="2"/>
    <s v="6321000"/>
    <s v="General supplies"/>
    <s v="MW09C21028"/>
    <s v="Segurança Industrial"/>
    <n v="2148.6"/>
    <s v="MW4A010015MW09C21027 Energia Eletrica Fi"/>
    <x v="41"/>
    <s v="Alocações Periódicas"/>
    <s v=""/>
    <s v="Cost center"/>
    <s v="4400016501"/>
    <s v="SXFTMRB0"/>
    <s v="275"/>
  </r>
  <r>
    <x v="0"/>
    <d v="2022-04-01T00:00:00"/>
    <x v="2"/>
    <s v="6031130"/>
    <s v="Group ins salaries"/>
    <s v="MW09C21028"/>
    <s v="Segurança Industrial"/>
    <n v="1638.97"/>
    <s v="Lancamento Seguro de Vida   Marco"/>
    <x v="44"/>
    <s v=""/>
    <s v=""/>
    <s v=""/>
    <s v="4008184553"/>
    <s v="GMDWF"/>
    <s v="791"/>
  </r>
  <r>
    <x v="0"/>
    <d v="2022-04-01T00:00:00"/>
    <x v="2"/>
    <s v="6039300"/>
    <s v="Oth emp benefits"/>
    <s v="MW09C21028"/>
    <s v="Segurança Industrial"/>
    <n v="1318.61"/>
    <s v="Lancamento Outros Beneficios   Marco"/>
    <x v="44"/>
    <s v=""/>
    <s v=""/>
    <s v=""/>
    <s v="4008184553"/>
    <s v="GMDWF"/>
    <s v="134"/>
  </r>
  <r>
    <x v="0"/>
    <d v="2022-04-01T00:00:00"/>
    <x v="2"/>
    <s v="6021550"/>
    <s v="Health ben sal"/>
    <s v="MW09C21028"/>
    <s v="Segurança Industrial"/>
    <n v="1292.5999999999999"/>
    <s v="Lancamento Odontoprev   Marco"/>
    <x v="44"/>
    <s v=""/>
    <s v=""/>
    <s v=""/>
    <s v="4008184553"/>
    <s v="GMDWF"/>
    <s v="505"/>
  </r>
  <r>
    <x v="0"/>
    <d v="2022-04-01T00:00:00"/>
    <x v="2"/>
    <s v="6109990"/>
    <s v="Water - Other"/>
    <s v="MW09C21028"/>
    <s v="Segurança Industrial"/>
    <n v="1173.8499999999999"/>
    <s v="MW4A010009MW09C21027 Ág. Potavel"/>
    <x v="41"/>
    <s v="Alocações Periódicas"/>
    <s v=""/>
    <s v="Cost center"/>
    <s v="4400016501"/>
    <s v="SXFTMRB0"/>
    <s v="81"/>
  </r>
  <r>
    <x v="0"/>
    <d v="2022-04-01T00:00:00"/>
    <x v="3"/>
    <s v="6340000"/>
    <s v="IT - office supplies"/>
    <s v="MW09C21028"/>
    <s v="Segurança Industrial"/>
    <n v="1000"/>
    <s v="BFR - Reembolso Ergonomia/09598445/D0C0EF3B0D5947E"/>
    <x v="71"/>
    <s v=""/>
    <s v=""/>
    <s v=""/>
    <s v="4008184596"/>
    <s v="SXIDOCXI"/>
    <s v="1"/>
  </r>
  <r>
    <x v="0"/>
    <d v="2022-04-01T00:00:00"/>
    <x v="2"/>
    <s v="6101000"/>
    <s v="Water var"/>
    <s v="MW09C21028"/>
    <s v="Segurança Industrial"/>
    <n v="-2450.7800000000002"/>
    <s v="MW4A010008MW09C21027 Ág. Processo"/>
    <x v="41"/>
    <s v="Alocações Periódicas"/>
    <s v=""/>
    <s v="Cost center"/>
    <s v="4400016501"/>
    <s v="SXFTMRB0"/>
    <s v="37"/>
  </r>
  <r>
    <x v="0"/>
    <d v="2022-04-01T00:00:00"/>
    <x v="2"/>
    <s v="7711010"/>
    <s v="Security Service ASS"/>
    <s v="MW09C21028"/>
    <s v="Segurança Industrial"/>
    <n v="-1101575.49"/>
    <s v="MW5B02_017MW09C21028"/>
    <x v="41"/>
    <s v="Prédio 6201"/>
    <s v=""/>
    <s v="Cost center"/>
    <s v="4400016601"/>
    <s v="SXFTMRB0"/>
    <s v="298"/>
  </r>
  <r>
    <x v="0"/>
    <d v="2022-04-06T00:00:00"/>
    <x v="3"/>
    <s v="6876000"/>
    <s v="Municip+regional tax"/>
    <s v="MW09C21028"/>
    <s v="Segurança Industrial"/>
    <n v="833.94"/>
    <s v="Seguranca Industrial"/>
    <x v="69"/>
    <s v=""/>
    <s v=""/>
    <s v=""/>
    <s v="4008191987"/>
    <s v="GMDWF"/>
    <s v="13"/>
  </r>
  <r>
    <x v="0"/>
    <d v="2022-04-07T00:00:00"/>
    <x v="3"/>
    <s v="6200000"/>
    <s v="Maint &amp; Leg/Co.Compl"/>
    <s v="MW09C21028"/>
    <s v="Segurança Industrial"/>
    <n v="10626.95"/>
    <s v="M-0805 CABO OPTICO DE 6 VIAS"/>
    <x v="32"/>
    <s v=""/>
    <s v="614456068"/>
    <s v=""/>
    <s v="4008193333"/>
    <s v="BRMNJ"/>
    <s v="8"/>
  </r>
  <r>
    <x v="0"/>
    <d v="2022-04-07T00:00:00"/>
    <x v="3"/>
    <s v="6200000"/>
    <s v="Maint &amp; Leg/Co.Compl"/>
    <s v="MW09C21028"/>
    <s v="Segurança Industrial"/>
    <n v="2319.7399999999998"/>
    <s v="M-0318 EXTENSÃO OPTICA"/>
    <x v="32"/>
    <s v=""/>
    <s v="614456068"/>
    <s v=""/>
    <s v="4008193333"/>
    <s v="BRMNJ"/>
    <s v="3"/>
  </r>
  <r>
    <x v="0"/>
    <d v="2022-04-07T00:00:00"/>
    <x v="3"/>
    <s v="6200000"/>
    <s v="Maint &amp; Leg/Co.Compl"/>
    <s v="MW09C21028"/>
    <s v="Segurança Industrial"/>
    <n v="1332.72"/>
    <s v="M-0220 CORDAO OPTICO DUPLEX"/>
    <x v="32"/>
    <s v=""/>
    <s v="614456068"/>
    <s v=""/>
    <s v="4008193333"/>
    <s v="BRMNJ"/>
    <s v="2"/>
  </r>
  <r>
    <x v="0"/>
    <d v="2022-04-07T00:00:00"/>
    <x v="3"/>
    <s v="6200000"/>
    <s v="Maint &amp; Leg/Co.Compl"/>
    <s v="MW09C21028"/>
    <s v="Segurança Industrial"/>
    <n v="214.28"/>
    <s v="M-0324 FITA FLEXIVEL"/>
    <x v="32"/>
    <s v=""/>
    <s v="614456068"/>
    <s v=""/>
    <s v="4008193333"/>
    <s v="BRMNJ"/>
    <s v="4"/>
  </r>
  <r>
    <x v="0"/>
    <d v="2022-04-07T00:00:00"/>
    <x v="3"/>
    <s v="6200000"/>
    <s v="Maint &amp; Leg/Co.Compl"/>
    <s v="MW09C21028"/>
    <s v="Segurança Industrial"/>
    <n v="74.92"/>
    <s v="M-0407 PROTETOR DE EMENDA OPTICA"/>
    <x v="32"/>
    <s v=""/>
    <s v="614456068"/>
    <s v=""/>
    <s v="4008193333"/>
    <s v="BRMNJ"/>
    <s v="7"/>
  </r>
  <r>
    <x v="0"/>
    <d v="2022-04-07T00:00:00"/>
    <x v="3"/>
    <s v="6200000"/>
    <s v="Maint &amp; Leg/Co.Compl"/>
    <s v="MW09C21028"/>
    <s v="Segurança Industrial"/>
    <n v="68.069999999999993"/>
    <s v="M-0392 PLAQUETA DE ACRILICO"/>
    <x v="32"/>
    <s v=""/>
    <s v="614456068"/>
    <s v=""/>
    <s v="4008193333"/>
    <s v="BRMNJ"/>
    <s v="6"/>
  </r>
  <r>
    <x v="0"/>
    <d v="2022-04-07T00:00:00"/>
    <x v="3"/>
    <s v="6200000"/>
    <s v="Maint &amp; Leg/Co.Compl"/>
    <s v="MW09C21028"/>
    <s v="Segurança Industrial"/>
    <n v="34.89"/>
    <s v="M-0325 FITA ISOLANTE"/>
    <x v="32"/>
    <s v=""/>
    <s v="614456068"/>
    <s v=""/>
    <s v="4008193333"/>
    <s v="BRMNJ"/>
    <s v="5"/>
  </r>
  <r>
    <x v="0"/>
    <d v="2022-04-07T00:00:00"/>
    <x v="3"/>
    <s v="6200000"/>
    <s v="Maint &amp; Leg/Co.Compl"/>
    <s v="MW09C21028"/>
    <s v="Segurança Industrial"/>
    <n v="8.64"/>
    <s v="M-0002 ABRAÇADEIRA PLASTICA"/>
    <x v="32"/>
    <s v=""/>
    <s v="614456068"/>
    <s v=""/>
    <s v="4008193333"/>
    <s v="BRMNJ"/>
    <s v="1"/>
  </r>
  <r>
    <x v="0"/>
    <d v="2022-04-11T00:00:00"/>
    <x v="3"/>
    <s v="6542000"/>
    <s v="Environmental serv"/>
    <s v="MW09C21028"/>
    <s v="Segurança Industrial"/>
    <n v="4780.07"/>
    <s v="Valor Environmental serv ref  Docto Nr  395"/>
    <x v="0"/>
    <s v=""/>
    <s v="660452561"/>
    <s v=""/>
    <s v="4008195986"/>
    <s v="GNEPP"/>
    <s v="1"/>
  </r>
  <r>
    <x v="0"/>
    <d v="2022-04-11T00:00:00"/>
    <x v="3"/>
    <s v="6340000"/>
    <s v="IT - office supplies"/>
    <s v="MW09C21028"/>
    <s v="Segurança Industrial"/>
    <n v="2326.25"/>
    <s v="LOC REPETIDORA MOTOROLA MTS3 C/ LINK"/>
    <x v="62"/>
    <s v=""/>
    <s v="660450009"/>
    <s v=""/>
    <s v="4008195991"/>
    <s v="GNEPP"/>
    <s v="1"/>
  </r>
  <r>
    <x v="0"/>
    <d v="2022-04-11T00:00:00"/>
    <x v="3"/>
    <s v="6324000"/>
    <s v="Working/safety cloth"/>
    <s v="MW09C21028"/>
    <s v="Segurança Industrial"/>
    <n v="469.28"/>
    <s v="Valor Working safety cloth ref  Docto Nr  286"/>
    <x v="70"/>
    <s v=""/>
    <s v="660444182"/>
    <s v=""/>
    <s v="4008195701"/>
    <s v="GNEPP"/>
    <s v="1"/>
  </r>
  <r>
    <x v="0"/>
    <d v="2022-04-11T00:00:00"/>
    <x v="3"/>
    <s v="6200000"/>
    <s v="Maint &amp; Leg/Co.Compl"/>
    <s v="MW09C21028"/>
    <s v="Segurança Industrial"/>
    <n v="-2.64"/>
    <s v="Valor do documento Nr  2376 1"/>
    <x v="32"/>
    <s v=""/>
    <s v="614456068"/>
    <s v=""/>
    <s v="4008195601"/>
    <s v="GMGNT"/>
    <s v="1"/>
  </r>
  <r>
    <x v="0"/>
    <d v="2022-04-11T00:00:00"/>
    <x v="3"/>
    <s v="6200000"/>
    <s v="Maint &amp; Leg/Co.Compl"/>
    <s v="MW09C21028"/>
    <s v="Segurança Industrial"/>
    <n v="-6.46"/>
    <s v="Valor do documento Nr  2376 1"/>
    <x v="32"/>
    <s v=""/>
    <s v="614456068"/>
    <s v=""/>
    <s v="4008195601"/>
    <s v="GMGNT"/>
    <s v="5"/>
  </r>
  <r>
    <x v="0"/>
    <d v="2022-04-11T00:00:00"/>
    <x v="3"/>
    <s v="6200000"/>
    <s v="Maint &amp; Leg/Co.Compl"/>
    <s v="MW09C21028"/>
    <s v="Segurança Industrial"/>
    <n v="-20.82"/>
    <s v="Valor do documento Nr  2376 1"/>
    <x v="32"/>
    <s v=""/>
    <s v="614456068"/>
    <s v=""/>
    <s v="4008195601"/>
    <s v="GMGNT"/>
    <s v="6"/>
  </r>
  <r>
    <x v="0"/>
    <d v="2022-04-11T00:00:00"/>
    <x v="3"/>
    <s v="6200000"/>
    <s v="Maint &amp; Leg/Co.Compl"/>
    <s v="MW09C21028"/>
    <s v="Segurança Industrial"/>
    <n v="-22.92"/>
    <s v="Valor do documento Nr  2376 1"/>
    <x v="32"/>
    <s v=""/>
    <s v="614456068"/>
    <s v=""/>
    <s v="4008195601"/>
    <s v="GMGNT"/>
    <s v="7"/>
  </r>
  <r>
    <x v="0"/>
    <d v="2022-04-11T00:00:00"/>
    <x v="3"/>
    <s v="6200000"/>
    <s v="Maint &amp; Leg/Co.Compl"/>
    <s v="MW09C21028"/>
    <s v="Segurança Industrial"/>
    <n v="-25.71"/>
    <s v="Valor do documento Nr  2376 1"/>
    <x v="32"/>
    <s v=""/>
    <s v="614456068"/>
    <s v=""/>
    <s v="4008195601"/>
    <s v="GMGNT"/>
    <s v="4"/>
  </r>
  <r>
    <x v="0"/>
    <d v="2022-04-11T00:00:00"/>
    <x v="3"/>
    <s v="6200000"/>
    <s v="Maint &amp; Leg/Co.Compl"/>
    <s v="MW09C21028"/>
    <s v="Segurança Industrial"/>
    <n v="-407.76"/>
    <s v="Valor do documento Nr  2376 1"/>
    <x v="32"/>
    <s v=""/>
    <s v="614456068"/>
    <s v=""/>
    <s v="4008195601"/>
    <s v="GMGNT"/>
    <s v="2"/>
  </r>
  <r>
    <x v="0"/>
    <d v="2022-04-11T00:00:00"/>
    <x v="3"/>
    <s v="6200000"/>
    <s v="Maint &amp; Leg/Co.Compl"/>
    <s v="MW09C21028"/>
    <s v="Segurança Industrial"/>
    <n v="-709.74"/>
    <s v="Valor do documento Nr  2376 1"/>
    <x v="32"/>
    <s v=""/>
    <s v="614456068"/>
    <s v=""/>
    <s v="4008195601"/>
    <s v="GMGNT"/>
    <s v="3"/>
  </r>
  <r>
    <x v="0"/>
    <d v="2022-04-11T00:00:00"/>
    <x v="3"/>
    <s v="6200000"/>
    <s v="Maint &amp; Leg/Co.Compl"/>
    <s v="MW09C21028"/>
    <s v="Segurança Industrial"/>
    <n v="-1967.95"/>
    <s v="Valor do documento Nr  2376 1"/>
    <x v="32"/>
    <s v=""/>
    <s v="614456068"/>
    <s v=""/>
    <s v="4008195601"/>
    <s v="GMGNT"/>
    <s v="8"/>
  </r>
  <r>
    <x v="0"/>
    <d v="2022-04-12T00:00:00"/>
    <x v="3"/>
    <s v="6726000"/>
    <s v="Industry cleaning"/>
    <s v="MW09C21028"/>
    <s v="Segurança Industrial"/>
    <n v="1550"/>
    <s v="Valor Industry cleaning ref  Docto Nr  14967"/>
    <x v="28"/>
    <s v=""/>
    <s v="660449326"/>
    <s v=""/>
    <s v="4008197775"/>
    <s v="GNEPP"/>
    <s v="4"/>
  </r>
  <r>
    <x v="0"/>
    <d v="2022-04-12T00:00:00"/>
    <x v="3"/>
    <s v="6629004"/>
    <s v="LVA Tangible Exp"/>
    <s v="MW09C21028"/>
    <s v="Segurança Industrial"/>
    <n v="438.9"/>
    <s v="Valor LVA Tangible Exp ref  Docto Nr  1927"/>
    <x v="5"/>
    <s v=""/>
    <s v="660452569"/>
    <s v=""/>
    <s v="4008197787"/>
    <s v="GNEPP"/>
    <s v="1"/>
  </r>
  <r>
    <x v="0"/>
    <d v="2022-04-12T00:00:00"/>
    <x v="3"/>
    <s v="6726000"/>
    <s v="Industry cleaning"/>
    <s v="MW09C21028"/>
    <s v="Segurança Industrial"/>
    <n v="159.6"/>
    <s v="Valor Industry cleaning ref  Docto Nr  14967"/>
    <x v="28"/>
    <s v=""/>
    <s v="660449326"/>
    <s v=""/>
    <s v="4008197775"/>
    <s v="GNEPP"/>
    <s v="1"/>
  </r>
  <r>
    <x v="0"/>
    <d v="2022-04-12T00:00:00"/>
    <x v="3"/>
    <s v="6280000"/>
    <s v="Technic. spare parts"/>
    <s v="MW09C21028"/>
    <s v="Segurança Industrial"/>
    <n v="55"/>
    <s v="Saida de Material por Consumo"/>
    <x v="8"/>
    <s v=""/>
    <s v=""/>
    <s v=""/>
    <s v="4008197718"/>
    <s v="ERUCD"/>
    <s v="1"/>
  </r>
  <r>
    <x v="0"/>
    <d v="2022-04-14T00:00:00"/>
    <x v="3"/>
    <s v="6711000"/>
    <s v="Security Service"/>
    <s v="MW09C21028"/>
    <s v="Segurança Industrial"/>
    <n v="9557.0499999999993"/>
    <s v="Valor Security Service ref  Docto Nr  413"/>
    <x v="11"/>
    <s v=""/>
    <s v="660452560"/>
    <s v=""/>
    <s v="4008199345"/>
    <s v="GNEPP"/>
    <s v="1"/>
  </r>
  <r>
    <x v="0"/>
    <d v="2022-04-14T00:00:00"/>
    <x v="3"/>
    <s v="6711000"/>
    <s v="Security Service"/>
    <s v="MW09C21028"/>
    <s v="Segurança Industrial"/>
    <n v="9557.0499999999993"/>
    <s v="Valor Security Service ref  Docto Nr  414"/>
    <x v="11"/>
    <s v=""/>
    <s v="660444383"/>
    <s v=""/>
    <s v="4008199346"/>
    <s v="GNEPP"/>
    <s v="1"/>
  </r>
  <r>
    <x v="0"/>
    <d v="2022-04-14T00:00:00"/>
    <x v="3"/>
    <s v="6719990"/>
    <s v="Other site services"/>
    <s v="MW09C21028"/>
    <s v="Segurança Industrial"/>
    <n v="8135.89"/>
    <s v="Locação Uniformes e Toalhas"/>
    <x v="2"/>
    <s v=""/>
    <s v="660452451"/>
    <s v=""/>
    <s v="4008199638"/>
    <s v="GNEPP"/>
    <s v="2"/>
  </r>
  <r>
    <x v="0"/>
    <d v="2022-04-14T00:00:00"/>
    <x v="3"/>
    <s v="6719990"/>
    <s v="Other site services"/>
    <s v="MW09C21028"/>
    <s v="Segurança Industrial"/>
    <n v="3483.6"/>
    <s v="Valor Other site services ref  Docto Nr  21877"/>
    <x v="2"/>
    <s v=""/>
    <s v="660452510"/>
    <s v=""/>
    <s v="4008199384"/>
    <s v="GNEPP"/>
    <s v="2"/>
  </r>
  <r>
    <x v="0"/>
    <d v="2022-04-15T00:00:00"/>
    <x v="3"/>
    <s v="6829990"/>
    <s v="Other travel cost"/>
    <s v="MW09C21028"/>
    <s v="Segurança Industrial"/>
    <n v="645.44000000000005"/>
    <s v="Abastecimento Veículo Emergencial Segurança Indust"/>
    <x v="23"/>
    <s v=""/>
    <s v=""/>
    <s v=""/>
    <s v="4008200339"/>
    <s v="SXIDOCXI"/>
    <s v="1"/>
  </r>
  <r>
    <x v="0"/>
    <d v="2022-04-15T00:00:00"/>
    <x v="3"/>
    <s v="6829990"/>
    <s v="Other travel cost"/>
    <s v="MW09C21028"/>
    <s v="Segurança Industrial"/>
    <n v="610.03"/>
    <s v="Abastecimento Veículo Emergencial Segurança Indust"/>
    <x v="52"/>
    <s v=""/>
    <s v=""/>
    <s v=""/>
    <s v="4008200337"/>
    <s v="SXIDOCXI"/>
    <s v="1"/>
  </r>
  <r>
    <x v="0"/>
    <d v="2022-04-15T00:00:00"/>
    <x v="3"/>
    <s v="6829990"/>
    <s v="Other travel cost"/>
    <s v="MW09C21028"/>
    <s v="Segurança Industrial"/>
    <n v="484.07"/>
    <s v="Missão Executiva/06168407/7D86FB20A21E40058752/RDV"/>
    <x v="22"/>
    <s v=""/>
    <s v=""/>
    <s v=""/>
    <s v="4008200341"/>
    <s v="SXIDOCXI"/>
    <s v="7"/>
  </r>
  <r>
    <x v="0"/>
    <d v="2022-04-15T00:00:00"/>
    <x v="3"/>
    <s v="6829990"/>
    <s v="Other travel cost"/>
    <s v="MW09C21028"/>
    <s v="Segurança Industrial"/>
    <n v="464.19"/>
    <s v="Abastecimento Veículo Emergencial Segurança Indust"/>
    <x v="22"/>
    <s v=""/>
    <s v=""/>
    <s v=""/>
    <s v="4008200341"/>
    <s v="SXIDOCXI"/>
    <s v="1"/>
  </r>
  <r>
    <x v="0"/>
    <d v="2022-04-15T00:00:00"/>
    <x v="3"/>
    <s v="6829990"/>
    <s v="Other travel cost"/>
    <s v="MW09C21028"/>
    <s v="Segurança Industrial"/>
    <n v="335.6"/>
    <s v="Abastecimento Veículo Frota Bayer/06168350/490B70D"/>
    <x v="24"/>
    <s v=""/>
    <s v=""/>
    <s v=""/>
    <s v="4008200340"/>
    <s v="SXIDOCXI"/>
    <s v="2"/>
  </r>
  <r>
    <x v="0"/>
    <d v="2022-04-15T00:00:00"/>
    <x v="3"/>
    <s v="6829990"/>
    <s v="Other travel cost"/>
    <s v="MW09C21028"/>
    <s v="Segurança Industrial"/>
    <n v="330"/>
    <s v="Abastecimento Veículo Emergencial Segurança Indust"/>
    <x v="24"/>
    <s v=""/>
    <s v=""/>
    <s v=""/>
    <s v="4008200340"/>
    <s v="SXIDOCXI"/>
    <s v="1"/>
  </r>
  <r>
    <x v="0"/>
    <d v="2022-04-15T00:00:00"/>
    <x v="3"/>
    <s v="6829990"/>
    <s v="Other travel cost"/>
    <s v="MW09C21028"/>
    <s v="Segurança Industrial"/>
    <n v="250"/>
    <s v="Retirada de Cães Complexo Industrial Belford Roxo/"/>
    <x v="23"/>
    <s v=""/>
    <s v=""/>
    <s v=""/>
    <s v="4008200339"/>
    <s v="SXIDOCXI"/>
    <s v="5"/>
  </r>
  <r>
    <x v="0"/>
    <d v="2022-04-15T00:00:00"/>
    <x v="3"/>
    <s v="6829990"/>
    <s v="Other travel cost"/>
    <s v="MW09C21028"/>
    <s v="Segurança Industrial"/>
    <n v="240"/>
    <s v="Manutenção Veículo Emergencial Segurança Industria"/>
    <x v="22"/>
    <s v=""/>
    <s v=""/>
    <s v=""/>
    <s v="4008200341"/>
    <s v="SXIDOCXI"/>
    <s v="3"/>
  </r>
  <r>
    <x v="0"/>
    <d v="2022-04-15T00:00:00"/>
    <x v="3"/>
    <s v="6829990"/>
    <s v="Other travel cost"/>
    <s v="MW09C21028"/>
    <s v="Segurança Industrial"/>
    <n v="230.3"/>
    <s v="Utilização Veículo Executivo Segurança Industrial/"/>
    <x v="23"/>
    <s v=""/>
    <s v=""/>
    <s v=""/>
    <s v="4008200339"/>
    <s v="SXIDOCXI"/>
    <s v="6"/>
  </r>
  <r>
    <x v="0"/>
    <d v="2022-04-15T00:00:00"/>
    <x v="3"/>
    <s v="6829990"/>
    <s v="Other travel cost"/>
    <s v="MW09C21028"/>
    <s v="Segurança Industrial"/>
    <n v="223.88"/>
    <s v="Missão Executiva/06168326/BAC429038BDE44EAA85F/RDV"/>
    <x v="23"/>
    <s v=""/>
    <s v=""/>
    <s v=""/>
    <s v="4008200339"/>
    <s v="SXIDOCXI"/>
    <s v="4"/>
  </r>
  <r>
    <x v="0"/>
    <d v="2022-04-15T00:00:00"/>
    <x v="3"/>
    <s v="6822200"/>
    <s v="Milage allowance"/>
    <s v="MW09C21028"/>
    <s v="Segurança Industrial"/>
    <n v="201.6"/>
    <s v="Utilização de Veículo Particular/06164223/65C53E30"/>
    <x v="25"/>
    <s v=""/>
    <s v=""/>
    <s v=""/>
    <s v="4008200336"/>
    <s v="SXIDOCXI"/>
    <s v="1"/>
  </r>
  <r>
    <x v="0"/>
    <d v="2022-04-15T00:00:00"/>
    <x v="3"/>
    <s v="6822200"/>
    <s v="Milage allowance"/>
    <s v="MW09C21028"/>
    <s v="Segurança Industrial"/>
    <n v="144"/>
    <s v="Utilização de Veículo Particular/08547685/7DBDB66A"/>
    <x v="21"/>
    <s v=""/>
    <s v=""/>
    <s v=""/>
    <s v="4008200365"/>
    <s v="SXIDOCXI"/>
    <s v="1"/>
  </r>
  <r>
    <x v="0"/>
    <d v="2022-04-15T00:00:00"/>
    <x v="3"/>
    <s v="6829990"/>
    <s v="Other travel cost"/>
    <s v="MW09C21028"/>
    <s v="Segurança Industrial"/>
    <n v="140.21"/>
    <s v="Abastecimento Veículo Executivo Segurança Industri"/>
    <x v="22"/>
    <s v=""/>
    <s v=""/>
    <s v=""/>
    <s v="4008200341"/>
    <s v="SXIDOCXI"/>
    <s v="2"/>
  </r>
  <r>
    <x v="0"/>
    <d v="2022-04-15T00:00:00"/>
    <x v="3"/>
    <s v="6829990"/>
    <s v="Other travel cost"/>
    <s v="MW09C21028"/>
    <s v="Segurança Industrial"/>
    <n v="132.80000000000001"/>
    <s v="Material de Limpeza Veículos Emergenciais Seguranç"/>
    <x v="22"/>
    <s v=""/>
    <s v=""/>
    <s v=""/>
    <s v="4008200341"/>
    <s v="SXIDOCXI"/>
    <s v="5"/>
  </r>
  <r>
    <x v="0"/>
    <d v="2022-04-15T00:00:00"/>
    <x v="3"/>
    <s v="6822200"/>
    <s v="Milage allowance"/>
    <s v="MW09C21028"/>
    <s v="Segurança Industrial"/>
    <n v="104.4"/>
    <s v="Utilização de Veículo Particular/06165408/FA3BA10F"/>
    <x v="72"/>
    <s v=""/>
    <s v=""/>
    <s v=""/>
    <s v="4008200338"/>
    <s v="SXIDOCXI"/>
    <s v="1"/>
  </r>
  <r>
    <x v="0"/>
    <d v="2022-04-15T00:00:00"/>
    <x v="3"/>
    <s v="6829990"/>
    <s v="Other travel cost"/>
    <s v="MW09C21028"/>
    <s v="Segurança Industrial"/>
    <n v="71.8"/>
    <s v="calçado/07277021/FD4996726F644EC99696/Sapatos/Regi"/>
    <x v="73"/>
    <s v=""/>
    <s v=""/>
    <s v=""/>
    <s v="4008200354"/>
    <s v="SXIDOCXI"/>
    <s v="1"/>
  </r>
  <r>
    <x v="0"/>
    <d v="2022-04-15T00:00:00"/>
    <x v="3"/>
    <s v="6829990"/>
    <s v="Other travel cost"/>
    <s v="MW09C21028"/>
    <s v="Segurança Industrial"/>
    <n v="70"/>
    <s v="Manutenção Veículo Executivo Segurança Industrial/"/>
    <x v="22"/>
    <s v=""/>
    <s v=""/>
    <s v=""/>
    <s v="4008200341"/>
    <s v="SXIDOCXI"/>
    <s v="4"/>
  </r>
  <r>
    <x v="0"/>
    <d v="2022-04-15T00:00:00"/>
    <x v="3"/>
    <s v="6829990"/>
    <s v="Other travel cost"/>
    <s v="MW09C21028"/>
    <s v="Segurança Industrial"/>
    <n v="60.23"/>
    <s v="Material para Segurança Industrial/06168407/7D86FB"/>
    <x v="22"/>
    <s v=""/>
    <s v=""/>
    <s v=""/>
    <s v="4008200341"/>
    <s v="SXIDOCXI"/>
    <s v="6"/>
  </r>
  <r>
    <x v="0"/>
    <d v="2022-04-15T00:00:00"/>
    <x v="3"/>
    <s v="6829990"/>
    <s v="Other travel cost"/>
    <s v="MW09C21028"/>
    <s v="Segurança Industrial"/>
    <n v="38.4"/>
    <s v="Utilização Veículo Executivo Segurança Industrial/"/>
    <x v="22"/>
    <s v=""/>
    <s v=""/>
    <s v=""/>
    <s v="4008200341"/>
    <s v="SXIDOCXI"/>
    <s v="8"/>
  </r>
  <r>
    <x v="0"/>
    <d v="2022-04-15T00:00:00"/>
    <x v="3"/>
    <s v="6822200"/>
    <s v="Milage allowance"/>
    <s v="MW09C21028"/>
    <s v="Segurança Industrial"/>
    <n v="23.4"/>
    <s v="Utilização de Veículo Particular/09695459/FFF0638C"/>
    <x v="54"/>
    <s v=""/>
    <s v=""/>
    <s v=""/>
    <s v="4008200379"/>
    <s v="SXIDOCXI"/>
    <s v="1"/>
  </r>
  <r>
    <x v="0"/>
    <d v="2022-04-15T00:00:00"/>
    <x v="3"/>
    <s v="6829990"/>
    <s v="Other travel cost"/>
    <s v="MW09C21028"/>
    <s v="Segurança Industrial"/>
    <n v="18.899999999999999"/>
    <s v="Material Escritório/06168350/490B70D1F5204216A838/"/>
    <x v="24"/>
    <s v=""/>
    <s v=""/>
    <s v=""/>
    <s v="4008200340"/>
    <s v="SXIDOCXI"/>
    <s v="3"/>
  </r>
  <r>
    <x v="0"/>
    <d v="2022-04-15T00:00:00"/>
    <x v="3"/>
    <s v="6829990"/>
    <s v="Other travel cost"/>
    <s v="MW09C21028"/>
    <s v="Segurança Industrial"/>
    <n v="10"/>
    <s v="Manutenção Veículo Frota Bayer/06168326/BAC429038B"/>
    <x v="23"/>
    <s v=""/>
    <s v=""/>
    <s v=""/>
    <s v="4008200339"/>
    <s v="SXIDOCXI"/>
    <s v="2"/>
  </r>
  <r>
    <x v="0"/>
    <d v="2022-04-18T00:00:00"/>
    <x v="3"/>
    <s v="6711000"/>
    <s v="Security Service"/>
    <s v="MW09C21028"/>
    <s v="Segurança Industrial"/>
    <n v="321140.63"/>
    <s v="Valor Security Service ref  Docto Nr  8716"/>
    <x v="17"/>
    <s v=""/>
    <s v="660452572"/>
    <s v=""/>
    <s v="4008201971"/>
    <s v="GNLUA"/>
    <s v="1"/>
  </r>
  <r>
    <x v="0"/>
    <d v="2022-04-18T00:00:00"/>
    <x v="3"/>
    <s v="6420000"/>
    <s v="Transports"/>
    <s v="MW09C21028"/>
    <s v="Segurança Industrial"/>
    <n v="6864"/>
    <s v="Valor Transports ref  Docto Nr  625"/>
    <x v="18"/>
    <s v=""/>
    <s v=""/>
    <s v=""/>
    <s v="4008202970"/>
    <s v="GNLUA"/>
    <s v="1"/>
  </r>
  <r>
    <x v="0"/>
    <d v="2022-04-18T00:00:00"/>
    <x v="3"/>
    <s v="6701000"/>
    <s v="Training"/>
    <s v="MW09C21028"/>
    <s v="Segurança Industrial"/>
    <n v="1395"/>
    <s v="Valor Training ref  Docto Nr  2774"/>
    <x v="74"/>
    <s v=""/>
    <s v=""/>
    <s v=""/>
    <s v="4008202406"/>
    <s v="GMGNH"/>
    <s v="1"/>
  </r>
  <r>
    <x v="0"/>
    <d v="2022-04-18T00:00:00"/>
    <x v="3"/>
    <s v="6822300"/>
    <s v="Coll transp staff"/>
    <s v="MW09C21028"/>
    <s v="Segurança Industrial"/>
    <n v="879.85"/>
    <s v="Recup Transporte Colaboradores   Mar"/>
    <x v="15"/>
    <s v=""/>
    <s v=""/>
    <s v=""/>
    <s v="4008202860"/>
    <s v="GNPRP"/>
    <s v="11"/>
  </r>
  <r>
    <x v="0"/>
    <d v="2022-04-18T00:00:00"/>
    <x v="3"/>
    <s v="6831400"/>
    <s v="Catering"/>
    <s v="MW09C21028"/>
    <s v="Segurança Industrial"/>
    <n v="687.85"/>
    <s v="Vr recup Refeicoes Colaboradores   Mar"/>
    <x v="15"/>
    <s v=""/>
    <s v=""/>
    <s v=""/>
    <s v="4008202860"/>
    <s v="GNPRP"/>
    <s v="29"/>
  </r>
  <r>
    <x v="0"/>
    <d v="2022-04-18T00:00:00"/>
    <x v="3"/>
    <s v="6280000"/>
    <s v="Technic. spare parts"/>
    <s v="MW09C21028"/>
    <s v="Segurança Industrial"/>
    <n v="182.79"/>
    <s v="Saida de Material por Consumo"/>
    <x v="8"/>
    <s v=""/>
    <s v=""/>
    <s v=""/>
    <s v="4008201983"/>
    <s v="ERUCD"/>
    <s v="1"/>
  </r>
  <r>
    <x v="0"/>
    <d v="2022-04-18T00:00:00"/>
    <x v="3"/>
    <s v="6822200"/>
    <s v="Milage allowance"/>
    <s v="MW09C21028"/>
    <s v="Segurança Industrial"/>
    <n v="86.4"/>
    <s v="Utilização de Veículo Particular/10356972/71937F39"/>
    <x v="58"/>
    <s v=""/>
    <s v=""/>
    <s v=""/>
    <s v="4008201908"/>
    <s v="SXIDOCXI"/>
    <s v="3"/>
  </r>
  <r>
    <x v="0"/>
    <d v="2022-04-19T00:00:00"/>
    <x v="3"/>
    <s v="6280000"/>
    <s v="Technic. spare parts"/>
    <s v="MW09C21028"/>
    <s v="Segurança Industrial"/>
    <n v="1784.7"/>
    <s v="Valor Technic  spare parts ref  Docto Nr  25543"/>
    <x v="12"/>
    <s v=""/>
    <s v="660452570"/>
    <s v=""/>
    <s v="4008204235"/>
    <s v="GMGNH"/>
    <s v="1"/>
  </r>
  <r>
    <x v="0"/>
    <d v="2022-04-20T00:00:00"/>
    <x v="3"/>
    <s v="6715000"/>
    <s v="Fire prevent serv."/>
    <s v="MW09C21028"/>
    <s v="Segurança Industrial"/>
    <n v="10193.99"/>
    <s v="Valor Fire prevent serv  ref  Docto Nr  36890"/>
    <x v="10"/>
    <s v=""/>
    <s v="660452568"/>
    <s v=""/>
    <s v="4008206138"/>
    <s v="GMGNH"/>
    <s v="1"/>
  </r>
  <r>
    <x v="0"/>
    <d v="2022-04-26T00:00:00"/>
    <x v="3"/>
    <s v="6711000"/>
    <s v="Security Service"/>
    <s v="MW09C21028"/>
    <s v="Segurança Industrial"/>
    <n v="9380.1299999999992"/>
    <s v="Valor Security Service ref  Docto Nr  17151"/>
    <x v="19"/>
    <s v=""/>
    <s v="660452562"/>
    <s v=""/>
    <s v="4008212570"/>
    <s v="GMGNH"/>
    <s v="1"/>
  </r>
  <r>
    <x v="0"/>
    <d v="2022-04-26T00:00:00"/>
    <x v="3"/>
    <s v="6829990"/>
    <s v="Other travel cost"/>
    <s v="MW09C21028"/>
    <s v="Segurança Industrial"/>
    <n v="3708"/>
    <s v="Manutenção corretiva/06169225/28342DDA476740E995C9"/>
    <x v="20"/>
    <s v=""/>
    <s v=""/>
    <s v=""/>
    <s v="4008212127"/>
    <s v="SXIDOCXI"/>
    <s v="3"/>
  </r>
  <r>
    <x v="0"/>
    <d v="2022-04-26T00:00:00"/>
    <x v="3"/>
    <s v="6829990"/>
    <s v="Other travel cost"/>
    <s v="MW09C21028"/>
    <s v="Segurança Industrial"/>
    <n v="2568.73"/>
    <s v="Abastecimento/06169225/28342DDA476740E995C9/RDVV F"/>
    <x v="20"/>
    <s v=""/>
    <s v=""/>
    <s v=""/>
    <s v="4008212127"/>
    <s v="SXIDOCXI"/>
    <s v="1"/>
  </r>
  <r>
    <x v="0"/>
    <d v="2022-04-26T00:00:00"/>
    <x v="3"/>
    <s v="6829990"/>
    <s v="Other travel cost"/>
    <s v="MW09C21028"/>
    <s v="Segurança Industrial"/>
    <n v="501.84"/>
    <s v="Retirada de Certidões Negativas/06169225/28342DDA4"/>
    <x v="20"/>
    <s v=""/>
    <s v=""/>
    <s v=""/>
    <s v="4008212127"/>
    <s v="SXIDOCXI"/>
    <s v="7"/>
  </r>
  <r>
    <x v="0"/>
    <d v="2022-04-26T00:00:00"/>
    <x v="3"/>
    <s v="6821200"/>
    <s v="Food allowance"/>
    <s v="MW09C21028"/>
    <s v="Segurança Industrial"/>
    <n v="236.4"/>
    <s v="Missão Executiva/06169225/28342DDA476740E995C9/RDV"/>
    <x v="20"/>
    <s v=""/>
    <s v=""/>
    <s v=""/>
    <s v="4008212127"/>
    <s v="SXIDOCXI"/>
    <s v="10"/>
  </r>
  <r>
    <x v="0"/>
    <d v="2022-04-26T00:00:00"/>
    <x v="3"/>
    <s v="6829990"/>
    <s v="Other travel cost"/>
    <s v="MW09C21028"/>
    <s v="Segurança Industrial"/>
    <n v="65.8"/>
    <s v="Mensalidade Sem Parar/06169225/28342DDA476740E995C"/>
    <x v="20"/>
    <s v=""/>
    <s v=""/>
    <s v=""/>
    <s v="4008212127"/>
    <s v="SXIDOCXI"/>
    <s v="4"/>
  </r>
  <r>
    <x v="0"/>
    <d v="2022-04-26T00:00:00"/>
    <x v="3"/>
    <s v="6829990"/>
    <s v="Other travel cost"/>
    <s v="MW09C21028"/>
    <s v="Segurança Industrial"/>
    <n v="53.88"/>
    <s v="Taxa GRU/06169225/28342DDA476740E995C9/RDVV FARIAS"/>
    <x v="20"/>
    <s v=""/>
    <s v=""/>
    <s v=""/>
    <s v="4008212127"/>
    <s v="SXIDOCXI"/>
    <s v="8"/>
  </r>
  <r>
    <x v="0"/>
    <d v="2022-04-26T00:00:00"/>
    <x v="3"/>
    <s v="6829990"/>
    <s v="Other travel cost"/>
    <s v="MW09C21028"/>
    <s v="Segurança Industrial"/>
    <n v="45"/>
    <s v="Limpeza veicular/06169225/28342DDA476740E995C9/RDV"/>
    <x v="20"/>
    <s v=""/>
    <s v=""/>
    <s v=""/>
    <s v="4008212127"/>
    <s v="SXIDOCXI"/>
    <s v="2"/>
  </r>
  <r>
    <x v="0"/>
    <d v="2022-04-26T00:00:00"/>
    <x v="3"/>
    <s v="6829990"/>
    <s v="Other travel cost"/>
    <s v="MW09C21028"/>
    <s v="Segurança Industrial"/>
    <n v="40"/>
    <s v="Missão Executiva/06169225/28342DDA476740E995C9/RDV"/>
    <x v="20"/>
    <s v=""/>
    <s v=""/>
    <s v=""/>
    <s v="4008212127"/>
    <s v="SXIDOCXI"/>
    <s v="6"/>
  </r>
  <r>
    <x v="0"/>
    <d v="2022-04-26T00:00:00"/>
    <x v="3"/>
    <s v="6829990"/>
    <s v="Other travel cost"/>
    <s v="MW09C21028"/>
    <s v="Segurança Industrial"/>
    <n v="40"/>
    <s v="Troca de bateria/06169225/28342DDA476740E995C9/RDV"/>
    <x v="20"/>
    <s v=""/>
    <s v=""/>
    <s v=""/>
    <s v="4008212127"/>
    <s v="SXIDOCXI"/>
    <s v="9"/>
  </r>
  <r>
    <x v="0"/>
    <d v="2022-04-26T00:00:00"/>
    <x v="3"/>
    <s v="6829990"/>
    <s v="Other travel cost"/>
    <s v="MW09C21028"/>
    <s v="Segurança Industrial"/>
    <n v="21"/>
    <s v="Missão Administrativa/06169225/28342DDA476740E995C"/>
    <x v="20"/>
    <s v=""/>
    <s v=""/>
    <s v=""/>
    <s v="4008212127"/>
    <s v="SXIDOCXI"/>
    <s v="5"/>
  </r>
  <r>
    <x v="0"/>
    <d v="2022-04-27T00:00:00"/>
    <x v="3"/>
    <s v="6420000"/>
    <s v="Transports"/>
    <s v="MW09C21028"/>
    <s v="Segurança Industrial"/>
    <n v="186.9"/>
    <s v="Valor Transports ref  Docto Nr  416"/>
    <x v="11"/>
    <s v=""/>
    <s v=""/>
    <s v=""/>
    <s v="4008214287"/>
    <s v="GNLUA"/>
    <s v="2"/>
  </r>
  <r>
    <x v="0"/>
    <d v="2022-04-28T00:00:00"/>
    <x v="3"/>
    <s v="6011000"/>
    <s v="Salaries"/>
    <s v="MW09C21028"/>
    <s v="Segurança Industrial"/>
    <n v="110866.91"/>
    <s v="37NA/37U/Salários"/>
    <x v="33"/>
    <s v=""/>
    <s v=""/>
    <s v=""/>
    <s v="4008215962"/>
    <s v="WWCAST1_HR"/>
    <s v="903"/>
  </r>
  <r>
    <x v="0"/>
    <d v="2022-04-28T00:00:00"/>
    <x v="3"/>
    <s v="6622400"/>
    <s v="Depr Infrastructure"/>
    <s v="MW09C21028"/>
    <s v="Segurança Industrial"/>
    <n v="97364.79"/>
    <s v="AFB30202200401 0000000029"/>
    <x v="35"/>
    <s v=""/>
    <s v=""/>
    <s v=""/>
    <s v="4008216922"/>
    <s v="SXFTMRB0"/>
    <s v="8"/>
  </r>
  <r>
    <x v="0"/>
    <d v="2022-04-28T00:00:00"/>
    <x v="3"/>
    <s v="6011000"/>
    <s v="Salaries"/>
    <s v="MW09C21028"/>
    <s v="Segurança Industrial"/>
    <n v="63787.66"/>
    <s v="37NC/37U/Salarios Outros"/>
    <x v="33"/>
    <s v=""/>
    <s v=""/>
    <s v=""/>
    <s v="4008215962"/>
    <s v="WWCAST1_HR"/>
    <s v="902"/>
  </r>
  <r>
    <x v="0"/>
    <d v="2022-04-28T00:00:00"/>
    <x v="3"/>
    <s v="6020300"/>
    <s v="Soc sec cont-severan"/>
    <s v="MW09C21028"/>
    <s v="Segurança Industrial"/>
    <n v="52963.01"/>
    <s v="37NP/37U/Contribuição Inst.de Previdência"/>
    <x v="33"/>
    <s v=""/>
    <s v=""/>
    <s v=""/>
    <s v="4008215962"/>
    <s v="WWCAST1_HR"/>
    <s v="895"/>
  </r>
  <r>
    <x v="0"/>
    <d v="2022-04-28T00:00:00"/>
    <x v="3"/>
    <s v="6011700"/>
    <s v="Overtime Premium-sal"/>
    <s v="MW09C21028"/>
    <s v="Segurança Industrial"/>
    <n v="32567.65"/>
    <s v="37NF/37U/Horas Extras"/>
    <x v="33"/>
    <s v=""/>
    <s v=""/>
    <s v=""/>
    <s v="4008215962"/>
    <s v="WWCAST1_HR"/>
    <s v="826"/>
  </r>
  <r>
    <x v="0"/>
    <d v="2022-04-28T00:00:00"/>
    <x v="3"/>
    <s v="6622000"/>
    <s v="Depr Buildings"/>
    <s v="MW09C21028"/>
    <s v="Segurança Industrial"/>
    <n v="28230.47"/>
    <s v="AFB30202200401 0000000028"/>
    <x v="36"/>
    <s v=""/>
    <s v=""/>
    <s v=""/>
    <s v="4008216921"/>
    <s v="SXFTMRB0"/>
    <s v="34"/>
  </r>
  <r>
    <x v="0"/>
    <d v="2022-04-28T00:00:00"/>
    <x v="3"/>
    <s v="6011700"/>
    <s v="Overtime Premium-sal"/>
    <s v="MW09C21028"/>
    <s v="Segurança Industrial"/>
    <n v="27243.21"/>
    <s v="37NG/37U/Horas Extras Revezamento"/>
    <x v="33"/>
    <s v=""/>
    <s v=""/>
    <s v=""/>
    <s v="4008215962"/>
    <s v="WWCAST1_HR"/>
    <s v="905"/>
  </r>
  <r>
    <x v="0"/>
    <d v="2022-04-28T00:00:00"/>
    <x v="3"/>
    <s v="6012500"/>
    <s v="Bonuses workers"/>
    <s v="MW09C21028"/>
    <s v="Segurança Industrial"/>
    <n v="23576.400000000001"/>
    <s v="Lancto RH Bonuses workers"/>
    <x v="45"/>
    <s v=""/>
    <s v=""/>
    <s v=""/>
    <s v="4008216490"/>
    <s v="BRZFX_HR"/>
    <s v="65"/>
  </r>
  <r>
    <x v="0"/>
    <d v="2022-04-28T00:00:00"/>
    <x v="3"/>
    <s v="6020220"/>
    <s v="Unemployment fund"/>
    <s v="MW09C21028"/>
    <s v="Segurança Industrial"/>
    <n v="18665.37"/>
    <s v="37OF/37U/Desp.FGTS Diferença 10% C/Liminar"/>
    <x v="33"/>
    <s v=""/>
    <s v=""/>
    <s v=""/>
    <s v="4008215962"/>
    <s v="WWCAST1_HR"/>
    <s v="825"/>
  </r>
  <r>
    <x v="0"/>
    <d v="2022-04-28T00:00:00"/>
    <x v="3"/>
    <s v="6011100"/>
    <s v="Vacation Comp-Sal"/>
    <s v="MW09C21028"/>
    <s v="Segurança Industrial"/>
    <n v="17787.96"/>
    <s v="37NN/37U/Provisão Pagto Férias DL 1730/79"/>
    <x v="33"/>
    <s v=""/>
    <s v=""/>
    <s v=""/>
    <s v="4008215962"/>
    <s v="WWCAST1_HR"/>
    <s v="900"/>
  </r>
  <r>
    <x v="0"/>
    <d v="2022-04-28T00:00:00"/>
    <x v="3"/>
    <s v="6011530"/>
    <s v="13th month rem sal"/>
    <s v="MW09C21028"/>
    <s v="Segurança Industrial"/>
    <n v="17377.849999999999"/>
    <s v="37NI/37U/13º Salário"/>
    <x v="33"/>
    <s v=""/>
    <s v=""/>
    <s v=""/>
    <s v="4008215962"/>
    <s v="WWCAST1_HR"/>
    <s v="898"/>
  </r>
  <r>
    <x v="0"/>
    <d v="2022-04-28T00:00:00"/>
    <x v="3"/>
    <s v="6624010"/>
    <s v="Depr IT-Hardware"/>
    <s v="MW09C21028"/>
    <s v="Segurança Industrial"/>
    <n v="14459.14"/>
    <s v="AFB30202200401 0000000030"/>
    <x v="38"/>
    <s v=""/>
    <s v=""/>
    <s v=""/>
    <s v="4008216923"/>
    <s v="SXFTMRB0"/>
    <s v="48"/>
  </r>
  <r>
    <x v="0"/>
    <d v="2022-04-28T00:00:00"/>
    <x v="3"/>
    <s v="6624030"/>
    <s v="Depr Transp."/>
    <s v="MW09C21028"/>
    <s v="Segurança Industrial"/>
    <n v="13363.22"/>
    <s v="AFB30202200401 0000000031"/>
    <x v="61"/>
    <s v=""/>
    <s v=""/>
    <s v=""/>
    <s v="4008216924"/>
    <s v="SXFTMRB0"/>
    <s v="44"/>
  </r>
  <r>
    <x v="0"/>
    <d v="2022-04-28T00:00:00"/>
    <x v="3"/>
    <s v="6021130"/>
    <s v="Pay Ins Accid sal"/>
    <s v="MW09C21028"/>
    <s v="Segurança Industrial"/>
    <n v="8192.24"/>
    <s v="37NY/37U/Seguro Contra Acidentes de Trabalho"/>
    <x v="33"/>
    <s v=""/>
    <s v=""/>
    <s v=""/>
    <s v="4008215962"/>
    <s v="WWCAST1_HR"/>
    <s v="896"/>
  </r>
  <r>
    <x v="0"/>
    <d v="2022-04-28T00:00:00"/>
    <x v="3"/>
    <s v="6020300"/>
    <s v="Soc sec cont-severan"/>
    <s v="MW09C21028"/>
    <s v="Segurança Industrial"/>
    <n v="7699.46"/>
    <s v="37NX/37U/Salário Educação LEI 4440/64"/>
    <x v="33"/>
    <s v=""/>
    <s v=""/>
    <s v=""/>
    <s v="4008215962"/>
    <s v="WWCAST1_HR"/>
    <s v="897"/>
  </r>
  <r>
    <x v="0"/>
    <d v="2022-04-28T00:00:00"/>
    <x v="3"/>
    <s v="6020320"/>
    <s v="Contingency fund"/>
    <s v="MW09C21028"/>
    <s v="Segurança Industrial"/>
    <n v="6516.58"/>
    <s v="37PE/37U/Encargos sobre 13o salário"/>
    <x v="33"/>
    <s v=""/>
    <s v=""/>
    <s v=""/>
    <s v="4008215962"/>
    <s v="WWCAST1_HR"/>
    <s v="899"/>
  </r>
  <r>
    <x v="0"/>
    <d v="2022-04-28T00:00:00"/>
    <x v="3"/>
    <s v="6032730"/>
    <s v="Exp emp con-ded"/>
    <s v="MW09C21028"/>
    <s v="Segurança Industrial"/>
    <n v="5969.74"/>
    <s v="37PA/37U/Contribuição a Previdencia Privada"/>
    <x v="33"/>
    <s v=""/>
    <s v=""/>
    <s v=""/>
    <s v="4008215962"/>
    <s v="WWCAST1_HR"/>
    <s v="894"/>
  </r>
  <r>
    <x v="0"/>
    <d v="2022-04-28T00:00:00"/>
    <x v="3"/>
    <s v="6042050"/>
    <s v="Rem. limited dur."/>
    <s v="MW09C21028"/>
    <s v="Segurança Industrial"/>
    <n v="5789.98"/>
    <s v="37NA/37W/Salários"/>
    <x v="33"/>
    <s v=""/>
    <s v=""/>
    <s v=""/>
    <s v="4008215961"/>
    <s v="WWCAST1_HR"/>
    <s v="629"/>
  </r>
  <r>
    <x v="0"/>
    <d v="2022-04-28T00:00:00"/>
    <x v="3"/>
    <s v="6020350"/>
    <s v="Accr soc-sec. contr."/>
    <s v="MW09C21028"/>
    <s v="Segurança Industrial"/>
    <n v="5484.42"/>
    <s v="37OD/37U/Provisão Encargos Sociais S/Férias DL 173"/>
    <x v="33"/>
    <s v=""/>
    <s v=""/>
    <s v=""/>
    <s v="4008215962"/>
    <s v="WWCAST1_HR"/>
    <s v="901"/>
  </r>
  <r>
    <x v="0"/>
    <d v="2022-04-28T00:00:00"/>
    <x v="3"/>
    <s v="6011500"/>
    <s v="Bonuses"/>
    <s v="MW09C21028"/>
    <s v="Segurança Industrial"/>
    <n v="3396.14"/>
    <s v="Lancto RH Bonuses"/>
    <x v="45"/>
    <s v=""/>
    <s v=""/>
    <s v=""/>
    <s v="4008216490"/>
    <s v="BRZFX_HR"/>
    <s v="2"/>
  </r>
  <r>
    <x v="0"/>
    <d v="2022-04-28T00:00:00"/>
    <x v="3"/>
    <s v="6061000"/>
    <s v="Allow for prec. Job"/>
    <s v="MW09C21028"/>
    <s v="Segurança Industrial"/>
    <n v="2994.6"/>
    <s v="37NC/37W/Salarios Outros"/>
    <x v="33"/>
    <s v=""/>
    <s v=""/>
    <s v=""/>
    <s v="4008215961"/>
    <s v="WWCAST1_HR"/>
    <s v="628"/>
  </r>
  <r>
    <x v="0"/>
    <d v="2022-04-28T00:00:00"/>
    <x v="3"/>
    <s v="8261000"/>
    <s v="FAM Settl Prim Mat"/>
    <s v="MW09C21028"/>
    <s v="Segurança Industrial"/>
    <n v="2971.5"/>
    <s v="CTR H353/MW09C21028"/>
    <x v="41"/>
    <s v="MAN 2021 REDE DE INCENDIO BR"/>
    <s v=""/>
    <s v="Order"/>
    <s v="4600132342"/>
    <s v="SXFTM000"/>
    <s v="2"/>
  </r>
  <r>
    <x v="0"/>
    <d v="2022-04-28T00:00:00"/>
    <x v="3"/>
    <s v="8262000"/>
    <s v="FAM Settl Serv (Ext)"/>
    <s v="MW09C21028"/>
    <s v="Segurança Industrial"/>
    <n v="2878.5"/>
    <s v="CTR H353/MW09C21028"/>
    <x v="41"/>
    <s v="IE MW09C21028 SEG INDUSTRIAL - 2022"/>
    <s v=""/>
    <s v="Order"/>
    <s v="4600132343"/>
    <s v="SXFTM000"/>
    <s v="2"/>
  </r>
  <r>
    <x v="0"/>
    <d v="2022-04-28T00:00:00"/>
    <x v="3"/>
    <s v="6020360"/>
    <s v="Employer cont pens p"/>
    <s v="MW09C21028"/>
    <s v="Segurança Industrial"/>
    <n v="2839.11"/>
    <s v="37NP/37W/Contribuição Inst.de Previdência"/>
    <x v="33"/>
    <s v=""/>
    <s v=""/>
    <s v=""/>
    <s v="4008215961"/>
    <s v="WWCAST1_HR"/>
    <s v="623"/>
  </r>
  <r>
    <x v="0"/>
    <d v="2022-04-28T00:00:00"/>
    <x v="3"/>
    <s v="6042050"/>
    <s v="Rem. limited dur."/>
    <s v="MW09C21028"/>
    <s v="Segurança Industrial"/>
    <n v="2227.67"/>
    <s v="37NF/37W/Horas Extras"/>
    <x v="33"/>
    <s v=""/>
    <s v=""/>
    <s v=""/>
    <s v="4008215962"/>
    <s v="WWCAST1_HR"/>
    <s v="59"/>
  </r>
  <r>
    <x v="0"/>
    <d v="2022-04-28T00:00:00"/>
    <x v="3"/>
    <s v="6043100"/>
    <s v="Pay apprenticeship"/>
    <s v="MW09C21028"/>
    <s v="Segurança Industrial"/>
    <n v="2000"/>
    <s v="37OU/37W/Serviço de Estagiário-PF"/>
    <x v="33"/>
    <s v=""/>
    <s v=""/>
    <s v=""/>
    <s v="4008215961"/>
    <s v="WWCAST1_HR"/>
    <s v="546"/>
  </r>
  <r>
    <x v="0"/>
    <d v="2022-04-28T00:00:00"/>
    <x v="3"/>
    <s v="6623000"/>
    <s v="Depr Mach/tech Prod"/>
    <s v="MW09C21028"/>
    <s v="Segurança Industrial"/>
    <n v="1793.55"/>
    <s v="AFB30202200401 0000000029"/>
    <x v="35"/>
    <s v=""/>
    <s v=""/>
    <s v=""/>
    <s v="4008216922"/>
    <s v="SXFTMRB0"/>
    <s v="57"/>
  </r>
  <r>
    <x v="0"/>
    <d v="2022-04-28T00:00:00"/>
    <x v="3"/>
    <s v="6039300"/>
    <s v="Oth emp benefits"/>
    <s v="MW09C21028"/>
    <s v="Segurança Industrial"/>
    <n v="1210.8699999999999"/>
    <s v="37OR/37U/Outras Despesas Sociais"/>
    <x v="33"/>
    <s v=""/>
    <s v=""/>
    <s v=""/>
    <s v="4008215962"/>
    <s v="WWCAST1_HR"/>
    <s v="911"/>
  </r>
  <r>
    <x v="0"/>
    <d v="2022-04-28T00:00:00"/>
    <x v="3"/>
    <s v="8261000"/>
    <s v="FAM Settl Prim Mat"/>
    <s v="MW09C21028"/>
    <s v="Segurança Industrial"/>
    <n v="1136.58"/>
    <s v="CTR H353/MW09C21028"/>
    <x v="41"/>
    <s v="MAN 2022 SÓ ACUMULADORES"/>
    <s v=""/>
    <s v="Order"/>
    <s v="4600132345"/>
    <s v="SXFTM000"/>
    <s v="4"/>
  </r>
  <r>
    <x v="0"/>
    <d v="2022-04-28T00:00:00"/>
    <x v="3"/>
    <s v="6052340"/>
    <s v="Soc. security contr."/>
    <s v="MW09C21028"/>
    <s v="Segurança Industrial"/>
    <n v="1119.6600000000001"/>
    <s v="37NN/37W/Provisão Pagto Férias DL 1730/79"/>
    <x v="33"/>
    <s v=""/>
    <s v=""/>
    <s v=""/>
    <s v="4008215961"/>
    <s v="WWCAST1_HR"/>
    <s v="622"/>
  </r>
  <r>
    <x v="0"/>
    <d v="2022-04-28T00:00:00"/>
    <x v="3"/>
    <s v="6052340"/>
    <s v="Soc. security contr."/>
    <s v="MW09C21028"/>
    <s v="Segurança Industrial"/>
    <n v="1000.57"/>
    <s v="37OF/37W/Desp.FGTS Diferença 10% C/Liminar"/>
    <x v="33"/>
    <s v=""/>
    <s v=""/>
    <s v=""/>
    <s v="4008215961"/>
    <s v="WWCAST1_HR"/>
    <s v="620"/>
  </r>
  <r>
    <x v="0"/>
    <d v="2022-04-28T00:00:00"/>
    <x v="3"/>
    <s v="6042050"/>
    <s v="Rem. limited dur."/>
    <s v="MW09C21028"/>
    <s v="Segurança Industrial"/>
    <n v="994.82"/>
    <s v="37NG/37W/Horas Extras Revezamento"/>
    <x v="33"/>
    <s v=""/>
    <s v=""/>
    <s v=""/>
    <s v="4008215962"/>
    <s v="WWCAST1_HR"/>
    <s v="61"/>
  </r>
  <r>
    <x v="0"/>
    <d v="2022-04-28T00:00:00"/>
    <x v="3"/>
    <s v="6011540"/>
    <s v="Oth premium sal"/>
    <s v="MW09C21028"/>
    <s v="Segurança Industrial"/>
    <n v="921"/>
    <s v="37NM/37U/Gratificação Ajustada Espontânea"/>
    <x v="33"/>
    <s v=""/>
    <s v=""/>
    <s v=""/>
    <s v="4008215962"/>
    <s v="WWCAST1_HR"/>
    <s v="907"/>
  </r>
  <r>
    <x v="0"/>
    <d v="2022-04-28T00:00:00"/>
    <x v="3"/>
    <s v="6042100"/>
    <s v="RemTM yearly premium"/>
    <s v="MW09C21028"/>
    <s v="Segurança Industrial"/>
    <n v="877.64"/>
    <s v="37NI/37W/13º Salário"/>
    <x v="33"/>
    <s v=""/>
    <s v=""/>
    <s v=""/>
    <s v="4008215961"/>
    <s v="WWCAST1_HR"/>
    <s v="626"/>
  </r>
  <r>
    <x v="0"/>
    <d v="2022-04-28T00:00:00"/>
    <x v="3"/>
    <s v="8261000"/>
    <s v="FAM Settl Prim Mat"/>
    <s v="MW09C21028"/>
    <s v="Segurança Industrial"/>
    <n v="789.89"/>
    <s v="CTR H353/MW09C21028"/>
    <x v="41"/>
    <s v="Locação de plataforma 2022"/>
    <s v=""/>
    <s v="Order"/>
    <s v="4600131629"/>
    <s v="SXFTM000"/>
    <s v="6"/>
  </r>
  <r>
    <x v="0"/>
    <d v="2022-04-28T00:00:00"/>
    <x v="3"/>
    <s v="8262000"/>
    <s v="FAM Settl Serv (Ext)"/>
    <s v="MW09C21028"/>
    <s v="Segurança Industrial"/>
    <n v="633.5"/>
    <s v="CTR H353/MW09C21028"/>
    <x v="41"/>
    <s v="MAN 2021 REDE DE INCENDIO BR"/>
    <s v=""/>
    <s v="Order"/>
    <s v="4600132342"/>
    <s v="SXFTM000"/>
    <s v="4"/>
  </r>
  <r>
    <x v="0"/>
    <d v="2022-04-28T00:00:00"/>
    <x v="3"/>
    <s v="6042600"/>
    <s v="Vol. Bonus ltd dur."/>
    <s v="MW09C21028"/>
    <s v="Segurança Industrial"/>
    <n v="500"/>
    <s v="37NM/37W/Gratificação Ajustada Espontânea"/>
    <x v="33"/>
    <s v=""/>
    <s v=""/>
    <s v=""/>
    <s v="4008215961"/>
    <s v="WWCAST1_HR"/>
    <s v="630"/>
  </r>
  <r>
    <x v="0"/>
    <d v="2022-04-28T00:00:00"/>
    <x v="3"/>
    <s v="6052400"/>
    <s v="Soc Contr 'oth'"/>
    <s v="MW09C21028"/>
    <s v="Segurança Industrial"/>
    <n v="412.74"/>
    <s v="37NX/37W/Salário Educação LEI 4440/64"/>
    <x v="33"/>
    <s v=""/>
    <s v=""/>
    <s v=""/>
    <s v="4008215961"/>
    <s v="WWCAST1_HR"/>
    <s v="625"/>
  </r>
  <r>
    <x v="0"/>
    <d v="2022-04-28T00:00:00"/>
    <x v="3"/>
    <s v="6021130"/>
    <s v="Pay Ins Accid sal"/>
    <s v="MW09C21028"/>
    <s v="Segurança Industrial"/>
    <n v="392.58"/>
    <s v="37NY/37W/Seguro Contra Acidentes de Trabalho"/>
    <x v="33"/>
    <s v=""/>
    <s v=""/>
    <s v=""/>
    <s v="4008215961"/>
    <s v="WWCAST1_HR"/>
    <s v="624"/>
  </r>
  <r>
    <x v="0"/>
    <d v="2022-04-28T00:00:00"/>
    <x v="3"/>
    <s v="6711000"/>
    <s v="Security Service"/>
    <s v="MW09C21028"/>
    <s v="Segurança Industrial"/>
    <n v="320"/>
    <s v="Valor Security Service ref  Docto Nr  112662"/>
    <x v="29"/>
    <s v=""/>
    <s v="660455324"/>
    <s v=""/>
    <s v="4008215978"/>
    <s v="GMGNH"/>
    <s v="1"/>
  </r>
  <r>
    <x v="0"/>
    <d v="2022-04-28T00:00:00"/>
    <x v="3"/>
    <s v="6052400"/>
    <s v="Soc Contr 'oth'"/>
    <s v="MW09C21028"/>
    <s v="Segurança Industrial"/>
    <n v="302.08"/>
    <s v="37PE/37W/Encargos sobre 13o salário"/>
    <x v="33"/>
    <s v=""/>
    <s v=""/>
    <s v=""/>
    <s v="4008215961"/>
    <s v="WWCAST1_HR"/>
    <s v="619"/>
  </r>
  <r>
    <x v="0"/>
    <d v="2022-04-28T00:00:00"/>
    <x v="3"/>
    <s v="6624000"/>
    <s v="Depr F/Fix"/>
    <s v="MW09C21028"/>
    <s v="Segurança Industrial"/>
    <n v="152.9"/>
    <s v="AFB30202200401 0000000030"/>
    <x v="38"/>
    <s v=""/>
    <s v=""/>
    <s v=""/>
    <s v="4008216923"/>
    <s v="SXFTMRB0"/>
    <s v="13"/>
  </r>
  <r>
    <x v="0"/>
    <d v="2022-04-28T00:00:00"/>
    <x v="3"/>
    <s v="6032730"/>
    <s v="Exp emp con-ded"/>
    <s v="MW09C21028"/>
    <s v="Segurança Industrial"/>
    <n v="74.099999999999994"/>
    <s v="37PA/37W/Contribuição a Previdencia Privada"/>
    <x v="33"/>
    <s v=""/>
    <s v=""/>
    <s v=""/>
    <s v="4008215962"/>
    <s v="WWCAST1_HR"/>
    <s v="60"/>
  </r>
  <r>
    <x v="0"/>
    <d v="2022-04-28T00:00:00"/>
    <x v="3"/>
    <s v="6822300"/>
    <s v="Coll transp staff"/>
    <s v="MW09C21028"/>
    <s v="Segurança Industrial"/>
    <n v="-8.67"/>
    <s v="37OK/37W/Transportes Colaboradores PJ"/>
    <x v="75"/>
    <s v=""/>
    <s v=""/>
    <s v=""/>
    <s v="4008215962"/>
    <s v="WWCAST1_HR"/>
    <s v="58"/>
  </r>
  <r>
    <x v="0"/>
    <d v="2022-04-28T00:00:00"/>
    <x v="3"/>
    <s v="6031130"/>
    <s v="Group ins salaries"/>
    <s v="MW09C21028"/>
    <s v="Segurança Industrial"/>
    <n v="-26.35"/>
    <s v="37OG/37W/Seguro de Vida Acidentes Pessoais em Grup"/>
    <x v="75"/>
    <s v=""/>
    <s v=""/>
    <s v=""/>
    <s v="4008215961"/>
    <s v="WWCAST1_HR"/>
    <s v="621"/>
  </r>
  <r>
    <x v="0"/>
    <d v="2022-04-28T00:00:00"/>
    <x v="3"/>
    <s v="6021550"/>
    <s v="Health ben sal"/>
    <s v="MW09C21028"/>
    <s v="Segurança Industrial"/>
    <n v="-64.64"/>
    <s v="37OS/37W/Reembolso Co-Participação Assistência Méd"/>
    <x v="75"/>
    <s v=""/>
    <s v=""/>
    <s v=""/>
    <s v="4008215961"/>
    <s v="WWCAST1_HR"/>
    <s v="631"/>
  </r>
  <r>
    <x v="0"/>
    <d v="2022-04-28T00:00:00"/>
    <x v="3"/>
    <s v="6716000"/>
    <s v="Food f. Empl."/>
    <s v="MW09C21028"/>
    <s v="Segurança Industrial"/>
    <n v="-91.45"/>
    <s v="37OV/37W/Recuperação por Refeições Fornecidas"/>
    <x v="75"/>
    <s v=""/>
    <s v=""/>
    <s v=""/>
    <s v="4008215961"/>
    <s v="WWCAST1_HR"/>
    <s v="632"/>
  </r>
  <r>
    <x v="0"/>
    <d v="2022-04-28T00:00:00"/>
    <x v="3"/>
    <s v="6021550"/>
    <s v="Health ben sal"/>
    <s v="MW09C21028"/>
    <s v="Segurança Industrial"/>
    <n v="-473.46"/>
    <s v="37OI/37U/Assistência Médica/Hospitalar PJ"/>
    <x v="75"/>
    <s v=""/>
    <s v=""/>
    <s v=""/>
    <s v="4008215962"/>
    <s v="WWCAST1_HR"/>
    <s v="912"/>
  </r>
  <r>
    <x v="0"/>
    <d v="2022-04-28T00:00:00"/>
    <x v="3"/>
    <s v="6011540"/>
    <s v="Oth premium sal"/>
    <s v="MW09C21028"/>
    <s v="Segurança Industrial"/>
    <n v="-500"/>
    <s v="37NK/37U/Comissões a Colaboradores"/>
    <x v="75"/>
    <s v=""/>
    <s v=""/>
    <s v=""/>
    <s v="4008215962"/>
    <s v="WWCAST1_HR"/>
    <s v="724"/>
  </r>
  <r>
    <x v="0"/>
    <d v="2022-04-28T00:00:00"/>
    <x v="3"/>
    <s v="6031130"/>
    <s v="Group ins salaries"/>
    <s v="MW09C21028"/>
    <s v="Segurança Industrial"/>
    <n v="-536.45000000000005"/>
    <s v="37OG/37U/Seguro de Vida Acidentes Pessoais em Grup"/>
    <x v="75"/>
    <s v=""/>
    <s v=""/>
    <s v=""/>
    <s v="4008215962"/>
    <s v="WWCAST1_HR"/>
    <s v="893"/>
  </r>
  <r>
    <x v="0"/>
    <d v="2022-04-28T00:00:00"/>
    <x v="3"/>
    <s v="6021550"/>
    <s v="Health ben sal"/>
    <s v="MW09C21028"/>
    <s v="Segurança Industrial"/>
    <n v="-759.22"/>
    <s v="37OJ/37U/Assistência Odontológica  -   Ativos"/>
    <x v="75"/>
    <s v=""/>
    <s v=""/>
    <s v=""/>
    <s v="4008215962"/>
    <s v="WWCAST1_HR"/>
    <s v="698"/>
  </r>
  <r>
    <x v="0"/>
    <d v="2022-04-28T00:00:00"/>
    <x v="3"/>
    <s v="6716000"/>
    <s v="Food f. Empl."/>
    <s v="MW09C21028"/>
    <s v="Segurança Industrial"/>
    <n v="-853.18"/>
    <s v="37OV/37U/Recuperação por Refeições Fornecidas"/>
    <x v="75"/>
    <s v=""/>
    <s v=""/>
    <s v=""/>
    <s v="4008215962"/>
    <s v="WWCAST1_HR"/>
    <s v="908"/>
  </r>
  <r>
    <x v="0"/>
    <d v="2022-04-28T00:00:00"/>
    <x v="3"/>
    <s v="6021550"/>
    <s v="Health ben sal"/>
    <s v="MW09C21028"/>
    <s v="Segurança Industrial"/>
    <n v="-961.3"/>
    <s v="37OS/37U/Reembolso Co-Participação Assistência Méd"/>
    <x v="75"/>
    <s v=""/>
    <s v=""/>
    <s v=""/>
    <s v="4008215962"/>
    <s v="WWCAST1_HR"/>
    <s v="904"/>
  </r>
  <r>
    <x v="0"/>
    <d v="2022-04-28T00:00:00"/>
    <x v="3"/>
    <s v="6822300"/>
    <s v="Coll transp staff"/>
    <s v="MW09C21028"/>
    <s v="Segurança Industrial"/>
    <n v="-1087.46"/>
    <s v="37OK/37U/Transportes Colaboradores PJ"/>
    <x v="75"/>
    <s v=""/>
    <s v=""/>
    <s v=""/>
    <s v="4008215962"/>
    <s v="WWCAST1_HR"/>
    <s v="910"/>
  </r>
  <r>
    <x v="0"/>
    <d v="2022-04-28T00:00:00"/>
    <x v="3"/>
    <s v="6052340"/>
    <s v="Soc. security contr."/>
    <s v="MW09C21028"/>
    <s v="Segurança Industrial"/>
    <n v="-1338.25"/>
    <s v="37OD/37W/Provisão Encargos Sociais S/Férias DL 173"/>
    <x v="75"/>
    <s v=""/>
    <s v=""/>
    <s v=""/>
    <s v="4008215961"/>
    <s v="WWCAST1_HR"/>
    <s v="627"/>
  </r>
  <r>
    <x v="0"/>
    <d v="2022-04-29T00:00:00"/>
    <x v="3"/>
    <s v="6021550"/>
    <s v="Health ben sal"/>
    <s v="MW09C21028"/>
    <s v="Segurança Industrial"/>
    <n v="61158.23"/>
    <s v="Lançamento Amil - Abril"/>
    <x v="44"/>
    <s v=""/>
    <s v=""/>
    <s v=""/>
    <s v="4008221813"/>
    <s v="GMEYG"/>
    <s v="318"/>
  </r>
  <r>
    <x v="0"/>
    <d v="2022-04-29T00:00:00"/>
    <x v="3"/>
    <s v="6831400"/>
    <s v="Catering"/>
    <s v="MW09C21028"/>
    <s v="Segurança Industrial"/>
    <n v="24163.21"/>
    <s v="Lançamento Ticket - Abril"/>
    <x v="44"/>
    <s v=""/>
    <s v=""/>
    <s v=""/>
    <s v="4008221813"/>
    <s v="GMEYG"/>
    <s v="643"/>
  </r>
  <r>
    <x v="0"/>
    <d v="2022-04-29T00:00:00"/>
    <x v="3"/>
    <s v="6031130"/>
    <s v="Group ins salaries"/>
    <s v="MW09C21028"/>
    <s v="Segurança Industrial"/>
    <n v="4568.8900000000003"/>
    <s v="Lançamento Seguro de Vida - Abril"/>
    <x v="44"/>
    <s v=""/>
    <s v=""/>
    <s v=""/>
    <s v="4008221813"/>
    <s v="GMEYG"/>
    <s v="791"/>
  </r>
  <r>
    <x v="0"/>
    <d v="2022-04-29T00:00:00"/>
    <x v="3"/>
    <s v="6039300"/>
    <s v="Oth emp benefits"/>
    <s v="MW09C21028"/>
    <s v="Segurança Industrial"/>
    <n v="2352.63"/>
    <s v="Lançamento Outros Benefícios - Abril"/>
    <x v="44"/>
    <s v=""/>
    <s v=""/>
    <s v=""/>
    <s v="4008221813"/>
    <s v="GMEYG"/>
    <s v="134"/>
  </r>
  <r>
    <x v="0"/>
    <d v="2022-04-29T00:00:00"/>
    <x v="3"/>
    <s v="6032003"/>
    <s v="Pension Accrual."/>
    <s v="MW09C21028"/>
    <s v="Segurança Industrial"/>
    <n v="1882.92"/>
    <s v="Prov Pension DBO Active BCS 2022.04"/>
    <x v="47"/>
    <s v=""/>
    <s v=""/>
    <s v=""/>
    <s v="4008218071"/>
    <s v="GMLHA"/>
    <s v="40"/>
  </r>
  <r>
    <x v="0"/>
    <d v="2022-04-29T00:00:00"/>
    <x v="3"/>
    <s v="6779000"/>
    <s v="Serv. cust. &amp; excise"/>
    <s v="MW09C21028"/>
    <s v="Segurança Industrial"/>
    <n v="1665.46"/>
    <s v="Reclassif. Despachante 75283"/>
    <x v="63"/>
    <s v=""/>
    <s v=""/>
    <s v=""/>
    <s v="4008220670"/>
    <s v="GNPRP"/>
    <s v="44"/>
  </r>
  <r>
    <x v="0"/>
    <d v="2022-04-29T00:00:00"/>
    <x v="3"/>
    <s v="6021550"/>
    <s v="Health ben sal"/>
    <s v="MW09C21028"/>
    <s v="Segurança Industrial"/>
    <n v="1297.1099999999999"/>
    <s v="Lançamento Odontoprev - Abril"/>
    <x v="44"/>
    <s v=""/>
    <s v=""/>
    <s v=""/>
    <s v="4008221813"/>
    <s v="GMEYG"/>
    <s v="505"/>
  </r>
  <r>
    <x v="0"/>
    <d v="2022-04-29T00:00:00"/>
    <x v="3"/>
    <s v="6831400"/>
    <s v="Catering"/>
    <s v="MW09C21028"/>
    <s v="Segurança Industrial"/>
    <n v="678.64"/>
    <s v="Vr recup Serv Restaur Visitantes - Abr"/>
    <x v="15"/>
    <s v=""/>
    <s v=""/>
    <s v=""/>
    <s v="4008220688"/>
    <s v="GNPRP"/>
    <s v="17"/>
  </r>
  <r>
    <x v="0"/>
    <d v="2022-04-29T00:00:00"/>
    <x v="3"/>
    <s v="6779000"/>
    <s v="Serv. cust. &amp; excise"/>
    <s v="MW09C21028"/>
    <s v="Segurança Industrial"/>
    <n v="460.13"/>
    <s v="Reclassif. Despachante 39845"/>
    <x v="63"/>
    <s v=""/>
    <s v=""/>
    <s v=""/>
    <s v="4008220674"/>
    <s v="GNPRP"/>
    <s v="44"/>
  </r>
  <r>
    <x v="0"/>
    <d v="2022-04-29T00:00:00"/>
    <x v="3"/>
    <s v="6032003"/>
    <s v="Pension Accrual."/>
    <s v="MW09C21028"/>
    <s v="Segurança Industrial"/>
    <n v="420.36"/>
    <s v="Prov OPEB Ebit Effect BCS 2022.04"/>
    <x v="48"/>
    <s v=""/>
    <s v=""/>
    <s v=""/>
    <s v="4008218066"/>
    <s v="GMLHA"/>
    <s v="1"/>
  </r>
  <r>
    <x v="0"/>
    <d v="2022-04-29T00:00:00"/>
    <x v="3"/>
    <s v="6779000"/>
    <s v="Serv. cust. &amp; excise"/>
    <s v="MW09C21028"/>
    <s v="Segurança Industrial"/>
    <n v="414"/>
    <s v="Reclassif. FEE 365115"/>
    <x v="63"/>
    <s v=""/>
    <s v=""/>
    <s v=""/>
    <s v="4008220666"/>
    <s v="GNPRP"/>
    <s v="53"/>
  </r>
  <r>
    <x v="0"/>
    <d v="2022-04-29T00:00:00"/>
    <x v="3"/>
    <s v="6831400"/>
    <s v="Catering"/>
    <s v="MW09C21028"/>
    <s v="Segurança Industrial"/>
    <n v="272.16000000000003"/>
    <s v="Vr recup Refeições Estagiários - Abr"/>
    <x v="15"/>
    <s v=""/>
    <s v=""/>
    <s v=""/>
    <s v="4008220688"/>
    <s v="GNPRP"/>
    <s v="34"/>
  </r>
  <r>
    <x v="0"/>
    <d v="2022-04-29T00:00:00"/>
    <x v="3"/>
    <s v="6879990"/>
    <s v="Other taxes"/>
    <s v="MW09C21028"/>
    <s v="Segurança Industrial"/>
    <n v="-10242.74"/>
    <s v="Credito de PIS e COFINS sobre a depreciação ABR/20"/>
    <x v="49"/>
    <s v=""/>
    <s v=""/>
    <s v=""/>
    <s v="4008218092"/>
    <s v="GMHLL"/>
    <s v="42"/>
  </r>
  <r>
    <x v="0"/>
    <d v="2022-05-02T00:00:00"/>
    <x v="3"/>
    <s v="6121001"/>
    <s v="Electricity fix"/>
    <s v="MW09C21028"/>
    <s v="Segurança Industrial"/>
    <n v="26211.599999999999"/>
    <s v="MW4A010014MW09C21027 Energia Eletrica Fi"/>
    <x v="41"/>
    <s v="Alocações Periódicas"/>
    <s v=""/>
    <s v="Cost center"/>
    <s v="4400016800"/>
    <s v="SXFTMRB0"/>
    <s v="211"/>
  </r>
  <r>
    <x v="0"/>
    <d v="2022-05-02T00:00:00"/>
    <x v="3"/>
    <s v="6121000"/>
    <s v="Electricity var"/>
    <s v="MW09C21028"/>
    <s v="Segurança Industrial"/>
    <n v="4568.99"/>
    <s v="MW4A010010MW09C21027 Energia Eletrica Va"/>
    <x v="41"/>
    <s v="Alocações Periódicas"/>
    <s v=""/>
    <s v="Cost center"/>
    <s v="4400016800"/>
    <s v="SXFTMRB0"/>
    <s v="137"/>
  </r>
  <r>
    <x v="0"/>
    <d v="2022-05-02T00:00:00"/>
    <x v="3"/>
    <s v="6101000"/>
    <s v="Water var"/>
    <s v="MW09C21028"/>
    <s v="Segurança Industrial"/>
    <n v="3997.66"/>
    <s v="MW4A010008MW09C21027 Ág. Processo"/>
    <x v="41"/>
    <s v="Alocações Periódicas"/>
    <s v=""/>
    <s v="Cost center"/>
    <s v="4400016800"/>
    <s v="SXFTMRB0"/>
    <s v="37"/>
  </r>
  <r>
    <x v="0"/>
    <d v="2022-05-02T00:00:00"/>
    <x v="3"/>
    <s v="6321000"/>
    <s v="General supplies"/>
    <s v="MW09C21028"/>
    <s v="Segurança Industrial"/>
    <n v="1513.12"/>
    <s v="MW4A010015MW09C21027 Energia Eletrica Fi"/>
    <x v="41"/>
    <s v="Alocações Periódicas"/>
    <s v=""/>
    <s v="Cost center"/>
    <s v="4400016800"/>
    <s v="SXFTMRB0"/>
    <s v="249"/>
  </r>
  <r>
    <x v="0"/>
    <d v="2022-05-02T00:00:00"/>
    <x v="3"/>
    <s v="6109990"/>
    <s v="Water - Other"/>
    <s v="MW09C21028"/>
    <s v="Segurança Industrial"/>
    <n v="-1593.46"/>
    <s v="MW4A010009MW09C21027 Ág. Potavel"/>
    <x v="41"/>
    <s v="Alocações Periódicas"/>
    <s v=""/>
    <s v="Cost center"/>
    <s v="4400016800"/>
    <s v="SXFTMRB0"/>
    <s v="81"/>
  </r>
  <r>
    <x v="0"/>
    <d v="2022-05-02T00:00:00"/>
    <x v="3"/>
    <s v="7711010"/>
    <s v="Security Service ASS"/>
    <s v="MW09C21028"/>
    <s v="Segurança Industrial"/>
    <n v="-1135069.6499999999"/>
    <s v="MW5B02_017MW09C21028"/>
    <x v="41"/>
    <s v="Prédio 6201"/>
    <s v=""/>
    <s v="Cost center"/>
    <s v="4400016901"/>
    <s v="SXFTMRB0"/>
    <s v="298"/>
  </r>
  <r>
    <x v="0"/>
    <d v="2022-05-03T00:00:00"/>
    <x v="4"/>
    <s v="6200000"/>
    <s v="Maint &amp; Leg/Co.Compl"/>
    <s v="MW09C21028"/>
    <s v="Segurança Industrial"/>
    <n v="3794"/>
    <s v="I 0114 INSTALACAO DE CABO OPTICO CFOA"/>
    <x v="32"/>
    <s v=""/>
    <s v="614456067"/>
    <s v=""/>
    <s v="4008227225"/>
    <s v="BRMNJ"/>
    <s v="8"/>
  </r>
  <r>
    <x v="0"/>
    <d v="2022-05-03T00:00:00"/>
    <x v="4"/>
    <s v="6200000"/>
    <s v="Maint &amp; Leg/Co.Compl"/>
    <s v="MW09C21028"/>
    <s v="Segurança Industrial"/>
    <n v="865.92"/>
    <s v="S 0009 EMENDA POR FUSAO"/>
    <x v="32"/>
    <s v=""/>
    <s v="614456067"/>
    <s v=""/>
    <s v="4008227225"/>
    <s v="BRMNJ"/>
    <s v="9"/>
  </r>
  <r>
    <x v="0"/>
    <d v="2022-05-03T00:00:00"/>
    <x v="4"/>
    <s v="6890000"/>
    <s v="3d party pers"/>
    <s v="MW09C21028"/>
    <s v="Segurança Industrial"/>
    <n v="573.21"/>
    <s v="Valor 3d party pers ref  Docto Nr  43732"/>
    <x v="37"/>
    <s v=""/>
    <s v="660465500"/>
    <s v=""/>
    <s v="4008227153"/>
    <s v="GNEPP"/>
    <s v="1"/>
  </r>
  <r>
    <x v="0"/>
    <d v="2022-05-03T00:00:00"/>
    <x v="4"/>
    <s v="6200000"/>
    <s v="Maint &amp; Leg/Co.Compl"/>
    <s v="MW09C21028"/>
    <s v="Segurança Industrial"/>
    <n v="519.52"/>
    <s v="I 0318 INST EXTENSAO OPTICA"/>
    <x v="32"/>
    <s v=""/>
    <s v="614456067"/>
    <s v=""/>
    <s v="4008227225"/>
    <s v="BRMNJ"/>
    <s v="3"/>
  </r>
  <r>
    <x v="0"/>
    <d v="2022-05-03T00:00:00"/>
    <x v="4"/>
    <s v="6200000"/>
    <s v="Maint &amp; Leg/Co.Compl"/>
    <s v="MW09C21028"/>
    <s v="Segurança Industrial"/>
    <n v="432.96"/>
    <s v="S 0010 CERTIFCACAO DE CABO OPTICO"/>
    <x v="32"/>
    <s v=""/>
    <s v="614456067"/>
    <s v=""/>
    <s v="4008227225"/>
    <s v="BRMNJ"/>
    <s v="10"/>
  </r>
  <r>
    <x v="0"/>
    <d v="2022-05-03T00:00:00"/>
    <x v="4"/>
    <s v="6200000"/>
    <s v="Maint &amp; Leg/Co.Compl"/>
    <s v="MW09C21028"/>
    <s v="Segurança Industrial"/>
    <n v="129.91999999999999"/>
    <s v="I 0220 INST CORDAO OPTICO DUPLEX"/>
    <x v="32"/>
    <s v=""/>
    <s v="614456067"/>
    <s v=""/>
    <s v="4008227225"/>
    <s v="BRMNJ"/>
    <s v="2"/>
  </r>
  <r>
    <x v="0"/>
    <d v="2022-05-03T00:00:00"/>
    <x v="4"/>
    <s v="6200000"/>
    <s v="Maint &amp; Leg/Co.Compl"/>
    <s v="MW09C21028"/>
    <s v="Segurança Industrial"/>
    <n v="129.87"/>
    <s v="I 0324 INST FITA FLEXIVEL"/>
    <x v="32"/>
    <s v=""/>
    <s v="614456067"/>
    <s v=""/>
    <s v="4008227225"/>
    <s v="BRMNJ"/>
    <s v="4"/>
  </r>
  <r>
    <x v="0"/>
    <d v="2022-05-03T00:00:00"/>
    <x v="4"/>
    <s v="6200000"/>
    <s v="Maint &amp; Leg/Co.Compl"/>
    <s v="MW09C21028"/>
    <s v="Segurança Industrial"/>
    <n v="86.72"/>
    <s v="I 0407 INST DE PROTETOR DE EMENDA"/>
    <x v="32"/>
    <s v=""/>
    <s v="614456067"/>
    <s v=""/>
    <s v="4008227225"/>
    <s v="BRMNJ"/>
    <s v="7"/>
  </r>
  <r>
    <x v="0"/>
    <d v="2022-05-03T00:00:00"/>
    <x v="4"/>
    <s v="6200000"/>
    <s v="Maint &amp; Leg/Co.Compl"/>
    <s v="MW09C21028"/>
    <s v="Segurança Industrial"/>
    <n v="48.75"/>
    <s v="I 0392 INST DE PALQUETA ACRILICO"/>
    <x v="32"/>
    <s v=""/>
    <s v="614456067"/>
    <s v=""/>
    <s v="4008227225"/>
    <s v="BRMNJ"/>
    <s v="6"/>
  </r>
  <r>
    <x v="0"/>
    <d v="2022-05-03T00:00:00"/>
    <x v="4"/>
    <s v="6200000"/>
    <s v="Maint &amp; Leg/Co.Compl"/>
    <s v="MW09C21028"/>
    <s v="Segurança Industrial"/>
    <n v="32.700000000000003"/>
    <s v="I 0002 INST DE ABRACADEIRA PLASTICA T30"/>
    <x v="32"/>
    <s v=""/>
    <s v="614456067"/>
    <s v=""/>
    <s v="4008227225"/>
    <s v="BRMNJ"/>
    <s v="1"/>
  </r>
  <r>
    <x v="0"/>
    <d v="2022-05-03T00:00:00"/>
    <x v="4"/>
    <s v="6200000"/>
    <s v="Maint &amp; Leg/Co.Compl"/>
    <s v="MW09C21028"/>
    <s v="Segurança Industrial"/>
    <n v="5.42"/>
    <s v="I 0325 INST FITA ISOLANTE"/>
    <x v="32"/>
    <s v=""/>
    <s v="614456067"/>
    <s v=""/>
    <s v="4008227225"/>
    <s v="BRMNJ"/>
    <s v="5"/>
  </r>
  <r>
    <x v="0"/>
    <d v="2022-05-04T00:00:00"/>
    <x v="4"/>
    <s v="6032730"/>
    <s v="Exp emp con-ded"/>
    <s v="MW09C21028"/>
    <s v="Segurança Industrial"/>
    <n v="-45264.49"/>
    <s v="Fundo de Sobras PreviBayer Plano CD"/>
    <x v="76"/>
    <s v=""/>
    <s v=""/>
    <s v=""/>
    <s v="4008229773"/>
    <s v="GMLHA"/>
    <s v="40"/>
  </r>
  <r>
    <x v="0"/>
    <d v="2022-05-06T00:00:00"/>
    <x v="4"/>
    <s v="6879990"/>
    <s v="Other taxes"/>
    <s v="MW09C21028"/>
    <s v="Segurança Industrial"/>
    <n v="10242.74"/>
    <s v="Credito de PIS e COFINS sobre a depreciacao MAI 20"/>
    <x v="49"/>
    <s v=""/>
    <s v=""/>
    <s v=""/>
    <s v="4008237712"/>
    <s v="GMGLN"/>
    <s v="42"/>
  </r>
  <r>
    <x v="0"/>
    <d v="2022-05-06T00:00:00"/>
    <x v="4"/>
    <s v="6879990"/>
    <s v="Other taxes"/>
    <s v="MW09C21028"/>
    <s v="Segurança Industrial"/>
    <n v="-10242.74"/>
    <s v="Credito de PIS e COFINS sobre a depreciacao MAI 20"/>
    <x v="49"/>
    <s v=""/>
    <s v=""/>
    <s v=""/>
    <s v="4008237704"/>
    <s v="GMGLN"/>
    <s v="42"/>
  </r>
  <r>
    <x v="0"/>
    <d v="2022-05-10T00:00:00"/>
    <x v="4"/>
    <s v="6715000"/>
    <s v="Fire prevent serv."/>
    <s v="MW09C21028"/>
    <s v="Segurança Industrial"/>
    <n v="10193.99"/>
    <s v="Valor Fire prevent serv  ref  Docto Nr  36963"/>
    <x v="10"/>
    <s v=""/>
    <s v="660469035"/>
    <s v=""/>
    <s v="4008242458"/>
    <s v="GMGNH"/>
    <s v="1"/>
  </r>
  <r>
    <x v="0"/>
    <d v="2022-05-10T00:00:00"/>
    <x v="4"/>
    <s v="6542000"/>
    <s v="Environmental serv"/>
    <s v="MW09C21028"/>
    <s v="Segurança Industrial"/>
    <n v="4780.07"/>
    <s v="Valor Environmental serv ref  Docto Nr  400"/>
    <x v="0"/>
    <s v=""/>
    <s v="660469034"/>
    <s v=""/>
    <s v="4008242504"/>
    <s v="GNEPP"/>
    <s v="1"/>
  </r>
  <r>
    <x v="0"/>
    <d v="2022-05-10T00:00:00"/>
    <x v="4"/>
    <s v="6200000"/>
    <s v="Maint &amp; Leg/Co.Compl"/>
    <s v="MW09C21028"/>
    <s v="Segurança Industrial"/>
    <n v="2111.0700000000002"/>
    <s v="LOC REPETIDORA MOTOROLA MTS3 C/ LINK"/>
    <x v="62"/>
    <s v=""/>
    <s v="660460846"/>
    <s v=""/>
    <s v="4008242501"/>
    <s v="GMGNH"/>
    <s v="1"/>
  </r>
  <r>
    <x v="0"/>
    <d v="2022-05-11T00:00:00"/>
    <x v="4"/>
    <s v="6822200"/>
    <s v="Milage allowance"/>
    <s v="MW09C21028"/>
    <s v="Segurança Industrial"/>
    <n v="97.2"/>
    <s v="Utilização Veículo Particular/08855401/53F3D878B28"/>
    <x v="13"/>
    <s v=""/>
    <s v=""/>
    <s v=""/>
    <s v="4008243286"/>
    <s v="SXIDOCXI"/>
    <s v="1"/>
  </r>
  <r>
    <x v="0"/>
    <d v="2022-05-12T00:00:00"/>
    <x v="4"/>
    <s v="6715000"/>
    <s v="Fire prevent serv."/>
    <s v="MW09C21028"/>
    <s v="Segurança Industrial"/>
    <n v="5881.5"/>
    <s v="Valor Fire prevent serv  ref  Docto Nr  36984"/>
    <x v="10"/>
    <s v=""/>
    <s v="660469659"/>
    <s v=""/>
    <s v="4008245327"/>
    <s v="GEMKD"/>
    <s v="1"/>
  </r>
  <r>
    <x v="0"/>
    <d v="2022-05-12T00:00:00"/>
    <x v="4"/>
    <s v="6715000"/>
    <s v="Fire prevent serv."/>
    <s v="MW09C21028"/>
    <s v="Segurança Industrial"/>
    <n v="3191.1"/>
    <s v="Valor Fire prevent serv  ref  Docto Nr  36993"/>
    <x v="10"/>
    <s v=""/>
    <s v="660469654"/>
    <s v=""/>
    <s v="4008245330"/>
    <s v="GEMKD"/>
    <s v="2"/>
  </r>
  <r>
    <x v="0"/>
    <d v="2022-05-12T00:00:00"/>
    <x v="4"/>
    <s v="6715000"/>
    <s v="Fire prevent serv."/>
    <s v="MW09C21028"/>
    <s v="Segurança Industrial"/>
    <n v="1787.71"/>
    <s v="Valor Fire prevent serv  ref  Docto Nr  36992"/>
    <x v="10"/>
    <s v=""/>
    <s v="660469079"/>
    <s v=""/>
    <s v="4008245329"/>
    <s v="GEMKD"/>
    <s v="4"/>
  </r>
  <r>
    <x v="0"/>
    <d v="2022-05-12T00:00:00"/>
    <x v="4"/>
    <s v="6715000"/>
    <s v="Fire prevent serv."/>
    <s v="MW09C21028"/>
    <s v="Segurança Industrial"/>
    <n v="1276.44"/>
    <s v="Valor Fire prevent serv  ref  Docto Nr  36992"/>
    <x v="10"/>
    <s v=""/>
    <s v="660469079"/>
    <s v=""/>
    <s v="4008245329"/>
    <s v="GEMKD"/>
    <s v="1"/>
  </r>
  <r>
    <x v="0"/>
    <d v="2022-05-12T00:00:00"/>
    <x v="4"/>
    <s v="6715000"/>
    <s v="Fire prevent serv."/>
    <s v="MW09C21028"/>
    <s v="Segurança Industrial"/>
    <n v="1046.04"/>
    <s v="Valor Fire prevent serv  ref  Docto Nr  36993"/>
    <x v="10"/>
    <s v=""/>
    <s v="660469654"/>
    <s v=""/>
    <s v="4008245330"/>
    <s v="GEMKD"/>
    <s v="3"/>
  </r>
  <r>
    <x v="0"/>
    <d v="2022-05-12T00:00:00"/>
    <x v="4"/>
    <s v="6715000"/>
    <s v="Fire prevent serv."/>
    <s v="MW09C21028"/>
    <s v="Segurança Industrial"/>
    <n v="1034.99"/>
    <s v="Valor Fire prevent serv  ref  Docto Nr  36993"/>
    <x v="10"/>
    <s v=""/>
    <s v="660469654"/>
    <s v=""/>
    <s v="4008245330"/>
    <s v="GEMKD"/>
    <s v="4"/>
  </r>
  <r>
    <x v="0"/>
    <d v="2022-05-12T00:00:00"/>
    <x v="4"/>
    <s v="6715000"/>
    <s v="Fire prevent serv."/>
    <s v="MW09C21028"/>
    <s v="Segurança Industrial"/>
    <n v="677.52"/>
    <s v="Valor Fire prevent serv  ref  Docto Nr  36992"/>
    <x v="10"/>
    <s v=""/>
    <s v="660469079"/>
    <s v=""/>
    <s v="4008245329"/>
    <s v="GEMKD"/>
    <s v="3"/>
  </r>
  <r>
    <x v="0"/>
    <d v="2022-05-12T00:00:00"/>
    <x v="4"/>
    <s v="6715000"/>
    <s v="Fire prevent serv."/>
    <s v="MW09C21028"/>
    <s v="Segurança Industrial"/>
    <n v="454.8"/>
    <s v="Valor Fire prevent serv  ref  Docto Nr  36992"/>
    <x v="10"/>
    <s v=""/>
    <s v="660469079"/>
    <s v=""/>
    <s v="4008245329"/>
    <s v="GEMKD"/>
    <s v="2"/>
  </r>
  <r>
    <x v="0"/>
    <d v="2022-05-12T00:00:00"/>
    <x v="4"/>
    <s v="6715000"/>
    <s v="Fire prevent serv."/>
    <s v="MW09C21028"/>
    <s v="Segurança Industrial"/>
    <n v="423.44"/>
    <s v="Valor Fire prevent serv  ref  Docto Nr  36992"/>
    <x v="10"/>
    <s v=""/>
    <s v="660469079"/>
    <s v=""/>
    <s v="4008245329"/>
    <s v="GEMKD"/>
    <s v="5"/>
  </r>
  <r>
    <x v="0"/>
    <d v="2022-05-12T00:00:00"/>
    <x v="4"/>
    <s v="6715000"/>
    <s v="Fire prevent serv."/>
    <s v="MW09C21028"/>
    <s v="Segurança Industrial"/>
    <n v="54.88"/>
    <s v="Valor Fire prevent serv  ref  Docto Nr  36993"/>
    <x v="10"/>
    <s v=""/>
    <s v="660469654"/>
    <s v=""/>
    <s v="4008245330"/>
    <s v="GEMKD"/>
    <s v="1"/>
  </r>
  <r>
    <x v="0"/>
    <d v="2022-05-12T00:00:00"/>
    <x v="4"/>
    <s v="6829000"/>
    <s v="Taxi/publ.transp."/>
    <s v="MW09C21028"/>
    <s v="Segurança Industrial"/>
    <n v="805.23"/>
    <s v="Valor Taxi publ transp  ref  Docto Nr  50860"/>
    <x v="6"/>
    <s v=""/>
    <s v="660434840"/>
    <s v=""/>
    <s v="4008244941"/>
    <s v="GNEPP"/>
    <s v="1"/>
  </r>
  <r>
    <x v="0"/>
    <d v="2022-05-12T00:00:00"/>
    <x v="4"/>
    <s v="6320000"/>
    <s v="Supplies"/>
    <s v="MW09C21028"/>
    <s v="Segurança Industrial"/>
    <n v="60"/>
    <s v="Valor Supplies ref  Docto Nr  455"/>
    <x v="4"/>
    <s v=""/>
    <s v="660458496"/>
    <s v=""/>
    <s v="4008245334"/>
    <s v="GEMKD"/>
    <s v="3"/>
  </r>
  <r>
    <x v="0"/>
    <d v="2022-05-13T00:00:00"/>
    <x v="4"/>
    <s v="6829990"/>
    <s v="Other travel cost"/>
    <s v="MW09C21028"/>
    <s v="Segurança Industrial"/>
    <n v="900.88"/>
    <s v="Abastecimento Veículo Emergencial Segurança Indust"/>
    <x v="52"/>
    <s v=""/>
    <s v=""/>
    <s v=""/>
    <s v="4008245921"/>
    <s v="SXIDOCXI"/>
    <s v="1"/>
  </r>
  <r>
    <x v="0"/>
    <d v="2022-05-13T00:00:00"/>
    <x v="4"/>
    <s v="6829990"/>
    <s v="Other travel cost"/>
    <s v="MW09C21028"/>
    <s v="Segurança Industrial"/>
    <n v="794.76"/>
    <s v="Abastecimento Veículo Emergencial Segurança Indust"/>
    <x v="7"/>
    <s v=""/>
    <s v=""/>
    <s v=""/>
    <s v="4008245925"/>
    <s v="SXIDOCXI"/>
    <s v="1"/>
  </r>
  <r>
    <x v="0"/>
    <d v="2022-05-13T00:00:00"/>
    <x v="4"/>
    <s v="6829990"/>
    <s v="Other travel cost"/>
    <s v="MW09C21028"/>
    <s v="Segurança Industrial"/>
    <n v="730.9"/>
    <s v="Abastecimento Veículo Emergencial Segurança Indust"/>
    <x v="22"/>
    <s v=""/>
    <s v=""/>
    <s v=""/>
    <s v="4008245924"/>
    <s v="SXIDOCXI"/>
    <s v="1"/>
  </r>
  <r>
    <x v="0"/>
    <d v="2022-05-13T00:00:00"/>
    <x v="4"/>
    <s v="6829990"/>
    <s v="Other travel cost"/>
    <s v="MW09C21028"/>
    <s v="Segurança Industrial"/>
    <n v="500"/>
    <s v="Retirada de Cães Complexo Industrial Belford Roxo/"/>
    <x v="7"/>
    <s v=""/>
    <s v=""/>
    <s v=""/>
    <s v="4008245925"/>
    <s v="SXIDOCXI"/>
    <s v="2"/>
  </r>
  <r>
    <x v="0"/>
    <d v="2022-05-13T00:00:00"/>
    <x v="4"/>
    <s v="6829990"/>
    <s v="Other travel cost"/>
    <s v="MW09C21028"/>
    <s v="Segurança Industrial"/>
    <n v="334.02"/>
    <s v="Missão Executiva/06168326/53F6150EC484419DA546/RDV"/>
    <x v="23"/>
    <s v=""/>
    <s v=""/>
    <s v=""/>
    <s v="4008245923"/>
    <s v="SXIDOCXI"/>
    <s v="5"/>
  </r>
  <r>
    <x v="0"/>
    <d v="2022-05-13T00:00:00"/>
    <x v="4"/>
    <s v="6829990"/>
    <s v="Other travel cost"/>
    <s v="MW09C21028"/>
    <s v="Segurança Industrial"/>
    <n v="283.2"/>
    <s v="Utilização de Veículo Executivo Segurança Industri"/>
    <x v="23"/>
    <s v=""/>
    <s v=""/>
    <s v=""/>
    <s v="4008245923"/>
    <s v="SXIDOCXI"/>
    <s v="7"/>
  </r>
  <r>
    <x v="0"/>
    <d v="2022-05-13T00:00:00"/>
    <x v="4"/>
    <s v="6822100"/>
    <s v="Transp cost staff"/>
    <s v="MW09C21028"/>
    <s v="Segurança Industrial"/>
    <n v="244.84"/>
    <s v="Apoio a Balança Rodoviária/06827311/2FF311E5376940"/>
    <x v="56"/>
    <s v=""/>
    <s v=""/>
    <s v=""/>
    <s v="4008245932"/>
    <s v="SXIDOCXI"/>
    <s v="1"/>
  </r>
  <r>
    <x v="0"/>
    <d v="2022-05-13T00:00:00"/>
    <x v="4"/>
    <s v="6829990"/>
    <s v="Other travel cost"/>
    <s v="MW09C21028"/>
    <s v="Segurança Industrial"/>
    <n v="220"/>
    <s v="Abastecimento Veículo Executivo Segurança Industri"/>
    <x v="23"/>
    <s v=""/>
    <s v=""/>
    <s v=""/>
    <s v="4008245923"/>
    <s v="SXIDOCXI"/>
    <s v="3"/>
  </r>
  <r>
    <x v="0"/>
    <d v="2022-05-13T00:00:00"/>
    <x v="4"/>
    <s v="6829990"/>
    <s v="Other travel cost"/>
    <s v="MW09C21028"/>
    <s v="Segurança Industrial"/>
    <n v="196.4"/>
    <s v="Utilização Veículo Executivo Segurança Industrial/"/>
    <x v="22"/>
    <s v=""/>
    <s v=""/>
    <s v=""/>
    <s v="4008245924"/>
    <s v="SXIDOCXI"/>
    <s v="3"/>
  </r>
  <r>
    <x v="0"/>
    <d v="2022-05-13T00:00:00"/>
    <x v="4"/>
    <s v="6822200"/>
    <s v="Milage allowance"/>
    <s v="MW09C21028"/>
    <s v="Segurança Industrial"/>
    <n v="158.4"/>
    <s v="Utilização Veículo Particular/06168326/53F6150EC48"/>
    <x v="23"/>
    <s v=""/>
    <s v=""/>
    <s v=""/>
    <s v="4008245923"/>
    <s v="SXIDOCXI"/>
    <s v="8"/>
  </r>
  <r>
    <x v="0"/>
    <d v="2022-05-13T00:00:00"/>
    <x v="4"/>
    <s v="6829990"/>
    <s v="Other travel cost"/>
    <s v="MW09C21028"/>
    <s v="Segurança Industrial"/>
    <n v="129"/>
    <s v="Abastecimento Veículo Emergencial Segurança Indust"/>
    <x v="23"/>
    <s v=""/>
    <s v=""/>
    <s v=""/>
    <s v="4008245923"/>
    <s v="SXIDOCXI"/>
    <s v="1"/>
  </r>
  <r>
    <x v="0"/>
    <d v="2022-05-13T00:00:00"/>
    <x v="4"/>
    <s v="6822200"/>
    <s v="Milage allowance"/>
    <s v="MW09C21028"/>
    <s v="Segurança Industrial"/>
    <n v="104.4"/>
    <s v="Utilização Veículo Particular/07388982/CE8B178C6DC"/>
    <x v="26"/>
    <s v=""/>
    <s v=""/>
    <s v=""/>
    <s v="4008245934"/>
    <s v="SXIDOCXI"/>
    <s v="1"/>
  </r>
  <r>
    <x v="0"/>
    <d v="2022-05-13T00:00:00"/>
    <x v="4"/>
    <s v="6822200"/>
    <s v="Milage allowance"/>
    <s v="MW09C21028"/>
    <s v="Segurança Industrial"/>
    <n v="86.4"/>
    <s v="Utilização de Veículo Particular/06168407/DEC7EFFC"/>
    <x v="22"/>
    <s v=""/>
    <s v=""/>
    <s v=""/>
    <s v="4008245924"/>
    <s v="SXIDOCXI"/>
    <s v="4"/>
  </r>
  <r>
    <x v="0"/>
    <d v="2022-05-13T00:00:00"/>
    <x v="4"/>
    <s v="6829990"/>
    <s v="Other travel cost"/>
    <s v="MW09C21028"/>
    <s v="Segurança Industrial"/>
    <n v="60"/>
    <s v="Manutenção Veículo Executivo Segurança Industrial/"/>
    <x v="23"/>
    <s v=""/>
    <s v=""/>
    <s v=""/>
    <s v="4008245923"/>
    <s v="SXIDOCXI"/>
    <s v="4"/>
  </r>
  <r>
    <x v="0"/>
    <d v="2022-05-13T00:00:00"/>
    <x v="4"/>
    <s v="6822200"/>
    <s v="Milage allowance"/>
    <s v="MW09C21028"/>
    <s v="Segurança Industrial"/>
    <n v="57.6"/>
    <s v="Utilização Veículo Particular/10356972/6BC64202032"/>
    <x v="58"/>
    <s v=""/>
    <s v=""/>
    <s v=""/>
    <s v="4008245977"/>
    <s v="SXIDOCXI"/>
    <s v="2"/>
  </r>
  <r>
    <x v="0"/>
    <d v="2022-05-13T00:00:00"/>
    <x v="4"/>
    <s v="6821200"/>
    <s v="Food allowance"/>
    <s v="MW09C21028"/>
    <s v="Segurança Industrial"/>
    <n v="56"/>
    <s v="Missão Executiva/10356972/6BC64202032741539105/RDV"/>
    <x v="58"/>
    <s v=""/>
    <s v=""/>
    <s v=""/>
    <s v="4008245977"/>
    <s v="SXIDOCXI"/>
    <s v="5"/>
  </r>
  <r>
    <x v="0"/>
    <d v="2022-05-13T00:00:00"/>
    <x v="4"/>
    <s v="6829990"/>
    <s v="Other travel cost"/>
    <s v="MW09C21028"/>
    <s v="Segurança Industrial"/>
    <n v="44.02"/>
    <s v="Manutenção Veículo Emergencial Segurança Industria"/>
    <x v="22"/>
    <s v=""/>
    <s v=""/>
    <s v=""/>
    <s v="4008245924"/>
    <s v="SXIDOCXI"/>
    <s v="2"/>
  </r>
  <r>
    <x v="0"/>
    <d v="2022-05-13T00:00:00"/>
    <x v="4"/>
    <s v="6822200"/>
    <s v="Milage allowance"/>
    <s v="MW09C21028"/>
    <s v="Segurança Industrial"/>
    <n v="27"/>
    <s v="Utilização Veículo Particular/06168296/6FC7565F2DE"/>
    <x v="31"/>
    <s v=""/>
    <s v=""/>
    <s v=""/>
    <s v="4008245922"/>
    <s v="SXIDOCXI"/>
    <s v="1"/>
  </r>
  <r>
    <x v="0"/>
    <d v="2022-05-13T00:00:00"/>
    <x v="4"/>
    <s v="6822200"/>
    <s v="Milage allowance"/>
    <s v="MW09C21028"/>
    <s v="Segurança Industrial"/>
    <n v="23.4"/>
    <s v="Utilização Veículo Particular/09695459/CCF3B1427DC"/>
    <x v="54"/>
    <s v=""/>
    <s v=""/>
    <s v=""/>
    <s v="4008245949"/>
    <s v="SXIDOCXI"/>
    <s v="1"/>
  </r>
  <r>
    <x v="0"/>
    <d v="2022-05-13T00:00:00"/>
    <x v="4"/>
    <s v="6822200"/>
    <s v="Milage allowance"/>
    <s v="MW09C21028"/>
    <s v="Segurança Industrial"/>
    <n v="22.5"/>
    <s v="Utilização Veículo Pessoal/06169241/8DFFF9018AA247"/>
    <x v="7"/>
    <s v=""/>
    <s v=""/>
    <s v=""/>
    <s v="4008245925"/>
    <s v="SXIDOCXI"/>
    <s v="3"/>
  </r>
  <r>
    <x v="0"/>
    <d v="2022-05-13T00:00:00"/>
    <x v="4"/>
    <s v="6822100"/>
    <s v="Transp cost staff"/>
    <s v="MW09C21028"/>
    <s v="Segurança Industrial"/>
    <n v="19.940000000000001"/>
    <s v="Apoio a Equipe de Turno/10356972/6BC64202032741539"/>
    <x v="58"/>
    <s v=""/>
    <s v=""/>
    <s v=""/>
    <s v="4008245977"/>
    <s v="SXIDOCXI"/>
    <s v="3"/>
  </r>
  <r>
    <x v="0"/>
    <d v="2022-05-14T00:00:00"/>
    <x v="4"/>
    <s v="6822200"/>
    <s v="Milage allowance"/>
    <s v="MW09C21028"/>
    <s v="Segurança Industrial"/>
    <n v="360"/>
    <s v="Utilização Veículo Particular/08547685/B0DDC28E5EE"/>
    <x v="21"/>
    <s v=""/>
    <s v=""/>
    <s v=""/>
    <s v="4008247600"/>
    <s v="SXIDOCXI"/>
    <s v="1"/>
  </r>
  <r>
    <x v="0"/>
    <d v="2022-05-15T00:00:00"/>
    <x v="4"/>
    <s v="6829990"/>
    <s v="Other travel cost"/>
    <s v="MW09C21028"/>
    <s v="Segurança Industrial"/>
    <n v="250"/>
    <s v="Retirada de Cães Complexo Industrial - Belford Rox"/>
    <x v="24"/>
    <s v=""/>
    <s v=""/>
    <s v=""/>
    <s v="4008248909"/>
    <s v="SXIDOCXI"/>
    <s v="1"/>
  </r>
  <r>
    <x v="0"/>
    <d v="2022-05-16T00:00:00"/>
    <x v="4"/>
    <s v="6711000"/>
    <s v="Security Service"/>
    <s v="MW09C21028"/>
    <s v="Segurança Industrial"/>
    <n v="2395.6"/>
    <s v="Valor Security Service ref  Docto Nr  418"/>
    <x v="11"/>
    <s v=""/>
    <s v=""/>
    <s v=""/>
    <s v="4008249874"/>
    <s v="GNEPP"/>
    <s v="2"/>
  </r>
  <r>
    <x v="0"/>
    <d v="2022-05-16T00:00:00"/>
    <x v="4"/>
    <s v="6876000"/>
    <s v="Municip+regional tax"/>
    <s v="MW09C21028"/>
    <s v="Segurança Industrial"/>
    <n v="833.94"/>
    <s v="Seguranca Industrial"/>
    <x v="69"/>
    <s v=""/>
    <s v=""/>
    <s v=""/>
    <s v="4008248483"/>
    <s v="EUPNO_FF"/>
    <s v="13"/>
  </r>
  <r>
    <x v="0"/>
    <d v="2022-05-17T00:00:00"/>
    <x v="4"/>
    <s v="6701000"/>
    <s v="Training"/>
    <s v="MW09C21028"/>
    <s v="Segurança Industrial"/>
    <n v="1716.69"/>
    <s v="MUDANÇA DE CATEGORIA CNH/10356980/83C17AE97C284131"/>
    <x v="77"/>
    <s v=""/>
    <s v=""/>
    <s v=""/>
    <s v="4008251155"/>
    <s v="SXIDOCXI"/>
    <s v="2"/>
  </r>
  <r>
    <x v="0"/>
    <d v="2022-05-17T00:00:00"/>
    <x v="4"/>
    <s v="6772000"/>
    <s v="MGT Consultancy"/>
    <s v="MW09C21028"/>
    <s v="Segurança Industrial"/>
    <n v="900"/>
    <s v="Valor MGT Consultancy ref  Docto Nr  715"/>
    <x v="78"/>
    <s v=""/>
    <s v=""/>
    <s v=""/>
    <s v="4008252073"/>
    <s v="GMGNH"/>
    <s v="1"/>
  </r>
  <r>
    <x v="0"/>
    <d v="2022-05-17T00:00:00"/>
    <x v="4"/>
    <s v="6701000"/>
    <s v="Training"/>
    <s v="MW09C21028"/>
    <s v="Segurança Industrial"/>
    <n v="230"/>
    <s v="MUDANÇA DE CATEGORIA CNH/10356980/83C17AE97C284131"/>
    <x v="77"/>
    <s v=""/>
    <s v=""/>
    <s v=""/>
    <s v="4008251155"/>
    <s v="SXIDOCXI"/>
    <s v="4"/>
  </r>
  <r>
    <x v="0"/>
    <d v="2022-05-17T00:00:00"/>
    <x v="4"/>
    <s v="6822200"/>
    <s v="Milage allowance"/>
    <s v="MW09C21028"/>
    <s v="Segurança Industrial"/>
    <n v="151.19999999999999"/>
    <s v="Utilização de Veículo Particular/10356980/83C17AE9"/>
    <x v="77"/>
    <s v=""/>
    <s v=""/>
    <s v=""/>
    <s v="4008251155"/>
    <s v="SXIDOCXI"/>
    <s v="1"/>
  </r>
  <r>
    <x v="0"/>
    <d v="2022-05-17T00:00:00"/>
    <x v="4"/>
    <s v="6701000"/>
    <s v="Training"/>
    <s v="MW09C21028"/>
    <s v="Segurança Industrial"/>
    <n v="110"/>
    <s v="MUDANÇA DE CATEGORIA CNH/10356980/83C17AE97C284131"/>
    <x v="77"/>
    <s v=""/>
    <s v=""/>
    <s v=""/>
    <s v="4008251155"/>
    <s v="SXIDOCXI"/>
    <s v="3"/>
  </r>
  <r>
    <x v="0"/>
    <d v="2022-05-18T00:00:00"/>
    <x v="4"/>
    <s v="6711000"/>
    <s v="Security Service"/>
    <s v="MW09C21028"/>
    <s v="Segurança Industrial"/>
    <n v="9557.0499999999993"/>
    <s v="Valor Security Service ref  Docto Nr  423"/>
    <x v="11"/>
    <s v=""/>
    <s v="660469033"/>
    <s v=""/>
    <s v="4008253829"/>
    <s v="GNEPP"/>
    <s v="1"/>
  </r>
  <r>
    <x v="0"/>
    <d v="2022-05-18T00:00:00"/>
    <x v="4"/>
    <s v="6719990"/>
    <s v="Other site services"/>
    <s v="MW09C21028"/>
    <s v="Segurança Industrial"/>
    <n v="8135.89"/>
    <s v="Locação Uniformes e Toalhas"/>
    <x v="2"/>
    <s v=""/>
    <s v="660471158"/>
    <s v=""/>
    <s v="4008253524"/>
    <s v="GMGNH"/>
    <s v="2"/>
  </r>
  <r>
    <x v="0"/>
    <d v="2022-05-18T00:00:00"/>
    <x v="4"/>
    <s v="6719990"/>
    <s v="Other site services"/>
    <s v="MW09C21028"/>
    <s v="Segurança Industrial"/>
    <n v="3483.6"/>
    <s v="Valor Other site services ref  Docto Nr  21955"/>
    <x v="2"/>
    <s v=""/>
    <s v="660471159"/>
    <s v=""/>
    <s v="4008253537"/>
    <s v="GMGNH"/>
    <s v="2"/>
  </r>
  <r>
    <x v="0"/>
    <d v="2022-05-18T00:00:00"/>
    <x v="4"/>
    <s v="6772000"/>
    <s v="MGT Consultancy"/>
    <s v="MW09C21028"/>
    <s v="Segurança Industrial"/>
    <n v="900"/>
    <s v="Valor MGT Consultancy ref  Docto Nr  776"/>
    <x v="78"/>
    <s v=""/>
    <s v=""/>
    <s v=""/>
    <s v="4008252189"/>
    <s v="GNEPP"/>
    <s v="1"/>
  </r>
  <r>
    <x v="0"/>
    <d v="2022-05-18T00:00:00"/>
    <x v="4"/>
    <s v="6822100"/>
    <s v="Transp cost staff"/>
    <s v="MW09C21028"/>
    <s v="Segurança Industrial"/>
    <n v="22.93"/>
    <s v="Apoio a Equipe de Turno/06168296/30848C2F10244037B"/>
    <x v="31"/>
    <s v=""/>
    <s v=""/>
    <s v=""/>
    <s v="4008251993"/>
    <s v="SXIDOCXI"/>
    <s v="1"/>
  </r>
  <r>
    <x v="0"/>
    <d v="2022-05-19T00:00:00"/>
    <x v="4"/>
    <s v="6829990"/>
    <s v="Other travel cost"/>
    <s v="MW09C21028"/>
    <s v="Segurança Industrial"/>
    <n v="2389.96"/>
    <s v="Abastecimento/06169225/91C8740EB1584D2591E1/RDVV F"/>
    <x v="20"/>
    <s v=""/>
    <s v=""/>
    <s v=""/>
    <s v="4008254692"/>
    <s v="SXIDOCXI"/>
    <s v="2"/>
  </r>
  <r>
    <x v="0"/>
    <d v="2022-05-19T00:00:00"/>
    <x v="4"/>
    <s v="6629004"/>
    <s v="LVA Tangible Exp"/>
    <s v="MW09C21028"/>
    <s v="Segurança Industrial"/>
    <n v="438.9"/>
    <s v="Valor LVA Tangible Exp ref  Docto Nr  1941"/>
    <x v="5"/>
    <s v=""/>
    <s v="660468956"/>
    <s v=""/>
    <s v="4008255088"/>
    <s v="GMGNH"/>
    <s v="1"/>
  </r>
  <r>
    <x v="0"/>
    <d v="2022-05-19T00:00:00"/>
    <x v="4"/>
    <s v="6821200"/>
    <s v="Food allowance"/>
    <s v="MW09C21028"/>
    <s v="Segurança Industrial"/>
    <n v="246.9"/>
    <s v="Missão Executiva/06169225/91C8740EB1584D2591E1/RDV"/>
    <x v="20"/>
    <s v=""/>
    <s v=""/>
    <s v=""/>
    <s v="4008254692"/>
    <s v="SXIDOCXI"/>
    <s v="12"/>
  </r>
  <r>
    <x v="0"/>
    <d v="2022-05-19T00:00:00"/>
    <x v="4"/>
    <s v="6829990"/>
    <s v="Other travel cost"/>
    <s v="MW09C21028"/>
    <s v="Segurança Industrial"/>
    <n v="149.80000000000001"/>
    <s v="Tag Mensalidade/Pedagio/Estacionamento/06169225/91"/>
    <x v="20"/>
    <s v=""/>
    <s v=""/>
    <s v=""/>
    <s v="4008254692"/>
    <s v="SXIDOCXI"/>
    <s v="6"/>
  </r>
  <r>
    <x v="0"/>
    <d v="2022-05-19T00:00:00"/>
    <x v="4"/>
    <s v="6829990"/>
    <s v="Other travel cost"/>
    <s v="MW09C21028"/>
    <s v="Segurança Industrial"/>
    <n v="137.11000000000001"/>
    <s v="Pagamento da fatura após o vencimento./06169225/91"/>
    <x v="20"/>
    <s v=""/>
    <s v=""/>
    <s v=""/>
    <s v="4008254692"/>
    <s v="SXIDOCXI"/>
    <s v="8"/>
  </r>
  <r>
    <x v="0"/>
    <d v="2022-05-19T00:00:00"/>
    <x v="4"/>
    <s v="6831100"/>
    <s v="Bus meals"/>
    <s v="MW09C21028"/>
    <s v="Segurança Industrial"/>
    <n v="69.64"/>
    <s v="Missão Executiva/06169225/91C8740EB1584D2591E1/RDV"/>
    <x v="20"/>
    <s v=""/>
    <s v=""/>
    <s v=""/>
    <s v="4008254692"/>
    <s v="SXIDOCXI"/>
    <s v="10"/>
  </r>
  <r>
    <x v="0"/>
    <d v="2022-05-19T00:00:00"/>
    <x v="4"/>
    <s v="6821200"/>
    <s v="Food allowance"/>
    <s v="MW09C21028"/>
    <s v="Segurança Industrial"/>
    <n v="33"/>
    <s v="Missão Administrativa/06169225/91C8740EB1584D2591E"/>
    <x v="20"/>
    <s v=""/>
    <s v=""/>
    <s v=""/>
    <s v="4008254692"/>
    <s v="SXIDOCXI"/>
    <s v="11"/>
  </r>
  <r>
    <x v="0"/>
    <d v="2022-05-19T00:00:00"/>
    <x v="4"/>
    <s v="6829990"/>
    <s v="Other travel cost"/>
    <s v="MW09C21028"/>
    <s v="Segurança Industrial"/>
    <n v="30.22"/>
    <s v="Fatura paga após o vencimento./06169225/91C8740EB1"/>
    <x v="20"/>
    <s v=""/>
    <s v=""/>
    <s v=""/>
    <s v="4008254692"/>
    <s v="SXIDOCXI"/>
    <s v="7"/>
  </r>
  <r>
    <x v="0"/>
    <d v="2022-05-19T00:00:00"/>
    <x v="4"/>
    <s v="6829990"/>
    <s v="Other travel cost"/>
    <s v="MW09C21028"/>
    <s v="Segurança Industrial"/>
    <n v="4"/>
    <s v="Missão Executiva/06169225/91C8740EB1584D2591E1/RDV"/>
    <x v="20"/>
    <s v=""/>
    <s v=""/>
    <s v=""/>
    <s v="4008254692"/>
    <s v="SXIDOCXI"/>
    <s v="5"/>
  </r>
  <r>
    <x v="0"/>
    <d v="2022-05-19T00:00:00"/>
    <x v="4"/>
    <s v="6829990"/>
    <s v="Other travel cost"/>
    <s v="MW09C21028"/>
    <s v="Segurança Industrial"/>
    <n v="4"/>
    <s v="Missão Executiva/06169225/91C8740EB1584D2591E1/RDV"/>
    <x v="20"/>
    <s v=""/>
    <s v=""/>
    <s v=""/>
    <s v="4008254692"/>
    <s v="SXIDOCXI"/>
    <s v="4"/>
  </r>
  <r>
    <x v="0"/>
    <d v="2022-05-20T00:00:00"/>
    <x v="4"/>
    <s v="6280000"/>
    <s v="Technic. spare parts"/>
    <s v="MW09C21028"/>
    <s v="Segurança Industrial"/>
    <n v="1784.7"/>
    <s v="Valor Technic  spare parts ref  Docto Nr  25776"/>
    <x v="12"/>
    <s v=""/>
    <s v="660468958"/>
    <s v=""/>
    <s v="4008257428"/>
    <s v="GMGNH"/>
    <s v="1"/>
  </r>
  <r>
    <x v="0"/>
    <d v="2022-05-20T00:00:00"/>
    <x v="4"/>
    <s v="6711000"/>
    <s v="Security Service"/>
    <s v="MW09C21028"/>
    <s v="Segurança Industrial"/>
    <n v="319.68"/>
    <s v="Valor Security Service ref  Docto Nr  113735"/>
    <x v="29"/>
    <s v=""/>
    <s v="660473393"/>
    <s v=""/>
    <s v="4008257504"/>
    <s v="GMGNH"/>
    <s v="1"/>
  </r>
  <r>
    <x v="0"/>
    <d v="2022-05-23T00:00:00"/>
    <x v="4"/>
    <s v="6200000"/>
    <s v="Maint &amp; Leg/Co.Compl"/>
    <s v="MW09C21028"/>
    <s v="Segurança Industrial"/>
    <n v="3211.57"/>
    <s v="SISTEMA TRONCALIZADO TETRA DAMM (2 repet"/>
    <x v="62"/>
    <s v=""/>
    <s v="660475056"/>
    <s v=""/>
    <s v="4008261151"/>
    <s v="GEMKD"/>
    <s v="1"/>
  </r>
  <r>
    <x v="0"/>
    <d v="2022-05-23T00:00:00"/>
    <x v="4"/>
    <s v="6831400"/>
    <s v="Catering"/>
    <s v="MW09C21028"/>
    <s v="Segurança Industrial"/>
    <n v="944.63"/>
    <s v="Vr recup Refeicoes Colaboradores   Abr"/>
    <x v="15"/>
    <s v=""/>
    <s v=""/>
    <s v=""/>
    <s v="4008261702"/>
    <s v="GNPRP"/>
    <s v="16"/>
  </r>
  <r>
    <x v="0"/>
    <d v="2022-05-23T00:00:00"/>
    <x v="4"/>
    <s v="6822300"/>
    <s v="Coll transp staff"/>
    <s v="MW09C21028"/>
    <s v="Segurança Industrial"/>
    <n v="715.96"/>
    <s v="Recup Transporte Colaboradores   Abr"/>
    <x v="15"/>
    <s v=""/>
    <s v=""/>
    <s v=""/>
    <s v="4008261702"/>
    <s v="GNPRP"/>
    <s v="32"/>
  </r>
  <r>
    <x v="0"/>
    <d v="2022-05-23T00:00:00"/>
    <x v="4"/>
    <s v="6845000"/>
    <s v="Legal costs"/>
    <s v="MW09C21028"/>
    <s v="Segurança Industrial"/>
    <n v="286"/>
    <s v="Lancamento Rateio Medei_Homologacoes"/>
    <x v="42"/>
    <s v=""/>
    <s v=""/>
    <s v=""/>
    <s v="4008261942"/>
    <s v="GNPJH"/>
    <s v="10"/>
  </r>
  <r>
    <x v="0"/>
    <d v="2022-05-23T00:00:00"/>
    <x v="4"/>
    <s v="6200000"/>
    <s v="Maint &amp; Leg/Co.Compl"/>
    <s v="MW09C21028"/>
    <s v="Segurança Industrial"/>
    <n v="69.03"/>
    <s v="KIT DE TERMINAL FIXO (MESA) - MTM5400"/>
    <x v="62"/>
    <s v=""/>
    <s v="660475056"/>
    <s v=""/>
    <s v="4008261151"/>
    <s v="GEMKD"/>
    <s v="10"/>
  </r>
  <r>
    <x v="0"/>
    <d v="2022-05-24T00:00:00"/>
    <x v="4"/>
    <s v="6032003"/>
    <s v="Pension Accrual."/>
    <s v="MW09C21028"/>
    <s v="Segurança Industrial"/>
    <n v="1882.92"/>
    <s v="Prov Pl  Pensao Ativos BCS 2022"/>
    <x v="47"/>
    <s v=""/>
    <s v=""/>
    <s v=""/>
    <s v="4008262956"/>
    <s v="GMLHA"/>
    <s v="40"/>
  </r>
  <r>
    <x v="0"/>
    <d v="2022-05-24T00:00:00"/>
    <x v="4"/>
    <s v="6831400"/>
    <s v="Catering"/>
    <s v="MW09C21028"/>
    <s v="Segurança Industrial"/>
    <n v="737.1"/>
    <s v="Vr recup Serv Restaur Visitantes   Mai"/>
    <x v="15"/>
    <s v=""/>
    <s v=""/>
    <s v=""/>
    <s v="4008263431"/>
    <s v="GNPJH"/>
    <s v="34"/>
  </r>
  <r>
    <x v="0"/>
    <d v="2022-05-24T00:00:00"/>
    <x v="4"/>
    <s v="6471200"/>
    <s v="Product literature"/>
    <s v="MW09C21028"/>
    <s v="Segurança Industrial"/>
    <n v="423.8"/>
    <s v="Valor Product literature ref  Docto Nr  3180"/>
    <x v="30"/>
    <s v=""/>
    <s v="660475251"/>
    <s v=""/>
    <s v="4008262400"/>
    <s v="GMGNH"/>
    <s v="1"/>
  </r>
  <r>
    <x v="0"/>
    <d v="2022-05-24T00:00:00"/>
    <x v="4"/>
    <s v="6471200"/>
    <s v="Product literature"/>
    <s v="MW09C21028"/>
    <s v="Segurança Industrial"/>
    <n v="423.8"/>
    <s v="Valor Product literature ref  Docto Nr  3181"/>
    <x v="30"/>
    <s v=""/>
    <s v="660475243"/>
    <s v=""/>
    <s v="4008262403"/>
    <s v="GMGNH"/>
    <s v="1"/>
  </r>
  <r>
    <x v="0"/>
    <d v="2022-05-24T00:00:00"/>
    <x v="4"/>
    <s v="6032003"/>
    <s v="Pension Accrual."/>
    <s v="MW09C21028"/>
    <s v="Segurança Industrial"/>
    <n v="420.36"/>
    <s v="Prov Pl  Medico Efeito Ebit BCS 2022"/>
    <x v="48"/>
    <s v=""/>
    <s v=""/>
    <s v=""/>
    <s v="4008262960"/>
    <s v="GMLHA"/>
    <s v="1"/>
  </r>
  <r>
    <x v="0"/>
    <d v="2022-05-24T00:00:00"/>
    <x v="4"/>
    <s v="6471200"/>
    <s v="Product literature"/>
    <s v="MW09C21028"/>
    <s v="Segurança Industrial"/>
    <n v="389.6"/>
    <s v="Valor Product literature ref  Docto Nr  3180"/>
    <x v="30"/>
    <s v=""/>
    <s v="660475251"/>
    <s v=""/>
    <s v="4008262400"/>
    <s v="GMGNH"/>
    <s v="3"/>
  </r>
  <r>
    <x v="0"/>
    <d v="2022-05-24T00:00:00"/>
    <x v="4"/>
    <s v="6471200"/>
    <s v="Product literature"/>
    <s v="MW09C21028"/>
    <s v="Segurança Industrial"/>
    <n v="389.6"/>
    <s v="Valor Product literature ref  Docto Nr  3181"/>
    <x v="30"/>
    <s v=""/>
    <s v="660475243"/>
    <s v=""/>
    <s v="4008262403"/>
    <s v="GMGNH"/>
    <s v="3"/>
  </r>
  <r>
    <x v="0"/>
    <d v="2022-05-24T00:00:00"/>
    <x v="4"/>
    <s v="6831400"/>
    <s v="Catering"/>
    <s v="MW09C21028"/>
    <s v="Segurança Industrial"/>
    <n v="233.28"/>
    <s v="Vr recup Refeicoes Estagiarios   Mai"/>
    <x v="15"/>
    <s v=""/>
    <s v=""/>
    <s v=""/>
    <s v="4008263431"/>
    <s v="GNPJH"/>
    <s v="12"/>
  </r>
  <r>
    <x v="0"/>
    <d v="2022-05-24T00:00:00"/>
    <x v="4"/>
    <s v="6471200"/>
    <s v="Product literature"/>
    <s v="MW09C21028"/>
    <s v="Segurança Industrial"/>
    <n v="218"/>
    <s v="Valor Product literature ref  Docto Nr  3180"/>
    <x v="30"/>
    <s v=""/>
    <s v="660475251"/>
    <s v=""/>
    <s v="4008262400"/>
    <s v="GMGNH"/>
    <s v="2"/>
  </r>
  <r>
    <x v="0"/>
    <d v="2022-05-24T00:00:00"/>
    <x v="4"/>
    <s v="6471200"/>
    <s v="Product literature"/>
    <s v="MW09C21028"/>
    <s v="Segurança Industrial"/>
    <n v="218"/>
    <s v="Valor Product literature ref  Docto Nr  3181"/>
    <x v="30"/>
    <s v=""/>
    <s v="660475243"/>
    <s v=""/>
    <s v="4008262403"/>
    <s v="GMGNH"/>
    <s v="2"/>
  </r>
  <r>
    <x v="0"/>
    <d v="2022-05-24T00:00:00"/>
    <x v="4"/>
    <s v="6471200"/>
    <s v="Product literature"/>
    <s v="MW09C21028"/>
    <s v="Segurança Industrial"/>
    <n v="201.52"/>
    <s v="Valor Product literature ref  Docto Nr  3181"/>
    <x v="30"/>
    <s v=""/>
    <s v="660475243"/>
    <s v=""/>
    <s v="4008262403"/>
    <s v="GMGNH"/>
    <s v="5"/>
  </r>
  <r>
    <x v="0"/>
    <d v="2022-05-24T00:00:00"/>
    <x v="4"/>
    <s v="6471200"/>
    <s v="Product literature"/>
    <s v="MW09C21028"/>
    <s v="Segurança Industrial"/>
    <n v="201.5"/>
    <s v="Valor Product literature ref  Docto Nr  3180"/>
    <x v="30"/>
    <s v=""/>
    <s v="660475251"/>
    <s v=""/>
    <s v="4008262400"/>
    <s v="GMGNH"/>
    <s v="5"/>
  </r>
  <r>
    <x v="0"/>
    <d v="2022-05-24T00:00:00"/>
    <x v="4"/>
    <s v="6471200"/>
    <s v="Product literature"/>
    <s v="MW09C21028"/>
    <s v="Segurança Industrial"/>
    <n v="192.24"/>
    <s v="Valor Product literature ref  Docto Nr  3181"/>
    <x v="30"/>
    <s v=""/>
    <s v="660475243"/>
    <s v=""/>
    <s v="4008262403"/>
    <s v="GMGNH"/>
    <s v="4"/>
  </r>
  <r>
    <x v="0"/>
    <d v="2022-05-24T00:00:00"/>
    <x v="4"/>
    <s v="6471200"/>
    <s v="Product literature"/>
    <s v="MW09C21028"/>
    <s v="Segurança Industrial"/>
    <n v="192.23"/>
    <s v="Valor Product literature ref  Docto Nr  3180"/>
    <x v="30"/>
    <s v=""/>
    <s v="660475251"/>
    <s v=""/>
    <s v="4008262400"/>
    <s v="GMGNH"/>
    <s v="4"/>
  </r>
  <r>
    <x v="0"/>
    <d v="2022-05-24T00:00:00"/>
    <x v="4"/>
    <s v="6471200"/>
    <s v="Product literature"/>
    <s v="MW09C21028"/>
    <s v="Segurança Industrial"/>
    <n v="-192.23"/>
    <s v="SERV ANALISE LABORATORIAL MBAS"/>
    <x v="30"/>
    <s v=""/>
    <s v="660475251"/>
    <s v=""/>
    <s v="4008262922"/>
    <s v="GMGNH"/>
    <s v="4"/>
  </r>
  <r>
    <x v="0"/>
    <d v="2022-05-24T00:00:00"/>
    <x v="4"/>
    <s v="6471200"/>
    <s v="Product literature"/>
    <s v="MW09C21028"/>
    <s v="Segurança Industrial"/>
    <n v="-201.5"/>
    <s v="SERV ANALISE LABORATORIAL OLEOS E GRAXAS"/>
    <x v="30"/>
    <s v=""/>
    <s v="660475251"/>
    <s v=""/>
    <s v="4008262922"/>
    <s v="GMGNH"/>
    <s v="5"/>
  </r>
  <r>
    <x v="0"/>
    <d v="2022-05-24T00:00:00"/>
    <x v="4"/>
    <s v="6471200"/>
    <s v="Product literature"/>
    <s v="MW09C21028"/>
    <s v="Segurança Industrial"/>
    <n v="-218"/>
    <s v="SERV ANALISE LABORATORIAL CLORETO"/>
    <x v="30"/>
    <s v=""/>
    <s v="660475251"/>
    <s v=""/>
    <s v="4008262922"/>
    <s v="GMGNH"/>
    <s v="2"/>
  </r>
  <r>
    <x v="0"/>
    <d v="2022-05-24T00:00:00"/>
    <x v="4"/>
    <s v="6471200"/>
    <s v="Product literature"/>
    <s v="MW09C21028"/>
    <s v="Segurança Industrial"/>
    <n v="-389.6"/>
    <s v="SERV ANALISE LABORATORIAL DBO5"/>
    <x v="30"/>
    <s v=""/>
    <s v="660475251"/>
    <s v=""/>
    <s v="4008262922"/>
    <s v="GMGNH"/>
    <s v="3"/>
  </r>
  <r>
    <x v="0"/>
    <d v="2022-05-24T00:00:00"/>
    <x v="4"/>
    <s v="6471200"/>
    <s v="Product literature"/>
    <s v="MW09C21028"/>
    <s v="Segurança Industrial"/>
    <n v="-423.8"/>
    <s v="SERV ANALISE LABORATORIAL DQO TITULOMETR"/>
    <x v="30"/>
    <s v=""/>
    <s v="660475251"/>
    <s v=""/>
    <s v="4008262922"/>
    <s v="GMGNH"/>
    <s v="1"/>
  </r>
  <r>
    <x v="0"/>
    <d v="2022-05-25T00:00:00"/>
    <x v="4"/>
    <s v="6471200"/>
    <s v="Product literature"/>
    <s v="MW09C21028"/>
    <s v="Segurança Industrial"/>
    <n v="423.8"/>
    <s v="Valor Product literature ref  Docto Nr  3180"/>
    <x v="30"/>
    <s v=""/>
    <s v="660475251"/>
    <s v=""/>
    <s v="4008264607"/>
    <s v="GEMKD"/>
    <s v="1"/>
  </r>
  <r>
    <x v="0"/>
    <d v="2022-05-25T00:00:00"/>
    <x v="4"/>
    <s v="6471200"/>
    <s v="Product literature"/>
    <s v="MW09C21028"/>
    <s v="Segurança Industrial"/>
    <n v="389.6"/>
    <s v="Valor Product literature ref  Docto Nr  3180"/>
    <x v="30"/>
    <s v=""/>
    <s v="660475251"/>
    <s v=""/>
    <s v="4008264607"/>
    <s v="GEMKD"/>
    <s v="3"/>
  </r>
  <r>
    <x v="0"/>
    <d v="2022-05-25T00:00:00"/>
    <x v="4"/>
    <s v="6471200"/>
    <s v="Product literature"/>
    <s v="MW09C21028"/>
    <s v="Segurança Industrial"/>
    <n v="218"/>
    <s v="Valor Product literature ref  Docto Nr  3180"/>
    <x v="30"/>
    <s v=""/>
    <s v="660475251"/>
    <s v=""/>
    <s v="4008264607"/>
    <s v="GEMKD"/>
    <s v="2"/>
  </r>
  <r>
    <x v="0"/>
    <d v="2022-05-25T00:00:00"/>
    <x v="4"/>
    <s v="6471200"/>
    <s v="Product literature"/>
    <s v="MW09C21028"/>
    <s v="Segurança Industrial"/>
    <n v="201.52"/>
    <s v="Valor Product literature ref  Docto Nr  3180"/>
    <x v="30"/>
    <s v=""/>
    <s v="660475251"/>
    <s v=""/>
    <s v="4008264607"/>
    <s v="GEMKD"/>
    <s v="5"/>
  </r>
  <r>
    <x v="0"/>
    <d v="2022-05-25T00:00:00"/>
    <x v="4"/>
    <s v="6471200"/>
    <s v="Product literature"/>
    <s v="MW09C21028"/>
    <s v="Segurança Industrial"/>
    <n v="192.21"/>
    <s v="Valor Product literature ref  Docto Nr  3180"/>
    <x v="30"/>
    <s v=""/>
    <s v="660475251"/>
    <s v=""/>
    <s v="4008264607"/>
    <s v="GEMKD"/>
    <s v="4"/>
  </r>
  <r>
    <x v="0"/>
    <d v="2022-05-27T00:00:00"/>
    <x v="4"/>
    <s v="6011000"/>
    <s v="Salaries"/>
    <s v="MW09C21028"/>
    <s v="Segurança Industrial"/>
    <n v="106304.48"/>
    <s v="37NA/37U/Salários"/>
    <x v="33"/>
    <s v=""/>
    <s v=""/>
    <s v=""/>
    <s v="4008266606"/>
    <s v="WWCAST1_HR"/>
    <s v="896"/>
  </r>
  <r>
    <x v="0"/>
    <d v="2022-05-27T00:00:00"/>
    <x v="4"/>
    <s v="6011000"/>
    <s v="Salaries"/>
    <s v="MW09C21028"/>
    <s v="Segurança Industrial"/>
    <n v="58721.04"/>
    <s v="37NC/37U/Salarios Outros"/>
    <x v="33"/>
    <s v=""/>
    <s v=""/>
    <s v=""/>
    <s v="4008266606"/>
    <s v="WWCAST1_HR"/>
    <s v="895"/>
  </r>
  <r>
    <x v="0"/>
    <d v="2022-05-27T00:00:00"/>
    <x v="4"/>
    <s v="6020300"/>
    <s v="Soc sec cont-severan"/>
    <s v="MW09C21028"/>
    <s v="Segurança Industrial"/>
    <n v="46898.48"/>
    <s v="37NP/37U/Contribuição Inst.de Previdência"/>
    <x v="33"/>
    <s v=""/>
    <s v=""/>
    <s v=""/>
    <s v="4008266606"/>
    <s v="WWCAST1_HR"/>
    <s v="855"/>
  </r>
  <r>
    <x v="0"/>
    <d v="2022-05-27T00:00:00"/>
    <x v="4"/>
    <s v="6011100"/>
    <s v="Vacation Comp-Sal"/>
    <s v="MW09C21028"/>
    <s v="Segurança Industrial"/>
    <n v="36738.29"/>
    <s v="37NN/37U/Provisão Pagto Férias DL 1730/79"/>
    <x v="33"/>
    <s v=""/>
    <s v=""/>
    <s v=""/>
    <s v="4008266606"/>
    <s v="WWCAST1_HR"/>
    <s v="893"/>
  </r>
  <r>
    <x v="0"/>
    <d v="2022-05-27T00:00:00"/>
    <x v="4"/>
    <s v="6011700"/>
    <s v="Overtime Premium-sal"/>
    <s v="MW09C21028"/>
    <s v="Segurança Industrial"/>
    <n v="28484.02"/>
    <s v="37NF/37U/Horas Extras"/>
    <x v="33"/>
    <s v=""/>
    <s v=""/>
    <s v=""/>
    <s v="4008266606"/>
    <s v="WWCAST1_HR"/>
    <s v="819"/>
  </r>
  <r>
    <x v="0"/>
    <d v="2022-05-27T00:00:00"/>
    <x v="4"/>
    <s v="6011530"/>
    <s v="13th month rem sal"/>
    <s v="MW09C21028"/>
    <s v="Segurança Industrial"/>
    <n v="18439.009999999998"/>
    <s v="37NI/37U/13º Salário"/>
    <x v="33"/>
    <s v=""/>
    <s v=""/>
    <s v=""/>
    <s v="4008266606"/>
    <s v="WWCAST1_HR"/>
    <s v="891"/>
  </r>
  <r>
    <x v="0"/>
    <d v="2022-05-27T00:00:00"/>
    <x v="4"/>
    <s v="6020220"/>
    <s v="Unemployment fund"/>
    <s v="MW09C21028"/>
    <s v="Segurança Industrial"/>
    <n v="16528.14"/>
    <s v="37OF/37U/Desp.FGTS Diferença 10% C/Liminar"/>
    <x v="33"/>
    <s v=""/>
    <s v=""/>
    <s v=""/>
    <s v="4008266606"/>
    <s v="WWCAST1_HR"/>
    <s v="818"/>
  </r>
  <r>
    <x v="0"/>
    <d v="2022-05-27T00:00:00"/>
    <x v="4"/>
    <s v="6011700"/>
    <s v="Overtime Premium-sal"/>
    <s v="MW09C21028"/>
    <s v="Segurança Industrial"/>
    <n v="12106.11"/>
    <s v="37NG/37U/Horas Extras Revezamento"/>
    <x v="33"/>
    <s v=""/>
    <s v=""/>
    <s v=""/>
    <s v="4008266606"/>
    <s v="WWCAST1_HR"/>
    <s v="898"/>
  </r>
  <r>
    <x v="0"/>
    <d v="2022-05-27T00:00:00"/>
    <x v="4"/>
    <s v="6021130"/>
    <s v="Pay Ins Accid sal"/>
    <s v="MW09C21028"/>
    <s v="Segurança Industrial"/>
    <n v="8010.86"/>
    <s v="37NY/37U/Seguro Contra Acidentes de Trabalho"/>
    <x v="33"/>
    <s v=""/>
    <s v=""/>
    <s v=""/>
    <s v="4008266606"/>
    <s v="WWCAST1_HR"/>
    <s v="889"/>
  </r>
  <r>
    <x v="0"/>
    <d v="2022-05-27T00:00:00"/>
    <x v="4"/>
    <s v="6020320"/>
    <s v="Contingency fund"/>
    <s v="MW09C21028"/>
    <s v="Segurança Industrial"/>
    <n v="7078.03"/>
    <s v="37PE/37U/Encargos sobre 13o salário"/>
    <x v="33"/>
    <s v=""/>
    <s v=""/>
    <s v=""/>
    <s v="4008266606"/>
    <s v="WWCAST1_HR"/>
    <s v="892"/>
  </r>
  <r>
    <x v="0"/>
    <d v="2022-05-27T00:00:00"/>
    <x v="4"/>
    <s v="6020350"/>
    <s v="Accr soc-sec. contr."/>
    <s v="MW09C21028"/>
    <s v="Segurança Industrial"/>
    <n v="6848.34"/>
    <s v="37OD/37U/Provisão Encargos Sociais S/Férias DL 173"/>
    <x v="33"/>
    <s v=""/>
    <s v=""/>
    <s v=""/>
    <s v="4008266606"/>
    <s v="WWCAST1_HR"/>
    <s v="894"/>
  </r>
  <r>
    <x v="0"/>
    <d v="2022-05-27T00:00:00"/>
    <x v="4"/>
    <s v="6020300"/>
    <s v="Soc sec cont-severan"/>
    <s v="MW09C21028"/>
    <s v="Segurança Industrial"/>
    <n v="6817.84"/>
    <s v="37NX/37U/Salário Educação LEI 4440/64"/>
    <x v="33"/>
    <s v=""/>
    <s v=""/>
    <s v=""/>
    <s v="4008266606"/>
    <s v="WWCAST1_HR"/>
    <s v="890"/>
  </r>
  <r>
    <x v="0"/>
    <d v="2022-05-27T00:00:00"/>
    <x v="4"/>
    <s v="6032730"/>
    <s v="Exp emp con-ded"/>
    <s v="MW09C21028"/>
    <s v="Segurança Industrial"/>
    <n v="6081.16"/>
    <s v="37PA/37U/Contribuição a Previdencia Privada"/>
    <x v="33"/>
    <s v=""/>
    <s v=""/>
    <s v=""/>
    <s v="4008266606"/>
    <s v="WWCAST1_HR"/>
    <s v="821"/>
  </r>
  <r>
    <x v="0"/>
    <d v="2022-05-27T00:00:00"/>
    <x v="4"/>
    <s v="6042050"/>
    <s v="Rem. limited dur."/>
    <s v="MW09C21028"/>
    <s v="Segurança Industrial"/>
    <n v="4647.21"/>
    <s v="37NA/37W/Salários"/>
    <x v="33"/>
    <s v=""/>
    <s v=""/>
    <s v=""/>
    <s v="4008266606"/>
    <s v="WWCAST1_HR"/>
    <s v="6"/>
  </r>
  <r>
    <x v="0"/>
    <d v="2022-05-27T00:00:00"/>
    <x v="4"/>
    <s v="6061000"/>
    <s v="Allow for prec. Job"/>
    <s v="MW09C21028"/>
    <s v="Segurança Industrial"/>
    <n v="2660.23"/>
    <s v="37NC/37W/Salarios Outros"/>
    <x v="33"/>
    <s v=""/>
    <s v=""/>
    <s v=""/>
    <s v="4008266606"/>
    <s v="WWCAST1_HR"/>
    <s v="5"/>
  </r>
  <r>
    <x v="0"/>
    <d v="2022-05-27T00:00:00"/>
    <x v="4"/>
    <s v="6042050"/>
    <s v="Rem. limited dur."/>
    <s v="MW09C21028"/>
    <s v="Segurança Industrial"/>
    <n v="2464.98"/>
    <s v="37NF/37W/Horas Extras"/>
    <x v="33"/>
    <s v=""/>
    <s v=""/>
    <s v=""/>
    <s v="4008266606"/>
    <s v="WWCAST1_HR"/>
    <s v="63"/>
  </r>
  <r>
    <x v="0"/>
    <d v="2022-05-27T00:00:00"/>
    <x v="4"/>
    <s v="6020360"/>
    <s v="Employer cont pens p"/>
    <s v="MW09C21028"/>
    <s v="Segurança Industrial"/>
    <n v="2303.62"/>
    <s v="37NP/37W/Contribuição Inst.de Previdência"/>
    <x v="33"/>
    <s v=""/>
    <s v=""/>
    <s v=""/>
    <s v="4008266606"/>
    <s v="WWCAST1_HR"/>
    <s v="66"/>
  </r>
  <r>
    <x v="0"/>
    <d v="2022-05-27T00:00:00"/>
    <x v="4"/>
    <s v="6011540"/>
    <s v="Oth premium sal"/>
    <s v="MW09C21028"/>
    <s v="Segurança Industrial"/>
    <n v="2285.5"/>
    <s v="37NM/37U/Gratificação Ajustada Espontânea"/>
    <x v="33"/>
    <s v=""/>
    <s v=""/>
    <s v=""/>
    <s v="4008266606"/>
    <s v="WWCAST1_HR"/>
    <s v="867"/>
  </r>
  <r>
    <x v="0"/>
    <d v="2022-05-27T00:00:00"/>
    <x v="4"/>
    <s v="6043100"/>
    <s v="Pay apprenticeship"/>
    <s v="MW09C21028"/>
    <s v="Segurança Industrial"/>
    <n v="2000"/>
    <s v="37OU/37W/Serviço de Estagiário-PF"/>
    <x v="33"/>
    <s v=""/>
    <s v=""/>
    <s v=""/>
    <s v="4008266605"/>
    <s v="WWCAST1_HR"/>
    <s v="580"/>
  </r>
  <r>
    <x v="0"/>
    <d v="2022-05-27T00:00:00"/>
    <x v="4"/>
    <s v="6039300"/>
    <s v="Oth emp benefits"/>
    <s v="MW09C21028"/>
    <s v="Segurança Industrial"/>
    <n v="1321"/>
    <s v="37OR/37U/Outras Despesas Sociais"/>
    <x v="33"/>
    <s v=""/>
    <s v=""/>
    <s v=""/>
    <s v="4008266606"/>
    <s v="WWCAST1_HR"/>
    <s v="903"/>
  </r>
  <r>
    <x v="0"/>
    <d v="2022-05-27T00:00:00"/>
    <x v="4"/>
    <s v="6052340"/>
    <s v="Soc. security contr."/>
    <s v="MW09C21028"/>
    <s v="Segurança Industrial"/>
    <n v="942.66"/>
    <s v="37NN/37W/Provisão Pagto Férias DL 1730/79"/>
    <x v="33"/>
    <s v=""/>
    <s v=""/>
    <s v=""/>
    <s v="4008266606"/>
    <s v="WWCAST1_HR"/>
    <s v="3"/>
  </r>
  <r>
    <x v="0"/>
    <d v="2022-05-27T00:00:00"/>
    <x v="4"/>
    <s v="6052340"/>
    <s v="Soc. security contr."/>
    <s v="MW09C21028"/>
    <s v="Segurança Industrial"/>
    <n v="811.85"/>
    <s v="37OF/37W/Desp.FGTS Diferença 10% C/Liminar"/>
    <x v="33"/>
    <s v=""/>
    <s v=""/>
    <s v=""/>
    <s v="4008266606"/>
    <s v="WWCAST1_HR"/>
    <s v="61"/>
  </r>
  <r>
    <x v="0"/>
    <d v="2022-05-27T00:00:00"/>
    <x v="4"/>
    <s v="6042100"/>
    <s v="RemTM yearly premium"/>
    <s v="MW09C21028"/>
    <s v="Segurança Industrial"/>
    <n v="739.98"/>
    <s v="37NI/37W/13º Salário"/>
    <x v="33"/>
    <s v=""/>
    <s v=""/>
    <s v=""/>
    <s v="4008266606"/>
    <s v="WWCAST1_HR"/>
    <s v="35"/>
  </r>
  <r>
    <x v="0"/>
    <d v="2022-05-27T00:00:00"/>
    <x v="4"/>
    <s v="6042050"/>
    <s v="Rem. limited dur."/>
    <s v="MW09C21028"/>
    <s v="Segurança Industrial"/>
    <n v="375.62"/>
    <s v="37NG/37W/Horas Extras Revezamento"/>
    <x v="33"/>
    <s v=""/>
    <s v=""/>
    <s v=""/>
    <s v="4008266606"/>
    <s v="WWCAST1_HR"/>
    <s v="9"/>
  </r>
  <r>
    <x v="0"/>
    <d v="2022-05-27T00:00:00"/>
    <x v="4"/>
    <s v="6052340"/>
    <s v="Soc. security contr."/>
    <s v="MW09C21028"/>
    <s v="Segurança Industrial"/>
    <n v="346.23"/>
    <s v="37OD/37W/Provisão Encargos Sociais S/Férias DL 173"/>
    <x v="33"/>
    <s v=""/>
    <s v=""/>
    <s v=""/>
    <s v="4008266606"/>
    <s v="WWCAST1_HR"/>
    <s v="4"/>
  </r>
  <r>
    <x v="0"/>
    <d v="2022-05-27T00:00:00"/>
    <x v="4"/>
    <s v="6052400"/>
    <s v="Soc Contr 'oth'"/>
    <s v="MW09C21028"/>
    <s v="Segurança Industrial"/>
    <n v="334.88"/>
    <s v="37NX/37W/Salário Educação LEI 4440/64"/>
    <x v="33"/>
    <s v=""/>
    <s v=""/>
    <s v=""/>
    <s v="4008266606"/>
    <s v="WWCAST1_HR"/>
    <s v="68"/>
  </r>
  <r>
    <x v="0"/>
    <d v="2022-05-27T00:00:00"/>
    <x v="4"/>
    <s v="6021130"/>
    <s v="Pay Ins Accid sal"/>
    <s v="MW09C21028"/>
    <s v="Segurança Industrial"/>
    <n v="300.66000000000003"/>
    <s v="37NY/37W/Seguro Contra Acidentes de Trabalho"/>
    <x v="33"/>
    <s v=""/>
    <s v=""/>
    <s v=""/>
    <s v="4008266606"/>
    <s v="WWCAST1_HR"/>
    <s v="67"/>
  </r>
  <r>
    <x v="0"/>
    <d v="2022-05-27T00:00:00"/>
    <x v="4"/>
    <s v="6052400"/>
    <s v="Soc Contr 'oth'"/>
    <s v="MW09C21028"/>
    <s v="Segurança Industrial"/>
    <n v="271.8"/>
    <s v="37PE/37W/Encargos sobre 13o salário"/>
    <x v="33"/>
    <s v=""/>
    <s v=""/>
    <s v=""/>
    <s v="4008266606"/>
    <s v="WWCAST1_HR"/>
    <s v="2"/>
  </r>
  <r>
    <x v="0"/>
    <d v="2022-05-27T00:00:00"/>
    <x v="4"/>
    <s v="6032730"/>
    <s v="Exp emp con-ded"/>
    <s v="MW09C21028"/>
    <s v="Segurança Industrial"/>
    <n v="74.099999999999994"/>
    <s v="37PA/37W/Contribuição a Previdencia Privada"/>
    <x v="33"/>
    <s v=""/>
    <s v=""/>
    <s v=""/>
    <s v="4008266606"/>
    <s v="WWCAST1_HR"/>
    <s v="65"/>
  </r>
  <r>
    <x v="0"/>
    <d v="2022-05-27T00:00:00"/>
    <x v="4"/>
    <s v="6031130"/>
    <s v="Group ins salaries"/>
    <s v="MW09C21028"/>
    <s v="Segurança Industrial"/>
    <n v="-19.25"/>
    <s v="37OG/37W/Seguro de Vida Acidentes Pessoais em Grup"/>
    <x v="34"/>
    <s v=""/>
    <s v=""/>
    <s v=""/>
    <s v="4008266606"/>
    <s v="WWCAST1_HR"/>
    <s v="64"/>
  </r>
  <r>
    <x v="0"/>
    <d v="2022-05-27T00:00:00"/>
    <x v="4"/>
    <s v="6716000"/>
    <s v="Food f. Empl."/>
    <s v="MW09C21028"/>
    <s v="Segurança Industrial"/>
    <n v="-87.03"/>
    <s v="37OV/37W/Recuperação por Refeições Fornecidas"/>
    <x v="34"/>
    <s v=""/>
    <s v=""/>
    <s v=""/>
    <s v="4008266606"/>
    <s v="WWCAST1_HR"/>
    <s v="8"/>
  </r>
  <r>
    <x v="0"/>
    <d v="2022-05-27T00:00:00"/>
    <x v="4"/>
    <s v="6021550"/>
    <s v="Health ben sal"/>
    <s v="MW09C21028"/>
    <s v="Segurança Industrial"/>
    <n v="-166.72"/>
    <s v="37OS/37W/Reembolso Co-Participação Assistência Méd"/>
    <x v="34"/>
    <s v=""/>
    <s v=""/>
    <s v=""/>
    <s v="4008266606"/>
    <s v="WWCAST1_HR"/>
    <s v="7"/>
  </r>
  <r>
    <x v="0"/>
    <d v="2022-05-27T00:00:00"/>
    <x v="4"/>
    <s v="6822300"/>
    <s v="Coll transp staff"/>
    <s v="MW09C21028"/>
    <s v="Segurança Industrial"/>
    <n v="-219.27"/>
    <s v="37OK/37W/Transportes Colaboradores PJ"/>
    <x v="34"/>
    <s v=""/>
    <s v=""/>
    <s v=""/>
    <s v="4008266606"/>
    <s v="WWCAST1_HR"/>
    <s v="62"/>
  </r>
  <r>
    <x v="0"/>
    <d v="2022-05-27T00:00:00"/>
    <x v="4"/>
    <s v="6021550"/>
    <s v="Health ben sal"/>
    <s v="MW09C21028"/>
    <s v="Segurança Industrial"/>
    <n v="-473.46"/>
    <s v="37OI/37U/Assistência Médica/Hospitalar PJ"/>
    <x v="34"/>
    <s v=""/>
    <s v=""/>
    <s v=""/>
    <s v="4008266606"/>
    <s v="WWCAST1_HR"/>
    <s v="904"/>
  </r>
  <r>
    <x v="0"/>
    <d v="2022-05-27T00:00:00"/>
    <x v="4"/>
    <s v="6031130"/>
    <s v="Group ins salaries"/>
    <s v="MW09C21028"/>
    <s v="Segurança Industrial"/>
    <n v="-540"/>
    <s v="37OG/37U/Seguro de Vida Acidentes Pessoais em Grup"/>
    <x v="34"/>
    <s v=""/>
    <s v=""/>
    <s v=""/>
    <s v="4008266606"/>
    <s v="WWCAST1_HR"/>
    <s v="820"/>
  </r>
  <r>
    <x v="0"/>
    <d v="2022-05-27T00:00:00"/>
    <x v="4"/>
    <s v="6021550"/>
    <s v="Health ben sal"/>
    <s v="MW09C21028"/>
    <s v="Segurança Industrial"/>
    <n v="-759.22"/>
    <s v="37OJ/37U/Assistência Odontológica  -   Ativos"/>
    <x v="34"/>
    <s v=""/>
    <s v=""/>
    <s v=""/>
    <s v="4008266606"/>
    <s v="WWCAST1_HR"/>
    <s v="884"/>
  </r>
  <r>
    <x v="0"/>
    <d v="2022-05-27T00:00:00"/>
    <x v="4"/>
    <s v="6716000"/>
    <s v="Food f. Empl."/>
    <s v="MW09C21028"/>
    <s v="Segurança Industrial"/>
    <n v="-827.79"/>
    <s v="37OV/37U/Recuperação por Refeições Fornecidas"/>
    <x v="34"/>
    <s v=""/>
    <s v=""/>
    <s v=""/>
    <s v="4008266606"/>
    <s v="WWCAST1_HR"/>
    <s v="900"/>
  </r>
  <r>
    <x v="0"/>
    <d v="2022-05-27T00:00:00"/>
    <x v="4"/>
    <s v="6021550"/>
    <s v="Health ben sal"/>
    <s v="MW09C21028"/>
    <s v="Segurança Industrial"/>
    <n v="-978.73"/>
    <s v="37OS/37U/Reembolso Co-Participação Assistência Méd"/>
    <x v="34"/>
    <s v=""/>
    <s v=""/>
    <s v=""/>
    <s v="4008266606"/>
    <s v="WWCAST1_HR"/>
    <s v="897"/>
  </r>
  <r>
    <x v="0"/>
    <d v="2022-05-27T00:00:00"/>
    <x v="4"/>
    <s v="6822300"/>
    <s v="Coll transp staff"/>
    <s v="MW09C21028"/>
    <s v="Segurança Industrial"/>
    <n v="-1080.77"/>
    <s v="37OK/37U/Transportes Colaboradores PJ"/>
    <x v="34"/>
    <s v=""/>
    <s v=""/>
    <s v=""/>
    <s v="4008266606"/>
    <s v="WWCAST1_HR"/>
    <s v="902"/>
  </r>
  <r>
    <x v="0"/>
    <d v="2022-05-28T00:00:00"/>
    <x v="4"/>
    <s v="8261000"/>
    <s v="FAM Settl Prim Mat"/>
    <s v="MW09C21028"/>
    <s v="Segurança Industrial"/>
    <n v="9636.2999999999993"/>
    <s v="CTR H353/MW09C21028"/>
    <x v="41"/>
    <s v="IE MW09C21028 SEG INDUSTRIAL - 2022"/>
    <s v=""/>
    <s v="Order"/>
    <s v="4600133430"/>
    <s v="SXFTM000"/>
    <s v="2"/>
  </r>
  <r>
    <x v="0"/>
    <d v="2022-05-28T00:00:00"/>
    <x v="4"/>
    <s v="8262000"/>
    <s v="FAM Settl Serv (Ext)"/>
    <s v="MW09C21028"/>
    <s v="Segurança Industrial"/>
    <n v="6524.6"/>
    <s v="CTR H353/MW09C21028"/>
    <x v="41"/>
    <s v="Troca de bateria - partida MB Incendio"/>
    <s v=""/>
    <s v="Order"/>
    <s v="4600133431"/>
    <s v="SXFTM000"/>
    <s v="2"/>
  </r>
  <r>
    <x v="0"/>
    <d v="2022-05-28T00:00:00"/>
    <x v="4"/>
    <s v="8261000"/>
    <s v="FAM Settl Prim Mat"/>
    <s v="MW09C21028"/>
    <s v="Segurança Industrial"/>
    <n v="6063.57"/>
    <s v="CTR H353/MW09C21028"/>
    <x v="41"/>
    <s v="Remanej.tub.rejeitoETA/AP Qd5600"/>
    <s v=""/>
    <s v="Order"/>
    <s v="4600133407"/>
    <s v="SXFTM000"/>
    <s v="6"/>
  </r>
  <r>
    <x v="0"/>
    <d v="2022-05-28T00:00:00"/>
    <x v="4"/>
    <s v="8262000"/>
    <s v="FAM Settl Serv (Ext)"/>
    <s v="MW09C21028"/>
    <s v="Segurança Industrial"/>
    <n v="3575.8"/>
    <s v="CTR H353/MW09C21028"/>
    <x v="41"/>
    <s v="IE MW09C21028 SEG INDUSTRIAL - 2022"/>
    <s v=""/>
    <s v="Order"/>
    <s v="4600133430"/>
    <s v="SXFTM000"/>
    <s v="4"/>
  </r>
  <r>
    <x v="0"/>
    <d v="2022-05-28T00:00:00"/>
    <x v="4"/>
    <s v="8261000"/>
    <s v="FAM Settl Prim Mat"/>
    <s v="MW09C21028"/>
    <s v="Segurança Industrial"/>
    <n v="1786.98"/>
    <s v="CTR H353/MW09C21028"/>
    <x v="41"/>
    <s v="2022 SERVIÇOS DE LUBRIFICAÇÃO SEGURANÇA"/>
    <s v=""/>
    <s v="Order"/>
    <s v="4600133429"/>
    <s v="SXFTM000"/>
    <s v="2"/>
  </r>
  <r>
    <x v="0"/>
    <d v="2022-05-28T00:00:00"/>
    <x v="4"/>
    <s v="8262000"/>
    <s v="FAM Settl Serv (Ext)"/>
    <s v="MW09C21028"/>
    <s v="Segurança Industrial"/>
    <n v="1564.21"/>
    <s v="CTR H353/MW09C21028"/>
    <x v="41"/>
    <s v="IE SERV ELÉTRICA ADMINISTRATIVO 2022"/>
    <s v=""/>
    <s v="Order"/>
    <s v="4600132923"/>
    <s v="SXFTM000"/>
    <s v="4"/>
  </r>
  <r>
    <x v="0"/>
    <d v="2022-05-28T00:00:00"/>
    <x v="4"/>
    <s v="8262000"/>
    <s v="FAM Settl Serv (Ext)"/>
    <s v="MW09C21028"/>
    <s v="Segurança Industrial"/>
    <n v="1539.79"/>
    <s v="CTR H353/MW09C21028"/>
    <x v="41"/>
    <s v="Remanej.tub.rejeitoETA/AP Qd5600"/>
    <s v=""/>
    <s v="Order"/>
    <s v="4600133407"/>
    <s v="SXFTM000"/>
    <s v="12"/>
  </r>
  <r>
    <x v="0"/>
    <d v="2022-05-28T00:00:00"/>
    <x v="4"/>
    <s v="8262000"/>
    <s v="FAM Settl Serv (Ext)"/>
    <s v="MW09C21028"/>
    <s v="Segurança Industrial"/>
    <n v="1211.31"/>
    <s v="CTR H353/MW09C21028"/>
    <x v="41"/>
    <s v="IE SERV HIDRAULICA ADMINISTRATIVO 2022"/>
    <s v=""/>
    <s v="Order"/>
    <s v="4600132922"/>
    <s v="SXFTM000"/>
    <s v="10"/>
  </r>
  <r>
    <x v="0"/>
    <d v="2022-05-28T00:00:00"/>
    <x v="4"/>
    <s v="8262000"/>
    <s v="FAM Settl Serv (Ext)"/>
    <s v="MW09C21028"/>
    <s v="Segurança Industrial"/>
    <n v="1136.58"/>
    <s v="CTR H353/MW09C21028"/>
    <x v="41"/>
    <s v="MAN 2022 SÓ ACUMULADORES"/>
    <s v=""/>
    <s v="Order"/>
    <s v="4600133434"/>
    <s v="SXFTM000"/>
    <s v="4"/>
  </r>
  <r>
    <x v="0"/>
    <d v="2022-05-28T00:00:00"/>
    <x v="4"/>
    <s v="8261000"/>
    <s v="FAM Settl Prim Mat"/>
    <s v="MW09C21028"/>
    <s v="Segurança Industrial"/>
    <n v="819.03"/>
    <s v="CTR H353/MW09C21028"/>
    <x v="41"/>
    <s v="2021 SERVIÇOS DE LUBRIFICAÇÃO SEGURANÇA"/>
    <s v=""/>
    <s v="Order"/>
    <s v="4600133428"/>
    <s v="SXFTM000"/>
    <s v="2"/>
  </r>
  <r>
    <x v="0"/>
    <d v="2022-05-28T00:00:00"/>
    <x v="4"/>
    <s v="8261000"/>
    <s v="FAM Settl Prim Mat"/>
    <s v="MW09C21028"/>
    <s v="Segurança Industrial"/>
    <n v="784.95"/>
    <s v="CTR H353/MW09C21028"/>
    <x v="41"/>
    <s v="Locação de plataforma 2022"/>
    <s v=""/>
    <s v="Order"/>
    <s v="4600132955"/>
    <s v="SXFTM000"/>
    <s v="6"/>
  </r>
  <r>
    <x v="0"/>
    <d v="2022-05-28T00:00:00"/>
    <x v="4"/>
    <s v="8262000"/>
    <s v="FAM Settl Serv (Ext)"/>
    <s v="MW09C21028"/>
    <s v="Segurança Industrial"/>
    <n v="547.85"/>
    <s v="CTR H353/MW09C21028"/>
    <x v="41"/>
    <s v="IE SERV MARCENARIA ADMINISTRATIVO 2022"/>
    <s v=""/>
    <s v="Order"/>
    <s v="4600132912"/>
    <s v="SXFTM000"/>
    <s v="8"/>
  </r>
  <r>
    <x v="0"/>
    <d v="2022-05-30T00:00:00"/>
    <x v="4"/>
    <s v="6340000"/>
    <s v="IT - office supplies"/>
    <s v="MW09C21028"/>
    <s v="Segurança Industrial"/>
    <n v="565.01"/>
    <s v="Valor do documento Nr  5567387 0"/>
    <x v="79"/>
    <s v=""/>
    <s v="660479675"/>
    <s v=""/>
    <s v="4008271386"/>
    <s v="GMGNT"/>
    <s v="4"/>
  </r>
  <r>
    <x v="0"/>
    <d v="2022-05-30T00:00:00"/>
    <x v="4"/>
    <s v="6779000"/>
    <s v="Serv. cust. &amp; excise"/>
    <s v="MW09C21028"/>
    <s v="Segurança Industrial"/>
    <n v="517.5"/>
    <s v="Reclassif  FEE 366570"/>
    <x v="63"/>
    <s v=""/>
    <s v=""/>
    <s v=""/>
    <s v="4008271914"/>
    <s v="GNPRP"/>
    <s v="52"/>
  </r>
  <r>
    <x v="0"/>
    <d v="2022-05-30T00:00:00"/>
    <x v="4"/>
    <s v="6779000"/>
    <s v="Serv. cust. &amp; excise"/>
    <s v="MW09C21028"/>
    <s v="Segurança Industrial"/>
    <n v="514.08000000000004"/>
    <s v="Reclassif  FEE 365839"/>
    <x v="63"/>
    <s v=""/>
    <s v=""/>
    <s v=""/>
    <s v="4008271904"/>
    <s v="GNPRP"/>
    <s v="52"/>
  </r>
  <r>
    <x v="0"/>
    <d v="2022-05-31T00:00:00"/>
    <x v="4"/>
    <s v="6622400"/>
    <s v="Depr Infrastructure"/>
    <s v="MW09C21028"/>
    <s v="Segurança Industrial"/>
    <n v="97364.75"/>
    <s v="AFB30202200501 0000000037"/>
    <x v="35"/>
    <s v=""/>
    <s v=""/>
    <s v=""/>
    <s v="4008272138"/>
    <s v="SXFTMRB0"/>
    <s v="8"/>
  </r>
  <r>
    <x v="0"/>
    <d v="2022-05-31T00:00:00"/>
    <x v="4"/>
    <s v="6021550"/>
    <s v="Health ben sal"/>
    <s v="MW09C21028"/>
    <s v="Segurança Industrial"/>
    <n v="66850.05"/>
    <s v="Lançamento Amil - Maio"/>
    <x v="44"/>
    <s v=""/>
    <s v=""/>
    <s v=""/>
    <s v="4008273539"/>
    <s v="GMDGB"/>
    <s v="318"/>
  </r>
  <r>
    <x v="0"/>
    <d v="2022-05-31T00:00:00"/>
    <x v="4"/>
    <s v="6831400"/>
    <s v="Catering"/>
    <s v="MW09C21028"/>
    <s v="Segurança Industrial"/>
    <n v="53940.72"/>
    <s v="Lançamento Ticket - Maio"/>
    <x v="44"/>
    <s v=""/>
    <s v=""/>
    <s v=""/>
    <s v="4008273539"/>
    <s v="GMDGB"/>
    <s v="643"/>
  </r>
  <r>
    <x v="0"/>
    <d v="2022-05-31T00:00:00"/>
    <x v="4"/>
    <s v="6622000"/>
    <s v="Depr Buildings"/>
    <s v="MW09C21028"/>
    <s v="Segurança Industrial"/>
    <n v="28230.5"/>
    <s v="AFB30202200501 0000000036"/>
    <x v="36"/>
    <s v=""/>
    <s v=""/>
    <s v=""/>
    <s v="4008272137"/>
    <s v="SXFTMRB0"/>
    <s v="35"/>
  </r>
  <r>
    <x v="0"/>
    <d v="2022-05-31T00:00:00"/>
    <x v="4"/>
    <s v="6012500"/>
    <s v="Bonuses workers"/>
    <s v="MW09C21028"/>
    <s v="Segurança Industrial"/>
    <n v="23229.78"/>
    <s v="GL_STI_100"/>
    <x v="45"/>
    <s v=""/>
    <s v=""/>
    <s v=""/>
    <s v="4008272289"/>
    <s v="BRZFX_HR"/>
    <s v="99"/>
  </r>
  <r>
    <x v="0"/>
    <d v="2022-05-31T00:00:00"/>
    <x v="4"/>
    <s v="6624030"/>
    <s v="Depr Transp."/>
    <s v="MW09C21028"/>
    <s v="Segurança Industrial"/>
    <n v="21907.25"/>
    <s v="AFB30202200501 0000000039"/>
    <x v="61"/>
    <s v=""/>
    <s v=""/>
    <s v=""/>
    <s v="4008272140"/>
    <s v="SXFTMRB0"/>
    <s v="30"/>
  </r>
  <r>
    <x v="0"/>
    <d v="2022-05-31T00:00:00"/>
    <x v="4"/>
    <s v="6624010"/>
    <s v="Depr IT-Hardware"/>
    <s v="MW09C21028"/>
    <s v="Segurança Industrial"/>
    <n v="14459.13"/>
    <s v="AFB30202200501 0000000038"/>
    <x v="38"/>
    <s v=""/>
    <s v=""/>
    <s v=""/>
    <s v="4008272139"/>
    <s v="SXFTMRB0"/>
    <s v="47"/>
  </r>
  <r>
    <x v="0"/>
    <d v="2022-05-31T00:00:00"/>
    <x v="4"/>
    <s v="6011500"/>
    <s v="Bonuses"/>
    <s v="MW09C21028"/>
    <s v="Segurança Industrial"/>
    <n v="3396.12"/>
    <s v="GL_STI_100"/>
    <x v="45"/>
    <s v=""/>
    <s v=""/>
    <s v=""/>
    <s v="4008272289"/>
    <s v="BRZFX_HR"/>
    <s v="3"/>
  </r>
  <r>
    <x v="0"/>
    <d v="2022-05-31T00:00:00"/>
    <x v="4"/>
    <s v="6039300"/>
    <s v="Oth emp benefits"/>
    <s v="MW09C21028"/>
    <s v="Segurança Industrial"/>
    <n v="1831.6"/>
    <s v="Lançamento Outros Benefícios - Maio"/>
    <x v="44"/>
    <s v=""/>
    <s v=""/>
    <s v=""/>
    <s v="4008273539"/>
    <s v="GMDGB"/>
    <s v="134"/>
  </r>
  <r>
    <x v="0"/>
    <d v="2022-05-31T00:00:00"/>
    <x v="4"/>
    <s v="6623000"/>
    <s v="Depr Mach/tech Prod"/>
    <s v="MW09C21028"/>
    <s v="Segurança Industrial"/>
    <n v="1793.56"/>
    <s v="AFB30202200501 0000000038"/>
    <x v="38"/>
    <s v=""/>
    <s v=""/>
    <s v=""/>
    <s v="4008272139"/>
    <s v="SXFTMRB0"/>
    <s v="1"/>
  </r>
  <r>
    <x v="0"/>
    <d v="2022-05-31T00:00:00"/>
    <x v="4"/>
    <s v="6021550"/>
    <s v="Health ben sal"/>
    <s v="MW09C21028"/>
    <s v="Segurança Industrial"/>
    <n v="1282.5999999999999"/>
    <s v="Lançamento Odontoprev - Maio"/>
    <x v="44"/>
    <s v=""/>
    <s v=""/>
    <s v=""/>
    <s v="4008273539"/>
    <s v="GMDGB"/>
    <s v="505"/>
  </r>
  <r>
    <x v="0"/>
    <d v="2022-05-31T00:00:00"/>
    <x v="4"/>
    <s v="6624000"/>
    <s v="Depr F/Fix"/>
    <s v="MW09C21028"/>
    <s v="Segurança Industrial"/>
    <n v="152.91"/>
    <s v="AFB30202200501 0000000038"/>
    <x v="38"/>
    <s v=""/>
    <s v=""/>
    <s v=""/>
    <s v="4008272139"/>
    <s v="SXFTMRB0"/>
    <s v="16"/>
  </r>
  <r>
    <x v="0"/>
    <d v="2022-05-31T00:00:00"/>
    <x v="4"/>
    <s v="6031130"/>
    <s v="Group ins salaries"/>
    <s v="MW09C21028"/>
    <s v="Segurança Industrial"/>
    <n v="148.74"/>
    <s v="Lançamento Seguro de Vida - Maio"/>
    <x v="44"/>
    <s v=""/>
    <s v=""/>
    <s v=""/>
    <s v="4008273539"/>
    <s v="GMDGB"/>
    <s v="791"/>
  </r>
  <r>
    <x v="0"/>
    <d v="2022-05-31T00:00:00"/>
    <x v="4"/>
    <s v="6879990"/>
    <s v="Other taxes"/>
    <s v="MW09C21028"/>
    <s v="Segurança Industrial"/>
    <n v="-10242.719999999999"/>
    <s v="Credito de PIS e COFINS sobre a depreciação MAI/20"/>
    <x v="49"/>
    <s v=""/>
    <s v=""/>
    <s v=""/>
    <s v="4008273065"/>
    <s v="GMHLL"/>
    <s v="43"/>
  </r>
  <r>
    <x v="0"/>
    <d v="2022-06-01T00:00:00"/>
    <x v="4"/>
    <s v="6121001"/>
    <s v="Electricity fix"/>
    <s v="MW09C21028"/>
    <s v="Segurança Industrial"/>
    <n v="26984.04"/>
    <s v="MW4A010014MW09C21027 Energia Eletrica Fi"/>
    <x v="41"/>
    <s v="Alocações Periódicas"/>
    <s v=""/>
    <s v="Cost center"/>
    <s v="4400017100"/>
    <s v="SXFTMRB0"/>
    <s v="235"/>
  </r>
  <r>
    <x v="0"/>
    <d v="2022-06-01T00:00:00"/>
    <x v="4"/>
    <s v="6101000"/>
    <s v="Water var"/>
    <s v="MW09C21028"/>
    <s v="Segurança Industrial"/>
    <n v="5726.97"/>
    <s v="MW4A010008MW09C21027 Ág. Processo"/>
    <x v="41"/>
    <s v="Alocações Periódicas"/>
    <s v=""/>
    <s v="Cost center"/>
    <s v="4400017100"/>
    <s v="SXFTMRB0"/>
    <s v="35"/>
  </r>
  <r>
    <x v="0"/>
    <d v="2022-06-01T00:00:00"/>
    <x v="4"/>
    <s v="6121000"/>
    <s v="Electricity var"/>
    <s v="MW09C21028"/>
    <s v="Segurança Industrial"/>
    <n v="4486.92"/>
    <s v="MW4A010010MW09C21027 Energia Eletrica Va"/>
    <x v="41"/>
    <s v="Alocações Periódicas"/>
    <s v=""/>
    <s v="Cost center"/>
    <s v="4400017100"/>
    <s v="SXFTMRB0"/>
    <s v="135"/>
  </r>
  <r>
    <x v="0"/>
    <d v="2022-06-01T00:00:00"/>
    <x v="4"/>
    <s v="6321000"/>
    <s v="General supplies"/>
    <s v="MW09C21028"/>
    <s v="Segurança Industrial"/>
    <n v="1547.08"/>
    <s v="MW4A010015MW09C21027 Energia Eletrica Fi"/>
    <x v="41"/>
    <s v="Alocações Periódicas"/>
    <s v=""/>
    <s v="Cost center"/>
    <s v="4400017100"/>
    <s v="SXFTMRB0"/>
    <s v="273"/>
  </r>
  <r>
    <x v="0"/>
    <d v="2022-06-01T00:00:00"/>
    <x v="4"/>
    <s v="6109990"/>
    <s v="Water - Other"/>
    <s v="MW09C21028"/>
    <s v="Segurança Industrial"/>
    <n v="1347.54"/>
    <s v="MW4A010009MW09C21027 Ág. Potavel"/>
    <x v="41"/>
    <s v="Alocações Periódicas"/>
    <s v=""/>
    <s v="Cost center"/>
    <s v="4400017100"/>
    <s v="SXFTMRB0"/>
    <s v="79"/>
  </r>
  <r>
    <x v="0"/>
    <d v="2022-06-01T00:00:00"/>
    <x v="4"/>
    <s v="7711010"/>
    <s v="Security Service ASS"/>
    <s v="MW09C21028"/>
    <s v="Segurança Industrial"/>
    <n v="-803239.07"/>
    <s v="MW5B02_017MW09C21028"/>
    <x v="41"/>
    <s v="Prédio 6201"/>
    <s v=""/>
    <s v="Cost center"/>
    <s v="4400016903"/>
    <s v="SXFTMRB0"/>
    <s v="298"/>
  </r>
  <r>
    <x v="0"/>
    <d v="2022-06-02T00:00:00"/>
    <x v="5"/>
    <s v="6711000"/>
    <s v="Security Service"/>
    <s v="MW09C21028"/>
    <s v="Segurança Industrial"/>
    <n v="322580.15000000002"/>
    <s v="Valor Security Service ref  Docto Nr  8887"/>
    <x v="17"/>
    <s v=""/>
    <s v="660469447"/>
    <s v=""/>
    <s v="4008278952"/>
    <s v="GLRPZ"/>
    <s v="1"/>
  </r>
  <r>
    <x v="0"/>
    <d v="2022-06-02T00:00:00"/>
    <x v="5"/>
    <s v="6711000"/>
    <s v="Security Service"/>
    <s v="MW09C21028"/>
    <s v="Segurança Industrial"/>
    <n v="5424.48"/>
    <s v="Valor Security Service ref  Docto Nr  750"/>
    <x v="18"/>
    <s v=""/>
    <s v=""/>
    <s v=""/>
    <s v="4008278950"/>
    <s v="GLRPZ"/>
    <s v="1"/>
  </r>
  <r>
    <x v="0"/>
    <d v="2022-06-02T00:00:00"/>
    <x v="5"/>
    <s v="6200000"/>
    <s v="Maint &amp; Leg/Co.Compl"/>
    <s v="MW09C21028"/>
    <s v="Segurança Industrial"/>
    <n v="1550"/>
    <s v="Valor Maint &amp; Leg Co Compl ref  Docto Nr  15224"/>
    <x v="28"/>
    <s v=""/>
    <s v="660477983"/>
    <s v=""/>
    <s v="4008278464"/>
    <s v="EIMOH"/>
    <s v="2"/>
  </r>
  <r>
    <x v="0"/>
    <d v="2022-06-03T00:00:00"/>
    <x v="5"/>
    <s v="6890000"/>
    <s v="3d party pers"/>
    <s v="MW09C21028"/>
    <s v="Segurança Industrial"/>
    <n v="635.02"/>
    <s v="Folha Temporarios BCS-BFR-META 05/2022"/>
    <x v="37"/>
    <s v=""/>
    <s v="660480272"/>
    <s v=""/>
    <s v="4008279868"/>
    <s v="GEMKD"/>
    <s v="1"/>
  </r>
  <r>
    <x v="0"/>
    <d v="2022-06-06T00:00:00"/>
    <x v="5"/>
    <s v="6280000"/>
    <s v="Technic. spare parts"/>
    <s v="MW09C21028"/>
    <s v="Segurança Industrial"/>
    <n v="1784.7"/>
    <s v="Valor Technic  spare parts ref  Docto Nr  25391"/>
    <x v="12"/>
    <s v=""/>
    <s v="660434873"/>
    <s v=""/>
    <s v="4008283613"/>
    <s v="EIMOH"/>
    <s v="1"/>
  </r>
  <r>
    <x v="0"/>
    <d v="2022-06-06T00:00:00"/>
    <x v="5"/>
    <s v="6280000"/>
    <s v="Technic. spare parts"/>
    <s v="MW09C21028"/>
    <s v="Segurança Industrial"/>
    <n v="8.33"/>
    <s v="Saida de Material por Consumo"/>
    <x v="8"/>
    <s v=""/>
    <s v=""/>
    <s v=""/>
    <s v="4008282663"/>
    <s v="ERUCD"/>
    <s v="1"/>
  </r>
  <r>
    <x v="0"/>
    <d v="2022-06-08T00:00:00"/>
    <x v="5"/>
    <s v="6280000"/>
    <s v="Technic. spare parts"/>
    <s v="MW09C21028"/>
    <s v="Segurança Industrial"/>
    <n v="1784.7"/>
    <s v="Valor Technic  spare parts ref  Docto Nr  25910"/>
    <x v="12"/>
    <s v=""/>
    <s v="660484961"/>
    <s v=""/>
    <s v="4008286080"/>
    <s v="EIMOH"/>
    <s v="1"/>
  </r>
  <r>
    <x v="0"/>
    <d v="2022-06-08T00:00:00"/>
    <x v="5"/>
    <s v="6629004"/>
    <s v="LVA Tangible Exp"/>
    <s v="MW09C21028"/>
    <s v="Segurança Industrial"/>
    <n v="438.9"/>
    <s v="Valor LVA Tangible Exp ref  Docto Nr  1956"/>
    <x v="5"/>
    <s v=""/>
    <s v="660484959"/>
    <s v=""/>
    <s v="4008286452"/>
    <s v="EIMOH"/>
    <s v="1"/>
  </r>
  <r>
    <x v="0"/>
    <d v="2022-06-09T00:00:00"/>
    <x v="5"/>
    <s v="6542000"/>
    <s v="Environmental serv"/>
    <s v="MW09C21028"/>
    <s v="Segurança Industrial"/>
    <n v="4780.07"/>
    <s v="Valor Environmental serv ref  Docto Nr  402"/>
    <x v="0"/>
    <s v=""/>
    <s v="660485004"/>
    <s v=""/>
    <s v="4008287059"/>
    <s v="GEMKD"/>
    <s v="1"/>
  </r>
  <r>
    <x v="0"/>
    <d v="2022-06-10T00:00:00"/>
    <x v="5"/>
    <s v="6829000"/>
    <s v="Taxi/publ.transp."/>
    <s v="MW09C21028"/>
    <s v="Segurança Industrial"/>
    <n v="234.09"/>
    <s v="Valor Taxi publ transp  ref  Docto Nr  50870"/>
    <x v="6"/>
    <s v=""/>
    <s v="660486862"/>
    <s v=""/>
    <s v="4008289515"/>
    <s v="GEMKD"/>
    <s v="3"/>
  </r>
  <r>
    <x v="0"/>
    <d v="2022-06-10T00:00:00"/>
    <x v="5"/>
    <s v="6829000"/>
    <s v="Taxi/publ.transp."/>
    <s v="MW09C21028"/>
    <s v="Segurança Industrial"/>
    <n v="196.39"/>
    <s v="Valor Taxi publ transp  ref  Docto Nr  50871"/>
    <x v="6"/>
    <s v=""/>
    <s v="660486877"/>
    <s v=""/>
    <s v="4008289514"/>
    <s v="GEMKD"/>
    <s v="3"/>
  </r>
  <r>
    <x v="0"/>
    <d v="2022-06-12T00:00:00"/>
    <x v="5"/>
    <s v="6822200"/>
    <s v="Milage allowance"/>
    <s v="MW09C21028"/>
    <s v="Segurança Industrial"/>
    <n v="64.8"/>
    <s v="Utilização de Veículo Particular/08855401/9C0FDD72"/>
    <x v="13"/>
    <s v=""/>
    <s v=""/>
    <s v=""/>
    <s v="4008291118"/>
    <s v="SXIDOCXI"/>
    <s v="1"/>
  </r>
  <r>
    <x v="0"/>
    <d v="2022-06-13T00:00:00"/>
    <x v="5"/>
    <s v="6711000"/>
    <s v="Security Service"/>
    <s v="MW09C21028"/>
    <s v="Segurança Industrial"/>
    <n v="322580.15000000002"/>
    <s v="SERV. VIGILÂNCIA- Site BFR"/>
    <x v="17"/>
    <s v=""/>
    <s v="660486831"/>
    <s v=""/>
    <s v="4008292705"/>
    <s v="GNEPP"/>
    <s v="1"/>
  </r>
  <r>
    <x v="0"/>
    <d v="2022-06-13T00:00:00"/>
    <x v="5"/>
    <s v="6711000"/>
    <s v="Security Service"/>
    <s v="MW09C21028"/>
    <s v="Segurança Industrial"/>
    <n v="9557.0499999999993"/>
    <s v="SEGURANÇA PATRIMONIAL - BELFORD ROXO"/>
    <x v="11"/>
    <s v=""/>
    <s v="660485001"/>
    <s v=""/>
    <s v="4008292056"/>
    <s v="EIMOH"/>
    <s v="1"/>
  </r>
  <r>
    <x v="0"/>
    <d v="2022-06-13T00:00:00"/>
    <x v="5"/>
    <s v="6711000"/>
    <s v="Security Service"/>
    <s v="MW09C21028"/>
    <s v="Segurança Industrial"/>
    <n v="5424.48"/>
    <s v="VALOR DOCUMENTO 768"/>
    <x v="18"/>
    <s v=""/>
    <s v=""/>
    <s v=""/>
    <s v="4008292610"/>
    <s v="GNEDA"/>
    <s v="1"/>
  </r>
  <r>
    <x v="0"/>
    <d v="2022-06-13T00:00:00"/>
    <x v="5"/>
    <s v="6876000"/>
    <s v="Municip+regional tax"/>
    <s v="MW09C21028"/>
    <s v="Segurança Industrial"/>
    <n v="453.4"/>
    <s v="SERPAC Reemb Desp P173.021615"/>
    <x v="14"/>
    <s v=""/>
    <s v="660484922"/>
    <s v=""/>
    <s v="4008292672"/>
    <s v="GNEPP"/>
    <s v="1"/>
  </r>
  <r>
    <x v="0"/>
    <d v="2022-06-14T00:00:00"/>
    <x v="5"/>
    <s v="6719990"/>
    <s v="Other site services"/>
    <s v="MW09C21028"/>
    <s v="Segurança Industrial"/>
    <n v="3483.6"/>
    <s v="Serv. Administração Rouparia"/>
    <x v="2"/>
    <s v=""/>
    <s v="660489048"/>
    <s v=""/>
    <s v="4008293105"/>
    <s v="GMGNH"/>
    <s v="2"/>
  </r>
  <r>
    <x v="0"/>
    <d v="2022-06-14T00:00:00"/>
    <x v="5"/>
    <s v="6829990"/>
    <s v="Other travel cost"/>
    <s v="MW09C21028"/>
    <s v="Segurança Industrial"/>
    <n v="2341.48"/>
    <s v="Abastecimento Veículo Emergencial Segurança Indust"/>
    <x v="22"/>
    <s v=""/>
    <s v=""/>
    <s v=""/>
    <s v="4008293124"/>
    <s v="SXIDOCXI"/>
    <s v="1"/>
  </r>
  <r>
    <x v="0"/>
    <d v="2022-06-14T00:00:00"/>
    <x v="5"/>
    <s v="6772000"/>
    <s v="MGT Consultancy"/>
    <s v="MW09C21028"/>
    <s v="Segurança Industrial"/>
    <n v="900"/>
    <s v="valor documento 834"/>
    <x v="78"/>
    <s v=""/>
    <s v=""/>
    <s v=""/>
    <s v="4008294255"/>
    <s v="GNEPP"/>
    <s v="1"/>
  </r>
  <r>
    <x v="0"/>
    <d v="2022-06-14T00:00:00"/>
    <x v="5"/>
    <s v="6829990"/>
    <s v="Other travel cost"/>
    <s v="MW09C21028"/>
    <s v="Segurança Industrial"/>
    <n v="715.83"/>
    <s v="Abastecimento Veículo Emergencial Segurança Indust"/>
    <x v="7"/>
    <s v=""/>
    <s v=""/>
    <s v=""/>
    <s v="4008293125"/>
    <s v="SXIDOCXI"/>
    <s v="1"/>
  </r>
  <r>
    <x v="0"/>
    <d v="2022-06-14T00:00:00"/>
    <x v="5"/>
    <s v="6829990"/>
    <s v="Other travel cost"/>
    <s v="MW09C21028"/>
    <s v="Segurança Industrial"/>
    <n v="587.04"/>
    <s v="Abastecimento Veículo Emergencial Segurança Indust"/>
    <x v="24"/>
    <s v=""/>
    <s v=""/>
    <s v=""/>
    <s v="4008293123"/>
    <s v="SXIDOCXI"/>
    <s v="1"/>
  </r>
  <r>
    <x v="0"/>
    <d v="2022-06-14T00:00:00"/>
    <x v="5"/>
    <s v="6829990"/>
    <s v="Other travel cost"/>
    <s v="MW09C21028"/>
    <s v="Segurança Industrial"/>
    <n v="413"/>
    <s v="Manutenção Veículo Emergencial Segurança Industria"/>
    <x v="23"/>
    <s v=""/>
    <s v=""/>
    <s v=""/>
    <s v="4008293122"/>
    <s v="SXIDOCXI"/>
    <s v="1"/>
  </r>
  <r>
    <x v="0"/>
    <d v="2022-06-14T00:00:00"/>
    <x v="5"/>
    <s v="6829990"/>
    <s v="Other travel cost"/>
    <s v="MW09C21028"/>
    <s v="Segurança Industrial"/>
    <n v="343.46"/>
    <s v="Abastecimento Veículo Emergencial Segurança Indust"/>
    <x v="52"/>
    <s v=""/>
    <s v=""/>
    <s v=""/>
    <s v="4008293121"/>
    <s v="SXIDOCXI"/>
    <s v="1"/>
  </r>
  <r>
    <x v="0"/>
    <d v="2022-06-14T00:00:00"/>
    <x v="5"/>
    <s v="6829990"/>
    <s v="Other travel cost"/>
    <s v="MW09C21028"/>
    <s v="Segurança Industrial"/>
    <n v="291.33999999999997"/>
    <s v="Missão Executiva/06168326/6957AE7ACBB7486EA991/RDV"/>
    <x v="23"/>
    <s v=""/>
    <s v=""/>
    <s v=""/>
    <s v="4008293122"/>
    <s v="SXIDOCXI"/>
    <s v="4"/>
  </r>
  <r>
    <x v="0"/>
    <d v="2022-06-14T00:00:00"/>
    <x v="5"/>
    <s v="6829990"/>
    <s v="Other travel cost"/>
    <s v="MW09C21028"/>
    <s v="Segurança Industrial"/>
    <n v="172.2"/>
    <s v="Material de Limpeza e Conservação Veículos Emergen"/>
    <x v="22"/>
    <s v=""/>
    <s v=""/>
    <s v=""/>
    <s v="4008293124"/>
    <s v="SXIDOCXI"/>
    <s v="3"/>
  </r>
  <r>
    <x v="0"/>
    <d v="2022-06-14T00:00:00"/>
    <x v="5"/>
    <s v="6822200"/>
    <s v="Milage allowance"/>
    <s v="MW09C21028"/>
    <s v="Segurança Industrial"/>
    <n v="151.19999999999999"/>
    <s v="Utilização de Veículo Particular/06164223/A7691279"/>
    <x v="25"/>
    <s v=""/>
    <s v=""/>
    <s v=""/>
    <s v="4008293120"/>
    <s v="SXIDOCXI"/>
    <s v="1"/>
  </r>
  <r>
    <x v="0"/>
    <d v="2022-06-14T00:00:00"/>
    <x v="5"/>
    <s v="6829990"/>
    <s v="Other travel cost"/>
    <s v="MW09C21028"/>
    <s v="Segurança Industrial"/>
    <n v="124.4"/>
    <s v="Utilização Veículo Executivo Segurança Industrial/"/>
    <x v="22"/>
    <s v=""/>
    <s v=""/>
    <s v=""/>
    <s v="4008293124"/>
    <s v="SXIDOCXI"/>
    <s v="5"/>
  </r>
  <r>
    <x v="0"/>
    <d v="2022-06-14T00:00:00"/>
    <x v="5"/>
    <s v="6829990"/>
    <s v="Other travel cost"/>
    <s v="MW09C21028"/>
    <s v="Segurança Industrial"/>
    <n v="120"/>
    <s v="Utilização Veículo Executivo Bayer/06168326/6957AE"/>
    <x v="23"/>
    <s v=""/>
    <s v=""/>
    <s v=""/>
    <s v="4008293122"/>
    <s v="SXIDOCXI"/>
    <s v="5"/>
  </r>
  <r>
    <x v="0"/>
    <d v="2022-06-14T00:00:00"/>
    <x v="5"/>
    <s v="6822200"/>
    <s v="Milage allowance"/>
    <s v="MW09C21028"/>
    <s v="Segurança Industrial"/>
    <n v="112.5"/>
    <s v="Utilização de Veículo Particular/06169241/CE1AAF34"/>
    <x v="7"/>
    <s v=""/>
    <s v=""/>
    <s v=""/>
    <s v="4008293125"/>
    <s v="SXIDOCXI"/>
    <s v="2"/>
  </r>
  <r>
    <x v="0"/>
    <d v="2022-06-14T00:00:00"/>
    <x v="5"/>
    <s v="6822200"/>
    <s v="Milage allowance"/>
    <s v="MW09C21028"/>
    <s v="Segurança Industrial"/>
    <n v="100.8"/>
    <s v="Utilização de Veículo Particular/10356980/2FB119AA"/>
    <x v="77"/>
    <s v=""/>
    <s v=""/>
    <s v=""/>
    <s v="4008293207"/>
    <s v="SXIDOCXI"/>
    <s v="1"/>
  </r>
  <r>
    <x v="0"/>
    <d v="2022-06-14T00:00:00"/>
    <x v="5"/>
    <s v="6829990"/>
    <s v="Other travel cost"/>
    <s v="MW09C21028"/>
    <s v="Segurança Industrial"/>
    <n v="69"/>
    <s v="Materiais Limpeza Segurança Industrial/06168407/60"/>
    <x v="22"/>
    <s v=""/>
    <s v=""/>
    <s v=""/>
    <s v="4008293124"/>
    <s v="SXIDOCXI"/>
    <s v="2"/>
  </r>
  <r>
    <x v="0"/>
    <d v="2022-06-14T00:00:00"/>
    <x v="5"/>
    <s v="6821200"/>
    <s v="Food allowance"/>
    <s v="MW09C21028"/>
    <s v="Segurança Industrial"/>
    <n v="53.6"/>
    <s v="Missão Executiva/06168326/6957AE7ACBB7486EA991/RDV"/>
    <x v="23"/>
    <s v=""/>
    <s v=""/>
    <s v=""/>
    <s v="4008293122"/>
    <s v="SXIDOCXI"/>
    <s v="8"/>
  </r>
  <r>
    <x v="0"/>
    <d v="2022-06-14T00:00:00"/>
    <x v="5"/>
    <s v="6822200"/>
    <s v="Milage allowance"/>
    <s v="MW09C21028"/>
    <s v="Segurança Industrial"/>
    <n v="50.4"/>
    <s v="Utilização Veículo Particular/06164223/B056D84BE57"/>
    <x v="25"/>
    <s v=""/>
    <s v=""/>
    <s v=""/>
    <s v="4008293119"/>
    <s v="SXIDOCXI"/>
    <s v="1"/>
  </r>
  <r>
    <x v="0"/>
    <d v="2022-06-15T00:00:00"/>
    <x v="5"/>
    <s v="6719990"/>
    <s v="Other site services"/>
    <s v="MW09C21028"/>
    <s v="Segurança Industrial"/>
    <n v="8135.89"/>
    <s v="Locação Uniformes e Toalhas"/>
    <x v="2"/>
    <s v=""/>
    <s v="660489033"/>
    <s v=""/>
    <s v="4008296222"/>
    <s v="GNEPP"/>
    <s v="2"/>
  </r>
  <r>
    <x v="0"/>
    <d v="2022-06-15T00:00:00"/>
    <x v="5"/>
    <s v="6032003"/>
    <s v="Pension Accrual."/>
    <s v="MW09C21028"/>
    <s v="Segurança Industrial"/>
    <n v="1882.92"/>
    <s v="Prov Pl. Pensão Ativos BCS 2022"/>
    <x v="47"/>
    <s v=""/>
    <s v=""/>
    <s v=""/>
    <s v="4008295230"/>
    <s v="EHJNK_FF"/>
    <s v="40"/>
  </r>
  <r>
    <x v="0"/>
    <d v="2022-06-15T00:00:00"/>
    <x v="5"/>
    <s v="6876000"/>
    <s v="Municip+regional tax"/>
    <s v="MW09C21028"/>
    <s v="Segurança Industrial"/>
    <n v="833.94"/>
    <s v="Segurança Industrial"/>
    <x v="69"/>
    <s v=""/>
    <s v=""/>
    <s v=""/>
    <s v="4008295228"/>
    <s v="EHJNK_FF"/>
    <s v="13"/>
  </r>
  <r>
    <x v="0"/>
    <d v="2022-06-15T00:00:00"/>
    <x v="5"/>
    <s v="6032003"/>
    <s v="Pension Accrual."/>
    <s v="MW09C21028"/>
    <s v="Segurança Industrial"/>
    <n v="420.36"/>
    <s v="Prov Pl. Medico Efeito Ebit BCS 2022"/>
    <x v="48"/>
    <s v=""/>
    <s v=""/>
    <s v=""/>
    <s v="4008295231"/>
    <s v="EHJNK_FF"/>
    <s v="1"/>
  </r>
  <r>
    <x v="0"/>
    <d v="2022-06-15T00:00:00"/>
    <x v="5"/>
    <s v="6280000"/>
    <s v="Technic. spare parts"/>
    <s v="MW09C21028"/>
    <s v="Segurança Industrial"/>
    <n v="55"/>
    <s v="LIMPA CONTATOS LC-150 SPRAY 300ML"/>
    <x v="8"/>
    <s v=""/>
    <s v=""/>
    <s v=""/>
    <s v="4008296007"/>
    <s v="ERUCD"/>
    <s v="1"/>
  </r>
  <r>
    <x v="0"/>
    <d v="2022-06-15T00:00:00"/>
    <x v="5"/>
    <s v="6822300"/>
    <s v="Coll transp staff"/>
    <s v="MW09C21028"/>
    <s v="Segurança Industrial"/>
    <n v="28.75"/>
    <s v="Audiometria Ocupacional"/>
    <x v="65"/>
    <s v=""/>
    <s v="660489743"/>
    <s v=""/>
    <s v="4008295534"/>
    <s v="GNEPP"/>
    <s v="5"/>
  </r>
  <r>
    <x v="0"/>
    <d v="2022-06-15T00:00:00"/>
    <x v="5"/>
    <s v="6280000"/>
    <s v="Technic. spare parts"/>
    <s v="MW09C21028"/>
    <s v="Segurança Industrial"/>
    <n v="6.45"/>
    <s v="BASE RELE FOTELETRICO ILUMATIC 31122700"/>
    <x v="8"/>
    <s v=""/>
    <s v=""/>
    <s v=""/>
    <s v="4008296006"/>
    <s v="ERUCD"/>
    <s v="1"/>
  </r>
  <r>
    <x v="0"/>
    <d v="2022-06-16T00:00:00"/>
    <x v="5"/>
    <s v="6829990"/>
    <s v="Other travel cost"/>
    <s v="MW09C21028"/>
    <s v="Segurança Industrial"/>
    <n v="3003.65"/>
    <s v="Abastecimento/06169225/36D2867CABDA416997DE/RDVV F"/>
    <x v="20"/>
    <s v=""/>
    <s v=""/>
    <s v=""/>
    <s v="4008298238"/>
    <s v="SXIDOCXI"/>
    <s v="1"/>
  </r>
  <r>
    <x v="0"/>
    <d v="2022-06-16T00:00:00"/>
    <x v="5"/>
    <s v="6829990"/>
    <s v="Other travel cost"/>
    <s v="MW09C21028"/>
    <s v="Segurança Industrial"/>
    <n v="900"/>
    <s v="Manutenção preventiva/06169225/36D2867CABDA416997D"/>
    <x v="20"/>
    <s v=""/>
    <s v=""/>
    <s v=""/>
    <s v="4008298238"/>
    <s v="SXIDOCXI"/>
    <s v="4"/>
  </r>
  <r>
    <x v="0"/>
    <d v="2022-06-16T00:00:00"/>
    <x v="5"/>
    <s v="6829990"/>
    <s v="Other travel cost"/>
    <s v="MW09C21028"/>
    <s v="Segurança Industrial"/>
    <n v="401.78"/>
    <s v="Missão Administrativa/06169225/36D2867CABDA416997D"/>
    <x v="20"/>
    <s v=""/>
    <s v=""/>
    <s v=""/>
    <s v="4008298238"/>
    <s v="SXIDOCXI"/>
    <s v="5"/>
  </r>
  <r>
    <x v="0"/>
    <d v="2022-06-16T00:00:00"/>
    <x v="5"/>
    <s v="6821400"/>
    <s v="Lodging"/>
    <s v="MW09C21028"/>
    <s v="Segurança Industrial"/>
    <n v="382.04"/>
    <s v="Evento MEX Rio/06169225/36D2867CABDA416997DE/RDVV/"/>
    <x v="20"/>
    <s v=""/>
    <s v=""/>
    <s v=""/>
    <s v="4008298238"/>
    <s v="SXIDOCXI"/>
    <s v="9"/>
  </r>
  <r>
    <x v="0"/>
    <d v="2022-06-16T00:00:00"/>
    <x v="5"/>
    <s v="6829990"/>
    <s v="Other travel cost"/>
    <s v="MW09C21028"/>
    <s v="Segurança Industrial"/>
    <n v="192.8"/>
    <s v="TAG veículo Segurança/06169225/36D2867CABDA416997D"/>
    <x v="20"/>
    <s v=""/>
    <s v=""/>
    <s v=""/>
    <s v="4008298238"/>
    <s v="SXIDOCXI"/>
    <s v="7"/>
  </r>
  <r>
    <x v="0"/>
    <d v="2022-06-16T00:00:00"/>
    <x v="5"/>
    <s v="6821200"/>
    <s v="Food allowance"/>
    <s v="MW09C21028"/>
    <s v="Segurança Industrial"/>
    <n v="129"/>
    <s v="Missão Executiva/06169225/36D2867CABDA416997DE/RDV"/>
    <x v="20"/>
    <s v=""/>
    <s v=""/>
    <s v=""/>
    <s v="4008298238"/>
    <s v="SXIDOCXI"/>
    <s v="12"/>
  </r>
  <r>
    <x v="0"/>
    <d v="2022-06-16T00:00:00"/>
    <x v="5"/>
    <s v="6829990"/>
    <s v="Other travel cost"/>
    <s v="MW09C21028"/>
    <s v="Segurança Industrial"/>
    <n v="49"/>
    <s v="Missão Executiva/06169225/36D2867CABDA416997DE/RDV"/>
    <x v="20"/>
    <s v=""/>
    <s v=""/>
    <s v=""/>
    <s v="4008298238"/>
    <s v="SXIDOCXI"/>
    <s v="6"/>
  </r>
  <r>
    <x v="0"/>
    <d v="2022-06-16T00:00:00"/>
    <x v="5"/>
    <s v="6829990"/>
    <s v="Other travel cost"/>
    <s v="MW09C21028"/>
    <s v="Segurança Industrial"/>
    <n v="26.89"/>
    <s v="Despesa de cartão de crédito./06169225/36D2867CABD"/>
    <x v="20"/>
    <s v=""/>
    <s v=""/>
    <s v=""/>
    <s v="4008298238"/>
    <s v="SXIDOCXI"/>
    <s v="10"/>
  </r>
  <r>
    <x v="0"/>
    <d v="2022-06-16T00:00:00"/>
    <x v="5"/>
    <s v="6821200"/>
    <s v="Food allowance"/>
    <s v="MW09C21028"/>
    <s v="Segurança Industrial"/>
    <n v="16.5"/>
    <s v="Evento MEX/06169225/36D2867CABDA416997DE/RDVV FARI"/>
    <x v="20"/>
    <s v=""/>
    <s v=""/>
    <s v=""/>
    <s v="4008298238"/>
    <s v="SXIDOCXI"/>
    <s v="11"/>
  </r>
  <r>
    <x v="0"/>
    <d v="2022-06-20T00:00:00"/>
    <x v="5"/>
    <s v="6711000"/>
    <s v="Security Service"/>
    <s v="MW09C21028"/>
    <s v="Segurança Industrial"/>
    <n v="320"/>
    <s v="Comunicação mensal"/>
    <x v="29"/>
    <s v=""/>
    <s v="660486730"/>
    <s v=""/>
    <s v="4008302885"/>
    <s v="GMGNH"/>
    <s v="1"/>
  </r>
  <r>
    <x v="0"/>
    <d v="2022-06-21T00:00:00"/>
    <x v="5"/>
    <s v="6711000"/>
    <s v="Security Service"/>
    <s v="MW09C21028"/>
    <s v="Segurança Industrial"/>
    <n v="1448.05"/>
    <s v="Valor NF 424"/>
    <x v="11"/>
    <s v=""/>
    <s v=""/>
    <s v=""/>
    <s v="4008304253"/>
    <s v="GEMKD"/>
    <s v="3"/>
  </r>
  <r>
    <x v="0"/>
    <d v="2022-06-21T00:00:00"/>
    <x v="5"/>
    <s v="6711000"/>
    <s v="Security Service"/>
    <s v="MW09C21028"/>
    <s v="Segurança Industrial"/>
    <n v="188.7"/>
    <s v="Valor NF 424"/>
    <x v="11"/>
    <s v=""/>
    <s v=""/>
    <s v=""/>
    <s v="4008304253"/>
    <s v="GEMKD"/>
    <s v="1"/>
  </r>
  <r>
    <x v="0"/>
    <d v="2022-06-22T00:00:00"/>
    <x v="5"/>
    <s v="6471200"/>
    <s v="Product literature"/>
    <s v="MW09C21028"/>
    <s v="Segurança Industrial"/>
    <n v="1441.73"/>
    <s v="Gestão de documentos legais"/>
    <x v="80"/>
    <s v=""/>
    <s v="660491354"/>
    <s v=""/>
    <s v="4008308013"/>
    <s v="EIMOH"/>
    <s v="1"/>
  </r>
  <r>
    <x v="0"/>
    <d v="2022-06-22T00:00:00"/>
    <x v="5"/>
    <s v="6542000"/>
    <s v="Environmental serv"/>
    <s v="MW09C21028"/>
    <s v="Segurança Industrial"/>
    <n v="819"/>
    <s v="Medição Procon Fumaça Preta"/>
    <x v="60"/>
    <s v=""/>
    <s v="660473655"/>
    <s v=""/>
    <s v="4008307940"/>
    <s v="GEMKD"/>
    <s v="1"/>
  </r>
  <r>
    <x v="0"/>
    <d v="2022-06-22T00:00:00"/>
    <x v="5"/>
    <s v="6829000"/>
    <s v="Taxi/publ.transp."/>
    <s v="MW09C21028"/>
    <s v="Segurança Industrial"/>
    <n v="324.14"/>
    <s v="Serv Taxi 2a QUINZ MAI 22"/>
    <x v="6"/>
    <s v=""/>
    <s v="660490490"/>
    <s v=""/>
    <s v="4008308054"/>
    <s v="EIMOH"/>
    <s v="4"/>
  </r>
  <r>
    <x v="0"/>
    <d v="2022-06-22T00:00:00"/>
    <x v="5"/>
    <s v="6829000"/>
    <s v="Taxi/publ.transp."/>
    <s v="MW09C21028"/>
    <s v="Segurança Industrial"/>
    <n v="309.22000000000003"/>
    <s v="Serv Taxi 1a QUINZ MAI 22"/>
    <x v="6"/>
    <s v=""/>
    <s v="660490451"/>
    <s v=""/>
    <s v="4008308062"/>
    <s v="EIMOH"/>
    <s v="3"/>
  </r>
  <r>
    <x v="0"/>
    <d v="2022-06-22T00:00:00"/>
    <x v="5"/>
    <s v="6021550"/>
    <s v="Health ben sal"/>
    <s v="MW09C21028"/>
    <s v="Segurança Industrial"/>
    <n v="44.84"/>
    <s v="Exames médicos colaboradores"/>
    <x v="59"/>
    <s v=""/>
    <s v="660489730"/>
    <s v=""/>
    <s v="4008308028"/>
    <s v="EIMOH"/>
    <s v="5"/>
  </r>
  <r>
    <x v="0"/>
    <d v="2022-06-27T00:00:00"/>
    <x v="5"/>
    <s v="6715000"/>
    <s v="Fire prevent serv."/>
    <s v="MW09C21028"/>
    <s v="Segurança Industrial"/>
    <n v="10193.99"/>
    <s v="Valor Fire prevent serv  ref  Docto Nr  37268"/>
    <x v="10"/>
    <s v=""/>
    <s v="660485007"/>
    <s v=""/>
    <s v="4008318381"/>
    <s v="EIMOH"/>
    <s v="1"/>
  </r>
  <r>
    <x v="0"/>
    <d v="2022-06-27T00:00:00"/>
    <x v="5"/>
    <s v="6876000"/>
    <s v="Municip+regional tax"/>
    <s v="MW09C21028"/>
    <s v="Segurança Industrial"/>
    <n v="850"/>
    <s v="Valor Municip+regional tax ref  Docto Nr  45565"/>
    <x v="14"/>
    <s v=""/>
    <s v="660483550"/>
    <s v=""/>
    <s v="4008318382"/>
    <s v="EIMOH"/>
    <s v="1"/>
  </r>
  <r>
    <x v="0"/>
    <d v="2022-06-28T00:00:00"/>
    <x v="5"/>
    <s v="6831400"/>
    <s v="Catering"/>
    <s v="MW09C21028"/>
    <s v="Segurança Industrial"/>
    <n v="780.36"/>
    <s v="Vr recup Refeicoes Colaboradores   Mai"/>
    <x v="15"/>
    <s v=""/>
    <s v=""/>
    <s v=""/>
    <s v="4008320247"/>
    <s v="GNVLO"/>
    <s v="30"/>
  </r>
  <r>
    <x v="0"/>
    <d v="2022-06-28T00:00:00"/>
    <x v="5"/>
    <s v="6822300"/>
    <s v="Coll transp staff"/>
    <s v="MW09C21028"/>
    <s v="Segurança Industrial"/>
    <n v="676.52"/>
    <s v="Recup Transporte Colaboradores   Mai"/>
    <x v="15"/>
    <s v=""/>
    <s v=""/>
    <s v=""/>
    <s v="4008320247"/>
    <s v="GNVLO"/>
    <s v="11"/>
  </r>
  <r>
    <x v="0"/>
    <d v="2022-06-29T00:00:00"/>
    <x v="5"/>
    <s v="6033000"/>
    <s v="Contract settlement"/>
    <s v="MW09C21028"/>
    <s v="Segurança Industrial"/>
    <n v="122117.12"/>
    <s v="37OC/37U/Indenização Especial - Acordo Coletivo"/>
    <x v="81"/>
    <s v=""/>
    <s v=""/>
    <s v=""/>
    <s v="4008321793"/>
    <s v="WWCAST1_HR"/>
    <s v="917"/>
  </r>
  <r>
    <x v="0"/>
    <d v="2022-06-29T00:00:00"/>
    <x v="5"/>
    <s v="6020220"/>
    <s v="Unemployment fund"/>
    <s v="MW09C21028"/>
    <s v="Segurança Industrial"/>
    <n v="112931.56"/>
    <s v="37OF/37U/Desp.FGTS Diferença 10% C/Liminar"/>
    <x v="81"/>
    <s v=""/>
    <s v=""/>
    <s v=""/>
    <s v="4008321793"/>
    <s v="WWCAST1_HR"/>
    <s v="833"/>
  </r>
  <r>
    <x v="0"/>
    <d v="2022-06-29T00:00:00"/>
    <x v="5"/>
    <s v="6011000"/>
    <s v="Salaries"/>
    <s v="MW09C21028"/>
    <s v="Segurança Industrial"/>
    <n v="110102.69"/>
    <s v="37NA/37U/Salários"/>
    <x v="81"/>
    <s v=""/>
    <s v=""/>
    <s v=""/>
    <s v="4008321793"/>
    <s v="WWCAST1_HR"/>
    <s v="911"/>
  </r>
  <r>
    <x v="0"/>
    <d v="2022-06-29T00:00:00"/>
    <x v="5"/>
    <s v="6011000"/>
    <s v="Salaries"/>
    <s v="MW09C21028"/>
    <s v="Segurança Industrial"/>
    <n v="96229.03"/>
    <s v="37NC/37U/Salarios Outros"/>
    <x v="81"/>
    <s v=""/>
    <s v=""/>
    <s v=""/>
    <s v="4008321793"/>
    <s v="WWCAST1_HR"/>
    <s v="910"/>
  </r>
  <r>
    <x v="0"/>
    <d v="2022-06-29T00:00:00"/>
    <x v="5"/>
    <s v="6020300"/>
    <s v="Soc sec cont-severan"/>
    <s v="MW09C21028"/>
    <s v="Segurança Industrial"/>
    <n v="72620.039999999994"/>
    <s v="37NP/37U/Contribuição Inst.de Previdência"/>
    <x v="81"/>
    <s v=""/>
    <s v=""/>
    <s v=""/>
    <s v="4008321793"/>
    <s v="WWCAST1_HR"/>
    <s v="837"/>
  </r>
  <r>
    <x v="0"/>
    <d v="2022-06-29T00:00:00"/>
    <x v="5"/>
    <s v="6011100"/>
    <s v="Vacation Comp-Sal"/>
    <s v="MW09C21028"/>
    <s v="Segurança Industrial"/>
    <n v="29288.13"/>
    <s v="37NN/37U/Provisão Pagto Férias DL 1730/79"/>
    <x v="81"/>
    <s v=""/>
    <s v=""/>
    <s v=""/>
    <s v="4008321793"/>
    <s v="WWCAST1_HR"/>
    <s v="908"/>
  </r>
  <r>
    <x v="0"/>
    <d v="2022-06-29T00:00:00"/>
    <x v="5"/>
    <s v="6011700"/>
    <s v="Overtime Premium-sal"/>
    <s v="MW09C21028"/>
    <s v="Segurança Industrial"/>
    <n v="28421.3"/>
    <s v="37NF/37U/Horas Extras"/>
    <x v="81"/>
    <s v=""/>
    <s v=""/>
    <s v=""/>
    <s v="4008321793"/>
    <s v="WWCAST1_HR"/>
    <s v="834"/>
  </r>
  <r>
    <x v="0"/>
    <d v="2022-06-29T00:00:00"/>
    <x v="5"/>
    <s v="6011530"/>
    <s v="13th month rem sal"/>
    <s v="MW09C21028"/>
    <s v="Segurança Industrial"/>
    <n v="18130.349999999999"/>
    <s v="37NI/37U/13º Salário"/>
    <x v="81"/>
    <s v=""/>
    <s v=""/>
    <s v=""/>
    <s v="4008321793"/>
    <s v="WWCAST1_HR"/>
    <s v="906"/>
  </r>
  <r>
    <x v="0"/>
    <d v="2022-06-29T00:00:00"/>
    <x v="5"/>
    <s v="8261000"/>
    <s v="FAM Settl Prim Mat"/>
    <s v="MW09C21028"/>
    <s v="Segurança Industrial"/>
    <n v="17489.23"/>
    <s v="CTR H353/MW09C21028"/>
    <x v="41"/>
    <s v="IE MW09C21028 SEG INDUSTRIAL - 2022"/>
    <s v=""/>
    <s v="Order"/>
    <s v="4600134811"/>
    <s v="SXFTM000"/>
    <s v="2"/>
  </r>
  <r>
    <x v="0"/>
    <d v="2022-06-29T00:00:00"/>
    <x v="5"/>
    <s v="8261000"/>
    <s v="FAM Settl Prim Mat"/>
    <s v="MW09C21028"/>
    <s v="Segurança Industrial"/>
    <n v="13050"/>
    <s v="CTR H353/MW09C21028"/>
    <x v="41"/>
    <s v="IE MW09C21028 SEG INDUSTRIAL - 2022"/>
    <s v=""/>
    <s v="Order"/>
    <s v="4600135122"/>
    <s v="SXFTMRB0"/>
    <s v="2"/>
  </r>
  <r>
    <x v="0"/>
    <d v="2022-06-29T00:00:00"/>
    <x v="5"/>
    <s v="6021130"/>
    <s v="Pay Ins Accid sal"/>
    <s v="MW09C21028"/>
    <s v="Segurança Industrial"/>
    <n v="10859.81"/>
    <s v="37NY/37U/Seguro Contra Acidentes de Trabalho"/>
    <x v="81"/>
    <s v=""/>
    <s v=""/>
    <s v=""/>
    <s v="4008321793"/>
    <s v="WWCAST1_HR"/>
    <s v="904"/>
  </r>
  <r>
    <x v="0"/>
    <d v="2022-06-29T00:00:00"/>
    <x v="5"/>
    <s v="6020300"/>
    <s v="Soc sec cont-severan"/>
    <s v="MW09C21028"/>
    <s v="Segurança Industrial"/>
    <n v="10557.11"/>
    <s v="37NX/37U/Salário Educação LEI 4440/64"/>
    <x v="81"/>
    <s v=""/>
    <s v=""/>
    <s v=""/>
    <s v="4008321793"/>
    <s v="WWCAST1_HR"/>
    <s v="905"/>
  </r>
  <r>
    <x v="0"/>
    <d v="2022-06-29T00:00:00"/>
    <x v="5"/>
    <s v="6011700"/>
    <s v="Overtime Premium-sal"/>
    <s v="MW09C21028"/>
    <s v="Segurança Industrial"/>
    <n v="8729.86"/>
    <s v="37NG/37U/Horas Extras Revezamento"/>
    <x v="81"/>
    <s v=""/>
    <s v=""/>
    <s v=""/>
    <s v="4008321793"/>
    <s v="WWCAST1_HR"/>
    <s v="913"/>
  </r>
  <r>
    <x v="0"/>
    <d v="2022-06-29T00:00:00"/>
    <x v="5"/>
    <s v="6020320"/>
    <s v="Contingency fund"/>
    <s v="MW09C21028"/>
    <s v="Segurança Industrial"/>
    <n v="7277.12"/>
    <s v="37PE/37U/Encargos sobre 13o salário"/>
    <x v="81"/>
    <s v=""/>
    <s v=""/>
    <s v=""/>
    <s v="4008321793"/>
    <s v="WWCAST1_HR"/>
    <s v="907"/>
  </r>
  <r>
    <x v="0"/>
    <d v="2022-06-29T00:00:00"/>
    <x v="5"/>
    <s v="6042050"/>
    <s v="Rem. limited dur."/>
    <s v="MW09C21028"/>
    <s v="Segurança Industrial"/>
    <n v="6127.98"/>
    <s v="37NA/37W/Salários"/>
    <x v="81"/>
    <s v=""/>
    <s v=""/>
    <s v=""/>
    <s v="4008321792"/>
    <s v="WWCAST1_HR"/>
    <s v="691"/>
  </r>
  <r>
    <x v="0"/>
    <d v="2022-06-29T00:00:00"/>
    <x v="5"/>
    <s v="8262000"/>
    <s v="FAM Settl Serv (Ext)"/>
    <s v="MW09C21028"/>
    <s v="Segurança Industrial"/>
    <n v="5825.68"/>
    <s v="CTR H353/MW09C21028"/>
    <x v="41"/>
    <s v="IE MW09C21028 SEG INDUSTRIAL - 2022"/>
    <s v=""/>
    <s v="Order"/>
    <s v="4600134811"/>
    <s v="SXFTM000"/>
    <s v="4"/>
  </r>
  <r>
    <x v="0"/>
    <d v="2022-06-29T00:00:00"/>
    <x v="5"/>
    <s v="6020350"/>
    <s v="Accr soc-sec. contr."/>
    <s v="MW09C21028"/>
    <s v="Segurança Industrial"/>
    <n v="5760.03"/>
    <s v="37OD/37U/Provisão Encargos Sociais S/Férias DL 173"/>
    <x v="81"/>
    <s v=""/>
    <s v=""/>
    <s v=""/>
    <s v="4008321793"/>
    <s v="WWCAST1_HR"/>
    <s v="909"/>
  </r>
  <r>
    <x v="0"/>
    <d v="2022-06-29T00:00:00"/>
    <x v="5"/>
    <s v="6032730"/>
    <s v="Exp emp con-ded"/>
    <s v="MW09C21028"/>
    <s v="Segurança Industrial"/>
    <n v="5715.28"/>
    <s v="37PA/37U/Contribuição a Previdencia Privada"/>
    <x v="81"/>
    <s v=""/>
    <s v=""/>
    <s v=""/>
    <s v="4008321793"/>
    <s v="WWCAST1_HR"/>
    <s v="836"/>
  </r>
  <r>
    <x v="0"/>
    <d v="2022-06-29T00:00:00"/>
    <x v="5"/>
    <s v="6200000"/>
    <s v="Maint &amp; Leg/Co.Compl"/>
    <s v="MW09C21028"/>
    <s v="Segurança Industrial"/>
    <n v="3204.06"/>
    <s v="SISTEMA TRONCALIZADO TETRA DAMM (2 repet"/>
    <x v="62"/>
    <s v=""/>
    <s v="660496494"/>
    <s v=""/>
    <s v="4008322195"/>
    <s v="GNEPP"/>
    <s v="1"/>
  </r>
  <r>
    <x v="0"/>
    <d v="2022-06-29T00:00:00"/>
    <x v="5"/>
    <s v="8261000"/>
    <s v="FAM Settl Prim Mat"/>
    <s v="MW09C21028"/>
    <s v="Segurança Industrial"/>
    <n v="3128.42"/>
    <s v="CTR H353/MW09C21028"/>
    <x v="41"/>
    <s v="IE SERV ELÉTRICA ADMINISTRATIVO 2022"/>
    <s v=""/>
    <s v="Order"/>
    <s v="4600134348"/>
    <s v="SXFTM000"/>
    <s v="4"/>
  </r>
  <r>
    <x v="0"/>
    <d v="2022-06-29T00:00:00"/>
    <x v="5"/>
    <s v="6061000"/>
    <s v="Allow for prec. Job"/>
    <s v="MW09C21028"/>
    <s v="Segurança Industrial"/>
    <n v="3009.93"/>
    <s v="37NC/37W/Salarios Outros"/>
    <x v="81"/>
    <s v=""/>
    <s v=""/>
    <s v=""/>
    <s v="4008321792"/>
    <s v="WWCAST1_HR"/>
    <s v="690"/>
  </r>
  <r>
    <x v="0"/>
    <d v="2022-06-29T00:00:00"/>
    <x v="5"/>
    <s v="6020360"/>
    <s v="Employer cont pens p"/>
    <s v="MW09C21028"/>
    <s v="Segurança Industrial"/>
    <n v="2575.58"/>
    <s v="37NP/37W/Contribuição Inst.de Previdência"/>
    <x v="81"/>
    <s v=""/>
    <s v=""/>
    <s v=""/>
    <s v="4008321792"/>
    <s v="WWCAST1_HR"/>
    <s v="683"/>
  </r>
  <r>
    <x v="0"/>
    <d v="2022-06-29T00:00:00"/>
    <x v="5"/>
    <s v="8261000"/>
    <s v="FAM Settl Prim Mat"/>
    <s v="MW09C21028"/>
    <s v="Segurança Industrial"/>
    <n v="2422.62"/>
    <s v="CTR H353/MW09C21028"/>
    <x v="41"/>
    <s v="IE SERV HIDRAULICA ADMINISTRATIVO 2022"/>
    <s v=""/>
    <s v="Order"/>
    <s v="4600134347"/>
    <s v="SXFTM000"/>
    <s v="10"/>
  </r>
  <r>
    <x v="0"/>
    <d v="2022-06-29T00:00:00"/>
    <x v="5"/>
    <s v="6011530"/>
    <s v="13th month rem sal"/>
    <s v="MW09C21028"/>
    <s v="Segurança Industrial"/>
    <n v="2358.6"/>
    <s v="37NH/37U/13º Salário"/>
    <x v="81"/>
    <s v=""/>
    <s v=""/>
    <s v=""/>
    <s v="4008321793"/>
    <s v="WWCAST1_HR"/>
    <s v="916"/>
  </r>
  <r>
    <x v="0"/>
    <d v="2022-06-29T00:00:00"/>
    <x v="5"/>
    <s v="6042050"/>
    <s v="Rem. limited dur."/>
    <s v="MW09C21028"/>
    <s v="Segurança Industrial"/>
    <n v="2071.7399999999998"/>
    <s v="37NF/37W/Horas Extras"/>
    <x v="81"/>
    <s v=""/>
    <s v=""/>
    <s v=""/>
    <s v="4008321792"/>
    <s v="WWCAST1_HR"/>
    <s v="680"/>
  </r>
  <r>
    <x v="0"/>
    <d v="2022-06-29T00:00:00"/>
    <x v="5"/>
    <s v="6043100"/>
    <s v="Pay apprenticeship"/>
    <s v="MW09C21028"/>
    <s v="Segurança Industrial"/>
    <n v="2000"/>
    <s v="37OU/37W/Serviço de Estagiário-PF"/>
    <x v="81"/>
    <s v=""/>
    <s v=""/>
    <s v=""/>
    <s v="4008321792"/>
    <s v="WWCAST1_HR"/>
    <s v="536"/>
  </r>
  <r>
    <x v="0"/>
    <d v="2022-06-29T00:00:00"/>
    <x v="5"/>
    <s v="8262000"/>
    <s v="FAM Settl Serv (Ext)"/>
    <s v="MW09C21028"/>
    <s v="Segurança Industrial"/>
    <n v="1834.72"/>
    <s v="CTR H353/MW09C21028"/>
    <x v="41"/>
    <s v="Reparo em linha de incêndio próxima ao p"/>
    <s v=""/>
    <s v="Order"/>
    <s v="4600134812"/>
    <s v="SXFTM000"/>
    <s v="6"/>
  </r>
  <r>
    <x v="0"/>
    <d v="2022-06-29T00:00:00"/>
    <x v="5"/>
    <s v="8261000"/>
    <s v="FAM Settl Prim Mat"/>
    <s v="MW09C21028"/>
    <s v="Segurança Industrial"/>
    <n v="1771.71"/>
    <s v="CTR H353/MW09C21028"/>
    <x v="41"/>
    <s v="Remanej.tub.rejeitoETA/AP Qd5600"/>
    <s v=""/>
    <s v="Order"/>
    <s v="4600134792"/>
    <s v="SXFTM000"/>
    <s v="6"/>
  </r>
  <r>
    <x v="0"/>
    <d v="2022-06-29T00:00:00"/>
    <x v="5"/>
    <s v="8261000"/>
    <s v="FAM Settl Prim Mat"/>
    <s v="MW09C21028"/>
    <s v="Segurança Industrial"/>
    <n v="1566.54"/>
    <s v="CTR H353/MW09C21028"/>
    <x v="41"/>
    <s v="2022 SERVIÇOS DE LUBRIFICAÇÃO SEGURANÇA"/>
    <s v=""/>
    <s v="Order"/>
    <s v="4600134810"/>
    <s v="SXFTM000"/>
    <s v="2"/>
  </r>
  <r>
    <x v="0"/>
    <d v="2022-06-29T00:00:00"/>
    <x v="5"/>
    <s v="8262000"/>
    <s v="FAM Settl Serv (Ext)"/>
    <s v="MW09C21028"/>
    <s v="Segurança Industrial"/>
    <n v="1564.21"/>
    <s v="CTR H353/MW09C21028"/>
    <x v="41"/>
    <s v="IE SERV ELÉTRICA ADMINISTRATIVO 2022"/>
    <s v=""/>
    <s v="Order"/>
    <s v="4600134348"/>
    <s v="SXFTM000"/>
    <s v="28"/>
  </r>
  <r>
    <x v="0"/>
    <d v="2022-06-29T00:00:00"/>
    <x v="5"/>
    <s v="8261000"/>
    <s v="FAM Settl Prim Mat"/>
    <s v="MW09C21028"/>
    <s v="Segurança Industrial"/>
    <n v="1321.64"/>
    <s v="CTR H353/MW09C21028"/>
    <x v="41"/>
    <s v="Reparo em linha de incêndio próxima ao p"/>
    <s v=""/>
    <s v="Order"/>
    <s v="4600134812"/>
    <s v="SXFTM000"/>
    <s v="2"/>
  </r>
  <r>
    <x v="0"/>
    <d v="2022-06-29T00:00:00"/>
    <x v="5"/>
    <s v="6039300"/>
    <s v="Oth emp benefits"/>
    <s v="MW09C21028"/>
    <s v="Segurança Industrial"/>
    <n v="1321"/>
    <s v="37OR/37U/Outras Despesas Sociais"/>
    <x v="81"/>
    <s v=""/>
    <s v=""/>
    <s v=""/>
    <s v="4008321793"/>
    <s v="WWCAST1_HR"/>
    <s v="920"/>
  </r>
  <r>
    <x v="0"/>
    <d v="2022-06-29T00:00:00"/>
    <x v="5"/>
    <s v="6052340"/>
    <s v="Soc. security contr."/>
    <s v="MW09C21028"/>
    <s v="Segurança Industrial"/>
    <n v="1245.55"/>
    <s v="37NN/37W/Provisão Pagto Férias DL 1730/79"/>
    <x v="81"/>
    <s v=""/>
    <s v=""/>
    <s v=""/>
    <s v="4008321792"/>
    <s v="WWCAST1_HR"/>
    <s v="688"/>
  </r>
  <r>
    <x v="0"/>
    <d v="2022-06-29T00:00:00"/>
    <x v="5"/>
    <s v="8262000"/>
    <s v="FAM Settl Serv (Ext)"/>
    <s v="MW09C21028"/>
    <s v="Segurança Industrial"/>
    <n v="1211.31"/>
    <s v="CTR H353/MW09C21028"/>
    <x v="41"/>
    <s v="IE SERV HIDRAULICA ADMINISTRATIVO 2022"/>
    <s v=""/>
    <s v="Order"/>
    <s v="4600134347"/>
    <s v="SXFTM000"/>
    <s v="36"/>
  </r>
  <r>
    <x v="0"/>
    <d v="2022-06-29T00:00:00"/>
    <x v="5"/>
    <s v="8262000"/>
    <s v="FAM Settl Serv (Ext)"/>
    <s v="MW09C21028"/>
    <s v="Segurança Industrial"/>
    <n v="1136.58"/>
    <s v="CTR H353/MW09C21028"/>
    <x v="41"/>
    <s v="MAN 2022 SÓ ACUMULADORES"/>
    <s v=""/>
    <s v="Order"/>
    <s v="4600134815"/>
    <s v="SXFTM000"/>
    <s v="4"/>
  </r>
  <r>
    <x v="0"/>
    <d v="2022-06-29T00:00:00"/>
    <x v="5"/>
    <s v="8261000"/>
    <s v="FAM Settl Prim Mat"/>
    <s v="MW09C21028"/>
    <s v="Segurança Industrial"/>
    <n v="1131"/>
    <s v="CTR H353/MW09C21028"/>
    <x v="41"/>
    <s v="IE MAN REDE DE INCÊNDIO 2022 (21028)"/>
    <s v=""/>
    <s v="Order"/>
    <s v="4600135124"/>
    <s v="SXFTMRB0"/>
    <s v="2"/>
  </r>
  <r>
    <x v="0"/>
    <d v="2022-06-29T00:00:00"/>
    <x v="5"/>
    <s v="8261000"/>
    <s v="FAM Settl Prim Mat"/>
    <s v="MW09C21028"/>
    <s v="Segurança Industrial"/>
    <n v="1095.7"/>
    <s v="CTR H353/MW09C21028"/>
    <x v="41"/>
    <s v="IE SERV MARCENARIA ADMINISTRATIVO 2022"/>
    <s v=""/>
    <s v="Order"/>
    <s v="4600134334"/>
    <s v="SXFTM000"/>
    <s v="8"/>
  </r>
  <r>
    <x v="0"/>
    <d v="2022-06-29T00:00:00"/>
    <x v="5"/>
    <s v="6042100"/>
    <s v="RemTM yearly premium"/>
    <s v="MW09C21028"/>
    <s v="Segurança Industrial"/>
    <n v="963.25"/>
    <s v="37NI/37W/13º Salário"/>
    <x v="81"/>
    <s v=""/>
    <s v=""/>
    <s v=""/>
    <s v="4008321792"/>
    <s v="WWCAST1_HR"/>
    <s v="686"/>
  </r>
  <r>
    <x v="0"/>
    <d v="2022-06-29T00:00:00"/>
    <x v="5"/>
    <s v="6052340"/>
    <s v="Soc. security contr."/>
    <s v="MW09C21028"/>
    <s v="Segurança Industrial"/>
    <n v="907.69"/>
    <s v="37OF/37W/Desp.FGTS Diferença 10% C/Liminar"/>
    <x v="81"/>
    <s v=""/>
    <s v=""/>
    <s v=""/>
    <s v="4008321792"/>
    <s v="WWCAST1_HR"/>
    <s v="678"/>
  </r>
  <r>
    <x v="0"/>
    <d v="2022-06-29T00:00:00"/>
    <x v="5"/>
    <s v="6831400"/>
    <s v="Catering"/>
    <s v="MW09C21028"/>
    <s v="Segurança Industrial"/>
    <n v="854.2"/>
    <s v="Vr recup Serv Restaur Visitantes - Jun"/>
    <x v="15"/>
    <s v=""/>
    <s v=""/>
    <s v=""/>
    <s v="4008321781"/>
    <s v="GNPRP"/>
    <s v="19"/>
  </r>
  <r>
    <x v="0"/>
    <d v="2022-06-29T00:00:00"/>
    <x v="5"/>
    <s v="8261000"/>
    <s v="FAM Settl Prim Mat"/>
    <s v="MW09C21028"/>
    <s v="Segurança Industrial"/>
    <n v="566"/>
    <s v="CTR H353/MW09C21028"/>
    <x v="41"/>
    <s v="MAN 2021 REDE DE INCENDIO BR"/>
    <s v=""/>
    <s v="Order"/>
    <s v="4600135121"/>
    <s v="SXFTMRB0"/>
    <s v="2"/>
  </r>
  <r>
    <x v="0"/>
    <d v="2022-06-29T00:00:00"/>
    <x v="5"/>
    <s v="8262000"/>
    <s v="FAM Settl Serv (Ext)"/>
    <s v="MW09C21028"/>
    <s v="Segurança Industrial"/>
    <n v="547.85"/>
    <s v="CTR H353/MW09C21028"/>
    <x v="41"/>
    <s v="IE SERV MARCENARIA ADMINISTRATIVO 2022"/>
    <s v=""/>
    <s v="Order"/>
    <s v="4600134334"/>
    <s v="SXFTM000"/>
    <s v="38"/>
  </r>
  <r>
    <x v="0"/>
    <d v="2022-06-29T00:00:00"/>
    <x v="5"/>
    <s v="6831400"/>
    <s v="Catering"/>
    <s v="MW09C21028"/>
    <s v="Segurança Industrial"/>
    <n v="544.32000000000005"/>
    <s v="Vr recup Refeições Estagiários - Jun"/>
    <x v="15"/>
    <s v=""/>
    <s v=""/>
    <s v=""/>
    <s v="4008321781"/>
    <s v="GNPRP"/>
    <s v="35"/>
  </r>
  <r>
    <x v="0"/>
    <d v="2022-06-29T00:00:00"/>
    <x v="5"/>
    <s v="8261000"/>
    <s v="FAM Settl Prim Mat"/>
    <s v="MW09C21028"/>
    <s v="Segurança Industrial"/>
    <n v="503.95"/>
    <s v="CTR H353/MW09C21028"/>
    <x v="41"/>
    <s v="Remanej.tub.rejeitoETA/AP Qd5600"/>
    <s v=""/>
    <s v="Order"/>
    <s v="4600135102"/>
    <s v="SXFTMRB0"/>
    <s v="6"/>
  </r>
  <r>
    <x v="0"/>
    <d v="2022-06-29T00:00:00"/>
    <x v="5"/>
    <s v="6042600"/>
    <s v="Vol. Bonus ltd dur."/>
    <s v="MW09C21028"/>
    <s v="Segurança Industrial"/>
    <n v="500"/>
    <s v="37NM/37W/Gratificação Ajustada Espontânea"/>
    <x v="33"/>
    <s v=""/>
    <s v=""/>
    <s v=""/>
    <s v="4008321644"/>
    <s v="WWCAST1_HR"/>
    <s v="1"/>
  </r>
  <r>
    <x v="0"/>
    <d v="2022-06-29T00:00:00"/>
    <x v="5"/>
    <s v="6052340"/>
    <s v="Soc. security contr."/>
    <s v="MW09C21028"/>
    <s v="Segurança Industrial"/>
    <n v="457.49"/>
    <s v="37OD/37W/Provisão Encargos Sociais S/Férias DL 173"/>
    <x v="81"/>
    <s v=""/>
    <s v=""/>
    <s v=""/>
    <s v="4008321792"/>
    <s v="WWCAST1_HR"/>
    <s v="689"/>
  </r>
  <r>
    <x v="0"/>
    <d v="2022-06-29T00:00:00"/>
    <x v="5"/>
    <s v="6052400"/>
    <s v="Soc Contr 'oth'"/>
    <s v="MW09C21028"/>
    <s v="Segurança Industrial"/>
    <n v="374.42"/>
    <s v="37NX/37W/Salário Educação LEI 4440/64"/>
    <x v="81"/>
    <s v=""/>
    <s v=""/>
    <s v=""/>
    <s v="4008321792"/>
    <s v="WWCAST1_HR"/>
    <s v="685"/>
  </r>
  <r>
    <x v="0"/>
    <d v="2022-06-29T00:00:00"/>
    <x v="5"/>
    <s v="6052400"/>
    <s v="Soc Contr 'oth'"/>
    <s v="MW09C21028"/>
    <s v="Segurança Industrial"/>
    <n v="353.81"/>
    <s v="37PE/37W/Encargos sobre 13o salário"/>
    <x v="81"/>
    <s v=""/>
    <s v=""/>
    <s v=""/>
    <s v="4008321792"/>
    <s v="WWCAST1_HR"/>
    <s v="687"/>
  </r>
  <r>
    <x v="0"/>
    <d v="2022-06-29T00:00:00"/>
    <x v="5"/>
    <s v="6021130"/>
    <s v="Pay Ins Accid sal"/>
    <s v="MW09C21028"/>
    <s v="Segurança Industrial"/>
    <n v="336.16"/>
    <s v="37NY/37W/Seguro Contra Acidentes de Trabalho"/>
    <x v="81"/>
    <s v=""/>
    <s v=""/>
    <s v=""/>
    <s v="4008321792"/>
    <s v="WWCAST1_HR"/>
    <s v="684"/>
  </r>
  <r>
    <x v="0"/>
    <d v="2022-06-29T00:00:00"/>
    <x v="5"/>
    <s v="8261000"/>
    <s v="FAM Settl Prim Mat"/>
    <s v="MW09C21028"/>
    <s v="Segurança Industrial"/>
    <n v="283.5"/>
    <s v="CTR H353/MW09C21028"/>
    <x v="41"/>
    <s v="Reparo em linha de incêndio próxima ao p"/>
    <s v=""/>
    <s v="Order"/>
    <s v="4600135123"/>
    <s v="SXFTMRB0"/>
    <s v="2"/>
  </r>
  <r>
    <x v="0"/>
    <d v="2022-06-29T00:00:00"/>
    <x v="5"/>
    <s v="6779000"/>
    <s v="Serv. cust. &amp; excise"/>
    <s v="MW09C21028"/>
    <s v="Segurança Industrial"/>
    <n v="151.08000000000001"/>
    <s v="Reclassif. Despachante 122051215"/>
    <x v="63"/>
    <s v=""/>
    <s v=""/>
    <s v=""/>
    <s v="4008322316"/>
    <s v="GNPRP"/>
    <s v="19"/>
  </r>
  <r>
    <x v="0"/>
    <d v="2022-06-29T00:00:00"/>
    <x v="5"/>
    <s v="6042050"/>
    <s v="Rem. limited dur."/>
    <s v="MW09C21028"/>
    <s v="Segurança Industrial"/>
    <n v="136.47"/>
    <s v="37NG/37W/Horas Extras Revezamento"/>
    <x v="81"/>
    <s v=""/>
    <s v=""/>
    <s v=""/>
    <s v="4008321792"/>
    <s v="WWCAST1_HR"/>
    <s v="694"/>
  </r>
  <r>
    <x v="0"/>
    <d v="2022-06-29T00:00:00"/>
    <x v="5"/>
    <s v="8262000"/>
    <s v="FAM Settl Serv (Ext)"/>
    <s v="MW09C21028"/>
    <s v="Segurança Industrial"/>
    <n v="122.3"/>
    <s v="CTR H353/MW09C21028"/>
    <x v="41"/>
    <s v="Remanej.tub.rejeitoETA/AP Qd5600"/>
    <s v=""/>
    <s v="Order"/>
    <s v="4600134792"/>
    <s v="SXFTM000"/>
    <s v="12"/>
  </r>
  <r>
    <x v="0"/>
    <d v="2022-06-29T00:00:00"/>
    <x v="5"/>
    <s v="6020360"/>
    <s v="Employer cont pens p"/>
    <s v="MW09C21028"/>
    <s v="Segurança Industrial"/>
    <n v="113.5"/>
    <s v="37NP/37W/Contribuição Inst.de Previdência"/>
    <x v="33"/>
    <s v=""/>
    <s v=""/>
    <s v=""/>
    <s v="4008321644"/>
    <s v="WWCAST1_HR"/>
    <s v="4"/>
  </r>
  <r>
    <x v="0"/>
    <d v="2022-06-29T00:00:00"/>
    <x v="5"/>
    <s v="6032730"/>
    <s v="Exp emp con-ded"/>
    <s v="MW09C21028"/>
    <s v="Segurança Industrial"/>
    <n v="74.099999999999994"/>
    <s v="37PA/37W/Contribuição a Previdencia Privada"/>
    <x v="81"/>
    <s v=""/>
    <s v=""/>
    <s v=""/>
    <s v="4008321792"/>
    <s v="WWCAST1_HR"/>
    <s v="682"/>
  </r>
  <r>
    <x v="0"/>
    <d v="2022-06-29T00:00:00"/>
    <x v="5"/>
    <s v="6200000"/>
    <s v="Maint &amp; Leg/Co.Compl"/>
    <s v="MW09C21028"/>
    <s v="Segurança Industrial"/>
    <n v="69.03"/>
    <s v="KIT DE TERMINAL FIXO (MESA) - MTM5400"/>
    <x v="62"/>
    <s v=""/>
    <s v="660496494"/>
    <s v=""/>
    <s v="4008322195"/>
    <s v="GNEPP"/>
    <s v="13"/>
  </r>
  <r>
    <x v="0"/>
    <d v="2022-06-29T00:00:00"/>
    <x v="5"/>
    <s v="6052340"/>
    <s v="Soc. security contr."/>
    <s v="MW09C21028"/>
    <s v="Segurança Industrial"/>
    <n v="40"/>
    <s v="37OF/37W/Desp.FGTS Diferença 10% C/Liminar"/>
    <x v="33"/>
    <s v=""/>
    <s v=""/>
    <s v=""/>
    <s v="4008321644"/>
    <s v="WWCAST1_HR"/>
    <s v="5"/>
  </r>
  <r>
    <x v="0"/>
    <d v="2022-06-29T00:00:00"/>
    <x v="5"/>
    <s v="6779000"/>
    <s v="Serv. cust. &amp; excise"/>
    <s v="MW09C21028"/>
    <s v="Segurança Industrial"/>
    <n v="18.72"/>
    <s v="Reclassif. Despachante 40252"/>
    <x v="63"/>
    <s v=""/>
    <s v=""/>
    <s v=""/>
    <s v="4008322314"/>
    <s v="GNPRP"/>
    <s v="19"/>
  </r>
  <r>
    <x v="0"/>
    <d v="2022-06-29T00:00:00"/>
    <x v="5"/>
    <s v="6052400"/>
    <s v="Soc Contr 'oth'"/>
    <s v="MW09C21028"/>
    <s v="Segurança Industrial"/>
    <n v="16.5"/>
    <s v="37NX/37W/Salário Educação LEI 4440/64"/>
    <x v="33"/>
    <s v=""/>
    <s v=""/>
    <s v=""/>
    <s v="4008321644"/>
    <s v="WWCAST1_HR"/>
    <s v="2"/>
  </r>
  <r>
    <x v="0"/>
    <d v="2022-06-29T00:00:00"/>
    <x v="5"/>
    <s v="6021130"/>
    <s v="Pay Ins Accid sal"/>
    <s v="MW09C21028"/>
    <s v="Segurança Industrial"/>
    <n v="14.81"/>
    <s v="37NY/37W/Seguro Contra Acidentes de Trabalho"/>
    <x v="33"/>
    <s v=""/>
    <s v=""/>
    <s v=""/>
    <s v="4008321644"/>
    <s v="WWCAST1_HR"/>
    <s v="3"/>
  </r>
  <r>
    <x v="0"/>
    <d v="2022-06-29T00:00:00"/>
    <x v="5"/>
    <s v="6031130"/>
    <s v="Group ins salaries"/>
    <s v="MW09C21028"/>
    <s v="Segurança Industrial"/>
    <n v="-26.61"/>
    <s v="37OG/37W/Seguro de Vida Acidentes Pessoais em Grup"/>
    <x v="34"/>
    <s v=""/>
    <s v=""/>
    <s v=""/>
    <s v="4008321792"/>
    <s v="WWCAST1_HR"/>
    <s v="681"/>
  </r>
  <r>
    <x v="0"/>
    <d v="2022-06-29T00:00:00"/>
    <x v="5"/>
    <s v="6039300"/>
    <s v="Oth emp benefits"/>
    <s v="MW09C21028"/>
    <s v="Segurança Industrial"/>
    <n v="-63.77"/>
    <s v="37OR/37W/Outras Despesas Sociais"/>
    <x v="34"/>
    <s v=""/>
    <s v=""/>
    <s v=""/>
    <s v="4008321792"/>
    <s v="WWCAST1_HR"/>
    <s v="537"/>
  </r>
  <r>
    <x v="0"/>
    <d v="2022-06-29T00:00:00"/>
    <x v="5"/>
    <s v="6716000"/>
    <s v="Food f. Empl."/>
    <s v="MW09C21028"/>
    <s v="Segurança Industrial"/>
    <n v="-85.48"/>
    <s v="37OV/37W/Recuperação por Refeições Fornecidas"/>
    <x v="34"/>
    <s v=""/>
    <s v=""/>
    <s v=""/>
    <s v="4008321792"/>
    <s v="WWCAST1_HR"/>
    <s v="693"/>
  </r>
  <r>
    <x v="0"/>
    <d v="2022-06-29T00:00:00"/>
    <x v="5"/>
    <s v="6021550"/>
    <s v="Health ben sal"/>
    <s v="MW09C21028"/>
    <s v="Segurança Industrial"/>
    <n v="-120.7"/>
    <s v="37OS/37W/Reembolso Co-Participação Assistência Méd"/>
    <x v="34"/>
    <s v=""/>
    <s v=""/>
    <s v=""/>
    <s v="4008321792"/>
    <s v="WWCAST1_HR"/>
    <s v="692"/>
  </r>
  <r>
    <x v="0"/>
    <d v="2022-06-29T00:00:00"/>
    <x v="5"/>
    <s v="6021550"/>
    <s v="Health ben sal"/>
    <s v="MW09C21028"/>
    <s v="Segurança Industrial"/>
    <n v="-133.97999999999999"/>
    <s v="37OJ/37W/Assistência Odontológica  -   Ativos"/>
    <x v="34"/>
    <s v=""/>
    <s v=""/>
    <s v=""/>
    <s v="4008321792"/>
    <s v="WWCAST1_HR"/>
    <s v="446"/>
  </r>
  <r>
    <x v="0"/>
    <d v="2022-06-29T00:00:00"/>
    <x v="5"/>
    <s v="6822300"/>
    <s v="Coll transp staff"/>
    <s v="MW09C21028"/>
    <s v="Segurança Industrial"/>
    <n v="-219.27"/>
    <s v="37OK/37W/Transportes Colaboradores PJ"/>
    <x v="34"/>
    <s v=""/>
    <s v=""/>
    <s v=""/>
    <s v="4008321792"/>
    <s v="WWCAST1_HR"/>
    <s v="679"/>
  </r>
  <r>
    <x v="0"/>
    <d v="2022-06-29T00:00:00"/>
    <x v="5"/>
    <s v="6021550"/>
    <s v="Health ben sal"/>
    <s v="MW09C21028"/>
    <s v="Segurança Industrial"/>
    <n v="-473.46"/>
    <s v="37OI/37U/Assistência Médica/Hospitalar PJ"/>
    <x v="34"/>
    <s v=""/>
    <s v=""/>
    <s v=""/>
    <s v="4008321793"/>
    <s v="WWCAST1_HR"/>
    <s v="921"/>
  </r>
  <r>
    <x v="0"/>
    <d v="2022-06-29T00:00:00"/>
    <x v="5"/>
    <s v="6031130"/>
    <s v="Group ins salaries"/>
    <s v="MW09C21028"/>
    <s v="Segurança Industrial"/>
    <n v="-512.09"/>
    <s v="37OG/37U/Seguro de Vida Acidentes Pessoais em Grup"/>
    <x v="34"/>
    <s v=""/>
    <s v=""/>
    <s v=""/>
    <s v="4008321793"/>
    <s v="WWCAST1_HR"/>
    <s v="835"/>
  </r>
  <r>
    <x v="0"/>
    <d v="2022-06-29T00:00:00"/>
    <x v="5"/>
    <s v="6021550"/>
    <s v="Health ben sal"/>
    <s v="MW09C21028"/>
    <s v="Segurança Industrial"/>
    <n v="-599.41"/>
    <s v="37OS/37U/Reembolso Co-Participação Assistência Méd"/>
    <x v="34"/>
    <s v=""/>
    <s v=""/>
    <s v=""/>
    <s v="4008321793"/>
    <s v="WWCAST1_HR"/>
    <s v="912"/>
  </r>
  <r>
    <x v="0"/>
    <d v="2022-06-29T00:00:00"/>
    <x v="5"/>
    <s v="6021550"/>
    <s v="Health ben sal"/>
    <s v="MW09C21028"/>
    <s v="Segurança Industrial"/>
    <n v="-714.56"/>
    <s v="37OJ/37U/Assistência Odontológica  -   Ativos"/>
    <x v="34"/>
    <s v=""/>
    <s v=""/>
    <s v=""/>
    <s v="4008321793"/>
    <s v="WWCAST1_HR"/>
    <s v="901"/>
  </r>
  <r>
    <x v="0"/>
    <d v="2022-06-29T00:00:00"/>
    <x v="5"/>
    <s v="6716000"/>
    <s v="Food f. Empl."/>
    <s v="MW09C21028"/>
    <s v="Segurança Industrial"/>
    <n v="-845.22"/>
    <s v="37OV/37U/Recuperação por Refeições Fornecidas"/>
    <x v="34"/>
    <s v=""/>
    <s v=""/>
    <s v=""/>
    <s v="4008321793"/>
    <s v="WWCAST1_HR"/>
    <s v="915"/>
  </r>
  <r>
    <x v="0"/>
    <d v="2022-06-29T00:00:00"/>
    <x v="5"/>
    <s v="6822300"/>
    <s v="Coll transp staff"/>
    <s v="MW09C21028"/>
    <s v="Segurança Industrial"/>
    <n v="-1185.1400000000001"/>
    <s v="37OK/37U/Transportes Colaboradores PJ"/>
    <x v="34"/>
    <s v=""/>
    <s v=""/>
    <s v=""/>
    <s v="4008321793"/>
    <s v="WWCAST1_HR"/>
    <s v="919"/>
  </r>
  <r>
    <x v="0"/>
    <d v="2022-06-30T00:00:00"/>
    <x v="5"/>
    <s v="6622400"/>
    <s v="Depr Infrastructure"/>
    <s v="MW09C21028"/>
    <s v="Segurança Industrial"/>
    <n v="97364.79"/>
    <s v="AFB30202200601 0000000045"/>
    <x v="35"/>
    <s v=""/>
    <s v=""/>
    <s v=""/>
    <s v="4008322948"/>
    <s v="SXFTMRB0"/>
    <s v="8"/>
  </r>
  <r>
    <x v="0"/>
    <d v="2022-06-30T00:00:00"/>
    <x v="5"/>
    <s v="6622000"/>
    <s v="Depr Buildings"/>
    <s v="MW09C21028"/>
    <s v="Segurança Industrial"/>
    <n v="28230.49"/>
    <s v="AFB30202200601 0000000044"/>
    <x v="36"/>
    <s v=""/>
    <s v=""/>
    <s v=""/>
    <s v="4008322947"/>
    <s v="SXFTMRB0"/>
    <s v="34"/>
  </r>
  <r>
    <x v="0"/>
    <d v="2022-06-30T00:00:00"/>
    <x v="5"/>
    <s v="6012500"/>
    <s v="Bonuses workers"/>
    <s v="MW09C21028"/>
    <s v="Segurança Industrial"/>
    <n v="23037.439999999999"/>
    <s v="GL_STI_100"/>
    <x v="45"/>
    <s v=""/>
    <s v=""/>
    <s v=""/>
    <s v="4008325210"/>
    <s v="BRZFX_HR"/>
    <s v="57"/>
  </r>
  <r>
    <x v="0"/>
    <d v="2022-06-30T00:00:00"/>
    <x v="5"/>
    <s v="6624030"/>
    <s v="Depr Transp."/>
    <s v="MW09C21028"/>
    <s v="Segurança Industrial"/>
    <n v="21907.25"/>
    <s v="AFB30202200601 0000000047"/>
    <x v="61"/>
    <s v=""/>
    <s v=""/>
    <s v=""/>
    <s v="4008322950"/>
    <s v="SXFTMRB0"/>
    <s v="12"/>
  </r>
  <r>
    <x v="0"/>
    <d v="2022-06-30T00:00:00"/>
    <x v="5"/>
    <s v="6624010"/>
    <s v="Depr IT-Hardware"/>
    <s v="MW09C21028"/>
    <s v="Segurança Industrial"/>
    <n v="14459.13"/>
    <s v="AFB30202200601 0000000046"/>
    <x v="38"/>
    <s v=""/>
    <s v=""/>
    <s v=""/>
    <s v="4008322949"/>
    <s v="SXFTMRB0"/>
    <s v="38"/>
  </r>
  <r>
    <x v="0"/>
    <d v="2022-06-30T00:00:00"/>
    <x v="5"/>
    <s v="6011500"/>
    <s v="Bonuses"/>
    <s v="MW09C21028"/>
    <s v="Segurança Industrial"/>
    <n v="3396.14"/>
    <s v="GL_STI_100"/>
    <x v="45"/>
    <s v=""/>
    <s v=""/>
    <s v=""/>
    <s v="4008325210"/>
    <s v="BRZFX_HR"/>
    <s v="7"/>
  </r>
  <r>
    <x v="0"/>
    <d v="2022-06-30T00:00:00"/>
    <x v="5"/>
    <s v="6623000"/>
    <s v="Depr Mach/tech Prod"/>
    <s v="MW09C21028"/>
    <s v="Segurança Industrial"/>
    <n v="1793.55"/>
    <s v="AFB30202200601 0000000045"/>
    <x v="35"/>
    <s v=""/>
    <s v=""/>
    <s v=""/>
    <s v="4008322948"/>
    <s v="SXFTMRB0"/>
    <s v="51"/>
  </r>
  <r>
    <x v="0"/>
    <d v="2022-06-30T00:00:00"/>
    <x v="5"/>
    <s v="6624000"/>
    <s v="Depr F/Fix"/>
    <s v="MW09C21028"/>
    <s v="Segurança Industrial"/>
    <n v="152.9"/>
    <s v="AFB30202200601 0000000046"/>
    <x v="38"/>
    <s v=""/>
    <s v=""/>
    <s v=""/>
    <s v="4008322949"/>
    <s v="SXFTMRB0"/>
    <s v="8"/>
  </r>
  <r>
    <x v="0"/>
    <d v="2022-06-30T00:00:00"/>
    <x v="5"/>
    <s v="6879990"/>
    <s v="Other taxes"/>
    <s v="MW09C21028"/>
    <s v="Segurança Industrial"/>
    <n v="-10242.73"/>
    <s v="Credito de PIS e COFINS sobre a depreciação JUN/20"/>
    <x v="49"/>
    <s v=""/>
    <s v=""/>
    <s v=""/>
    <s v="4008325392"/>
    <s v="GMHLL"/>
    <s v="43"/>
  </r>
  <r>
    <x v="0"/>
    <d v="2022-07-01T00:00:00"/>
    <x v="5"/>
    <s v="6021550"/>
    <s v="Health ben sal"/>
    <s v="MW09C21028"/>
    <s v="Segurança Industrial"/>
    <n v="72353.27"/>
    <s v="Lancamento Amil   Junho"/>
    <x v="44"/>
    <s v=""/>
    <s v=""/>
    <s v=""/>
    <s v="4008325777"/>
    <s v="GMEYG"/>
    <s v="319"/>
  </r>
  <r>
    <x v="0"/>
    <d v="2022-07-01T00:00:00"/>
    <x v="5"/>
    <s v="8262000"/>
    <s v="FAM Settl Serv (Ext)"/>
    <s v="MW09C21028"/>
    <s v="Segurança Industrial"/>
    <n v="9657.56"/>
    <s v="CTR H353/MW09C21028"/>
    <x v="41"/>
    <s v="Reparo em linha de incêndio próxima ao p"/>
    <s v=""/>
    <s v="Order"/>
    <s v="4600134474"/>
    <s v="SXFTM000"/>
    <s v="2"/>
  </r>
  <r>
    <x v="0"/>
    <d v="2022-07-01T00:00:00"/>
    <x v="5"/>
    <s v="6121001"/>
    <s v="Electricity fix"/>
    <s v="MW09C21028"/>
    <s v="Segurança Industrial"/>
    <n v="7618.51"/>
    <s v="MW4A010014MW09C21027 Energia Eletrica Fi"/>
    <x v="41"/>
    <s v="Alocações Periódicas"/>
    <s v=""/>
    <s v="Cost center"/>
    <s v="4400017300"/>
    <s v="SXFTMRB0"/>
    <s v="237"/>
  </r>
  <r>
    <x v="0"/>
    <d v="2022-07-01T00:00:00"/>
    <x v="5"/>
    <s v="6121000"/>
    <s v="Electricity var"/>
    <s v="MW09C21028"/>
    <s v="Segurança Industrial"/>
    <n v="6719.01"/>
    <s v="MW4A010010MW09C21027 Energia Eletrica Va"/>
    <x v="41"/>
    <s v="Alocações Periódicas"/>
    <s v=""/>
    <s v="Cost center"/>
    <s v="4400017300"/>
    <s v="SXFTMRB0"/>
    <s v="137"/>
  </r>
  <r>
    <x v="0"/>
    <d v="2022-07-01T00:00:00"/>
    <x v="5"/>
    <s v="6831400"/>
    <s v="Catering"/>
    <s v="MW09C21028"/>
    <s v="Segurança Industrial"/>
    <n v="3555.29"/>
    <s v="Lancamento Ticket   Junho"/>
    <x v="44"/>
    <s v=""/>
    <s v=""/>
    <s v=""/>
    <s v="4008325777"/>
    <s v="GMEYG"/>
    <s v="644"/>
  </r>
  <r>
    <x v="0"/>
    <d v="2022-07-01T00:00:00"/>
    <x v="5"/>
    <s v="6031130"/>
    <s v="Group ins salaries"/>
    <s v="MW09C21028"/>
    <s v="Segurança Industrial"/>
    <n v="2397.61"/>
    <s v="Lancamento Seguro de Vida   Junho"/>
    <x v="44"/>
    <s v=""/>
    <s v=""/>
    <s v=""/>
    <s v="4008325777"/>
    <s v="GMEYG"/>
    <s v="792"/>
  </r>
  <r>
    <x v="0"/>
    <d v="2022-07-01T00:00:00"/>
    <x v="5"/>
    <s v="6039300"/>
    <s v="Oth emp benefits"/>
    <s v="MW09C21028"/>
    <s v="Segurança Industrial"/>
    <n v="2195.81"/>
    <s v="Lancamento Outros Beneficios   Junho"/>
    <x v="44"/>
    <s v=""/>
    <s v=""/>
    <s v=""/>
    <s v="4008325777"/>
    <s v="GMEYG"/>
    <s v="135"/>
  </r>
  <r>
    <x v="0"/>
    <d v="2022-07-01T00:00:00"/>
    <x v="5"/>
    <s v="6101000"/>
    <s v="Water var"/>
    <s v="MW09C21028"/>
    <s v="Segurança Industrial"/>
    <n v="2063.56"/>
    <s v="MW4A010008MW09C21027 Ág. Processo"/>
    <x v="41"/>
    <s v="Alocações Periódicas"/>
    <s v=""/>
    <s v="Cost center"/>
    <s v="4400017300"/>
    <s v="SXFTMRB0"/>
    <s v="37"/>
  </r>
  <r>
    <x v="0"/>
    <d v="2022-07-01T00:00:00"/>
    <x v="5"/>
    <s v="6321000"/>
    <s v="General supplies"/>
    <s v="MW09C21028"/>
    <s v="Segurança Industrial"/>
    <n v="1457.4"/>
    <s v="MW4A010015MW09C21027 Energia Eletrica Fi"/>
    <x v="41"/>
    <s v="Alocações Periódicas"/>
    <s v=""/>
    <s v="Cost center"/>
    <s v="4400017300"/>
    <s v="SXFTMRB0"/>
    <s v="275"/>
  </r>
  <r>
    <x v="0"/>
    <d v="2022-07-01T00:00:00"/>
    <x v="5"/>
    <s v="6021550"/>
    <s v="Health ben sal"/>
    <s v="MW09C21028"/>
    <s v="Segurança Industrial"/>
    <n v="1305.29"/>
    <s v="Lancamento Odontoprev   Junho"/>
    <x v="44"/>
    <s v=""/>
    <s v=""/>
    <s v=""/>
    <s v="4008325777"/>
    <s v="GMEYG"/>
    <s v="506"/>
  </r>
  <r>
    <x v="0"/>
    <d v="2022-07-01T00:00:00"/>
    <x v="5"/>
    <s v="6109990"/>
    <s v="Water - Other"/>
    <s v="MW09C21028"/>
    <s v="Segurança Industrial"/>
    <n v="999.69"/>
    <s v="MW4A010009MW09C21027 Ág. Potavel"/>
    <x v="41"/>
    <s v="Alocações Periódicas"/>
    <s v=""/>
    <s v="Cost center"/>
    <s v="4400017300"/>
    <s v="SXFTMRB0"/>
    <s v="81"/>
  </r>
  <r>
    <x v="0"/>
    <d v="2022-07-01T00:00:00"/>
    <x v="5"/>
    <s v="8261000"/>
    <s v="FAM Settl Prim Mat"/>
    <s v="MW09C21028"/>
    <s v="Segurança Industrial"/>
    <n v="896.03"/>
    <s v="CTR H353/MW09C21028"/>
    <x v="41"/>
    <s v="Locação de plataforma 2022"/>
    <s v=""/>
    <s v="Order"/>
    <s v="4600134457"/>
    <s v="SXFTM000"/>
    <s v="6"/>
  </r>
  <r>
    <x v="0"/>
    <d v="2022-07-01T00:00:00"/>
    <x v="6"/>
    <s v="6890000"/>
    <s v="3d party pers"/>
    <s v="MW09C21028"/>
    <s v="Segurança Industrial"/>
    <n v="580"/>
    <s v="Valor 3d party pers ref  Docto Nr  44250"/>
    <x v="37"/>
    <s v=""/>
    <s v="660498179"/>
    <s v=""/>
    <s v="4008326702"/>
    <s v="GNEPP"/>
    <s v="3"/>
  </r>
  <r>
    <x v="0"/>
    <d v="2022-07-01T00:00:00"/>
    <x v="6"/>
    <s v="6822200"/>
    <s v="Milage allowance"/>
    <s v="MW09C21028"/>
    <s v="Segurança Industrial"/>
    <n v="144"/>
    <s v="Utilização de Veículo Particular/08547685/87E66D32"/>
    <x v="21"/>
    <s v=""/>
    <s v=""/>
    <s v=""/>
    <s v="4008326333"/>
    <s v="SXIDOCXI"/>
    <s v="1"/>
  </r>
  <r>
    <x v="0"/>
    <d v="2022-07-01T00:00:00"/>
    <x v="6"/>
    <s v="6822100"/>
    <s v="Transp cost staff"/>
    <s v="MW09C21028"/>
    <s v="Segurança Industrial"/>
    <n v="13.92"/>
    <s v="Pneu Onibus Fretado Furou/10891118/8245B2966D1C460"/>
    <x v="82"/>
    <s v=""/>
    <s v=""/>
    <s v=""/>
    <s v="4008326351"/>
    <s v="SXIDOCXI"/>
    <s v="1"/>
  </r>
  <r>
    <x v="0"/>
    <d v="2022-07-01T00:00:00"/>
    <x v="5"/>
    <s v="7711010"/>
    <s v="Security Service ASS"/>
    <s v="MW09C21028"/>
    <s v="Segurança Industrial"/>
    <n v="-1732878.76"/>
    <s v="MW5B02_017MW09C21028"/>
    <x v="41"/>
    <s v="Prédio 6201"/>
    <s v=""/>
    <s v="Cost center"/>
    <s v="4400017302"/>
    <s v="SXFTMRB0"/>
    <s v="298"/>
  </r>
  <r>
    <x v="0"/>
    <d v="2022-07-04T00:00:00"/>
    <x v="6"/>
    <s v="6280000"/>
    <s v="Technic. spare parts"/>
    <s v="MW09C21028"/>
    <s v="Segurança Industrial"/>
    <n v="80"/>
    <s v="Saida de Material por Consumo"/>
    <x v="8"/>
    <s v=""/>
    <s v=""/>
    <s v=""/>
    <s v="4008337377"/>
    <s v="ERUCD"/>
    <s v="1"/>
  </r>
  <r>
    <x v="0"/>
    <d v="2022-07-06T00:00:00"/>
    <x v="6"/>
    <s v="6280000"/>
    <s v="Technic. spare parts"/>
    <s v="MW09C21028"/>
    <s v="Segurança Industrial"/>
    <n v="1784.7"/>
    <s v="Valor Technic  spare parts ref  Docto Nr  26041"/>
    <x v="12"/>
    <s v=""/>
    <s v="660500525"/>
    <s v=""/>
    <s v="4008340387"/>
    <s v="GMGNH"/>
    <s v="1"/>
  </r>
  <r>
    <x v="0"/>
    <d v="2022-07-06T00:00:00"/>
    <x v="6"/>
    <s v="6772000"/>
    <s v="MGT Consultancy"/>
    <s v="MW09C21028"/>
    <s v="Segurança Industrial"/>
    <n v="900"/>
    <s v="valor documento 896"/>
    <x v="78"/>
    <s v=""/>
    <s v=""/>
    <s v=""/>
    <s v="4008340364"/>
    <s v="GMGNH"/>
    <s v="1"/>
  </r>
  <r>
    <x v="0"/>
    <d v="2022-07-07T00:00:00"/>
    <x v="6"/>
    <s v="6711000"/>
    <s v="Security Service"/>
    <s v="MW09C21028"/>
    <s v="Segurança Industrial"/>
    <n v="9557.0499999999993"/>
    <s v="SEGURANÇA PATRIMONIAL - BELFORD ROXO"/>
    <x v="11"/>
    <s v=""/>
    <s v="660500557"/>
    <s v=""/>
    <s v="4008342156"/>
    <s v="GNLUA"/>
    <s v="1"/>
  </r>
  <r>
    <x v="0"/>
    <d v="2022-07-07T00:00:00"/>
    <x v="6"/>
    <s v="6719990"/>
    <s v="Other site services"/>
    <s v="MW09C21028"/>
    <s v="Segurança Industrial"/>
    <n v="8135.89"/>
    <s v="Locação Uniformes e Toalhas"/>
    <x v="2"/>
    <s v=""/>
    <s v="660501132"/>
    <s v=""/>
    <s v="4008341873"/>
    <s v="GMGNH"/>
    <s v="2"/>
  </r>
  <r>
    <x v="0"/>
    <d v="2022-07-08T00:00:00"/>
    <x v="6"/>
    <s v="6321000"/>
    <s v="General supplies"/>
    <s v="MW09C21028"/>
    <s v="Segurança Industrial"/>
    <n v="2152.42"/>
    <s v="Saida de Material por Consumo"/>
    <x v="8"/>
    <s v=""/>
    <s v=""/>
    <s v=""/>
    <s v="4008344527"/>
    <s v="ERUCD"/>
    <s v="1"/>
  </r>
  <r>
    <x v="0"/>
    <d v="2022-07-08T00:00:00"/>
    <x v="6"/>
    <s v="6280000"/>
    <s v="Technic. spare parts"/>
    <s v="MW09C21028"/>
    <s v="Segurança Industrial"/>
    <n v="1784.7"/>
    <s v="Valor Technic  spare parts ref  Docto Nr  25195"/>
    <x v="12"/>
    <s v=""/>
    <s v="660417430"/>
    <s v=""/>
    <s v="4008344087"/>
    <s v="GMGNH"/>
    <s v="1"/>
  </r>
  <r>
    <x v="0"/>
    <d v="2022-07-08T00:00:00"/>
    <x v="6"/>
    <s v="6845000"/>
    <s v="Legal costs"/>
    <s v="MW09C21028"/>
    <s v="Segurança Industrial"/>
    <n v="20.399999999999999"/>
    <s v="valor documento 300636"/>
    <x v="83"/>
    <s v=""/>
    <s v=""/>
    <s v=""/>
    <s v="4008344171"/>
    <s v="GMGNH"/>
    <s v="2"/>
  </r>
  <r>
    <x v="0"/>
    <d v="2022-07-11T00:00:00"/>
    <x v="6"/>
    <s v="6719990"/>
    <s v="Other site services"/>
    <s v="MW09C21028"/>
    <s v="Segurança Industrial"/>
    <n v="3483.6"/>
    <s v="Valor Other site services ref  Docto Nr  22083"/>
    <x v="2"/>
    <s v=""/>
    <s v="660501511"/>
    <s v=""/>
    <s v="4008347961"/>
    <s v="GNEPP"/>
    <s v="2"/>
  </r>
  <r>
    <x v="0"/>
    <d v="2022-07-11T00:00:00"/>
    <x v="6"/>
    <s v="6715000"/>
    <s v="Fire prevent serv."/>
    <s v="MW09C21028"/>
    <s v="Segurança Industrial"/>
    <n v="10193.99"/>
    <s v="Valor Fire prevent serv  ref  Docto Nr  37355"/>
    <x v="10"/>
    <s v=""/>
    <s v="660500562"/>
    <s v=""/>
    <s v="4008347664"/>
    <s v="GNEPP"/>
    <s v="1"/>
  </r>
  <r>
    <x v="0"/>
    <d v="2022-07-11T00:00:00"/>
    <x v="6"/>
    <s v="6200000"/>
    <s v="Maint &amp; Leg/Co.Compl"/>
    <s v="MW09C21028"/>
    <s v="Segurança Industrial"/>
    <n v="1105.01"/>
    <s v="Valor Maint &amp; Leg Co Compl ref  Docto Nr  141406"/>
    <x v="57"/>
    <s v=""/>
    <s v="660497624"/>
    <s v=""/>
    <s v="4008347663"/>
    <s v="GNEPP"/>
    <s v="7"/>
  </r>
  <r>
    <x v="0"/>
    <d v="2022-07-11T00:00:00"/>
    <x v="6"/>
    <s v="6629004"/>
    <s v="LVA Tangible Exp"/>
    <s v="MW09C21028"/>
    <s v="Segurança Industrial"/>
    <n v="438.9"/>
    <s v="Valor LVA Tangible Exp ref  Docto Nr  1964"/>
    <x v="5"/>
    <s v=""/>
    <s v="660500523"/>
    <s v=""/>
    <s v="4008347631"/>
    <s v="GNEPP"/>
    <s v="1"/>
  </r>
  <r>
    <x v="0"/>
    <d v="2022-07-11T00:00:00"/>
    <x v="6"/>
    <s v="6131000"/>
    <s v="Nitrogen var"/>
    <s v="MW09C21028"/>
    <s v="Segurança Industrial"/>
    <n v="105.15"/>
    <s v="Valor do documento Nr  386065 200"/>
    <x v="84"/>
    <s v=""/>
    <s v=""/>
    <s v=""/>
    <s v="4008347871"/>
    <s v="GMLYE"/>
    <s v="1"/>
  </r>
  <r>
    <x v="0"/>
    <d v="2022-07-12T00:00:00"/>
    <x v="6"/>
    <s v="6542000"/>
    <s v="Environmental serv"/>
    <s v="MW09C21028"/>
    <s v="Segurança Industrial"/>
    <n v="4780.07"/>
    <s v="Valor Environmental serv ref  Docto Nr  404"/>
    <x v="0"/>
    <s v=""/>
    <s v="660500559"/>
    <s v=""/>
    <s v="4008349695"/>
    <s v="GMGNH"/>
    <s v="1"/>
  </r>
  <r>
    <x v="0"/>
    <d v="2022-07-12T00:00:00"/>
    <x v="6"/>
    <s v="6420000"/>
    <s v="Transports"/>
    <s v="MW09C21028"/>
    <s v="Segurança Industrial"/>
    <n v="947.6"/>
    <s v="Valor do documento Nr  11880 1"/>
    <x v="85"/>
    <s v=""/>
    <s v="660489040"/>
    <s v=""/>
    <s v="4008349055"/>
    <s v="GNLUA"/>
    <s v="1"/>
  </r>
  <r>
    <x v="0"/>
    <d v="2022-07-14T00:00:00"/>
    <x v="6"/>
    <s v="6829990"/>
    <s v="Other travel cost"/>
    <s v="MW09C21028"/>
    <s v="Segurança Industrial"/>
    <n v="992.58"/>
    <s v="Abastecimento Veículo Emergencial Segurança Indust"/>
    <x v="22"/>
    <s v=""/>
    <s v=""/>
    <s v=""/>
    <s v="4008351702"/>
    <s v="SXIDOCXI"/>
    <s v="1"/>
  </r>
  <r>
    <x v="0"/>
    <d v="2022-07-14T00:00:00"/>
    <x v="6"/>
    <s v="6829990"/>
    <s v="Other travel cost"/>
    <s v="MW09C21028"/>
    <s v="Segurança Industrial"/>
    <n v="666.9"/>
    <s v="Abastecimento Veículo Emergencial Segurança Indust"/>
    <x v="52"/>
    <s v=""/>
    <s v=""/>
    <s v=""/>
    <s v="4008351699"/>
    <s v="SXIDOCXI"/>
    <s v="2"/>
  </r>
  <r>
    <x v="0"/>
    <d v="2022-07-14T00:00:00"/>
    <x v="6"/>
    <s v="6572000"/>
    <s v="Occup. safety serv"/>
    <s v="MW09C21028"/>
    <s v="Segurança Industrial"/>
    <n v="423.22"/>
    <s v="Valor Occup  safety serv ref  Docto Nr  50124"/>
    <x v="65"/>
    <s v=""/>
    <s v="660505274"/>
    <s v=""/>
    <s v="4008352703"/>
    <s v="GMGNH"/>
    <s v="10"/>
  </r>
  <r>
    <x v="0"/>
    <d v="2022-07-14T00:00:00"/>
    <x v="6"/>
    <s v="6829990"/>
    <s v="Other travel cost"/>
    <s v="MW09C21028"/>
    <s v="Segurança Industrial"/>
    <n v="406.26"/>
    <s v="Abastecimento Veículo Emergencial Segurança Indust"/>
    <x v="24"/>
    <s v=""/>
    <s v=""/>
    <s v=""/>
    <s v="4008351701"/>
    <s v="SXIDOCXI"/>
    <s v="1"/>
  </r>
  <r>
    <x v="0"/>
    <d v="2022-07-14T00:00:00"/>
    <x v="6"/>
    <s v="6711000"/>
    <s v="Security Service"/>
    <s v="MW09C21028"/>
    <s v="Segurança Industrial"/>
    <n v="320"/>
    <s v="Valor Security Service ref  Docto Nr  115733"/>
    <x v="29"/>
    <s v=""/>
    <s v="660504634"/>
    <s v=""/>
    <s v="4008352704"/>
    <s v="GMGNH"/>
    <s v="1"/>
  </r>
  <r>
    <x v="0"/>
    <d v="2022-07-14T00:00:00"/>
    <x v="6"/>
    <s v="6829990"/>
    <s v="Other travel cost"/>
    <s v="MW09C21028"/>
    <s v="Segurança Industrial"/>
    <n v="253.92"/>
    <s v="Missão Executiva/06168407/28A962FAD04B4807B84B/RDV"/>
    <x v="22"/>
    <s v=""/>
    <s v=""/>
    <s v=""/>
    <s v="4008351702"/>
    <s v="SXIDOCXI"/>
    <s v="2"/>
  </r>
  <r>
    <x v="0"/>
    <d v="2022-07-14T00:00:00"/>
    <x v="6"/>
    <s v="6822100"/>
    <s v="Transp cost staff"/>
    <s v="MW09C21028"/>
    <s v="Segurança Industrial"/>
    <n v="175.23"/>
    <s v="Apoio a Balança Rodoviaria/06827311/A5C986BE40EB42"/>
    <x v="56"/>
    <s v=""/>
    <s v=""/>
    <s v=""/>
    <s v="4008351710"/>
    <s v="SXIDOCXI"/>
    <s v="1"/>
  </r>
  <r>
    <x v="0"/>
    <d v="2022-07-14T00:00:00"/>
    <x v="6"/>
    <s v="6829990"/>
    <s v="Other travel cost"/>
    <s v="MW09C21028"/>
    <s v="Segurança Industrial"/>
    <n v="173.03"/>
    <s v="Renovação CNH/10899445/7429E4D9461144A1B500/RDVV M"/>
    <x v="68"/>
    <s v=""/>
    <s v=""/>
    <s v=""/>
    <s v="4008352216"/>
    <s v="SXIDOCXI"/>
    <s v="1"/>
  </r>
  <r>
    <x v="0"/>
    <d v="2022-07-14T00:00:00"/>
    <x v="6"/>
    <s v="6822200"/>
    <s v="Milage allowance"/>
    <s v="MW09C21028"/>
    <s v="Segurança Industrial"/>
    <n v="65"/>
    <s v="Utilização de Veículo Particular/09695459/A6CB6574"/>
    <x v="54"/>
    <s v=""/>
    <s v=""/>
    <s v=""/>
    <s v="4008352145"/>
    <s v="SXIDOCXI"/>
    <s v="1"/>
  </r>
  <r>
    <x v="0"/>
    <d v="2022-07-14T00:00:00"/>
    <x v="6"/>
    <s v="6822200"/>
    <s v="Milage allowance"/>
    <s v="MW09C21028"/>
    <s v="Segurança Industrial"/>
    <n v="45"/>
    <s v="Utilização de Veículo Particular/06169241/76D00F1A"/>
    <x v="7"/>
    <s v=""/>
    <s v=""/>
    <s v=""/>
    <s v="4008351703"/>
    <s v="SXIDOCXI"/>
    <s v="1"/>
  </r>
  <r>
    <x v="0"/>
    <d v="2022-07-14T00:00:00"/>
    <x v="6"/>
    <s v="6822100"/>
    <s v="Transp cost staff"/>
    <s v="MW09C21028"/>
    <s v="Segurança Industrial"/>
    <n v="36.909999999999997"/>
    <s v="Missão Administrativa/06168407/28A962FAD04B4807B84"/>
    <x v="22"/>
    <s v=""/>
    <s v=""/>
    <s v=""/>
    <s v="4008351702"/>
    <s v="SXIDOCXI"/>
    <s v="3"/>
  </r>
  <r>
    <x v="0"/>
    <d v="2022-07-14T00:00:00"/>
    <x v="6"/>
    <s v="6829990"/>
    <s v="Other travel cost"/>
    <s v="MW09C21028"/>
    <s v="Segurança Industrial"/>
    <n v="34.4"/>
    <s v="Utilização Veículo Executivo Segurança Industrial/"/>
    <x v="23"/>
    <s v=""/>
    <s v=""/>
    <s v=""/>
    <s v="4008351700"/>
    <s v="SXIDOCXI"/>
    <s v="2"/>
  </r>
  <r>
    <x v="0"/>
    <d v="2022-07-15T00:00:00"/>
    <x v="6"/>
    <s v="6829990"/>
    <s v="Other travel cost"/>
    <s v="MW09C21028"/>
    <s v="Segurança Industrial"/>
    <n v="4082.77"/>
    <s v="Manutenção Veículo Executivo Segurança Industrial/"/>
    <x v="20"/>
    <s v=""/>
    <s v=""/>
    <s v=""/>
    <s v="4008376311"/>
    <s v="SXIDOCXI"/>
    <s v="4"/>
  </r>
  <r>
    <x v="0"/>
    <d v="2022-07-15T00:00:00"/>
    <x v="6"/>
    <s v="6829990"/>
    <s v="Other travel cost"/>
    <s v="MW09C21028"/>
    <s v="Segurança Industrial"/>
    <n v="2205.77"/>
    <s v="Abastecimento Veículo Executivo Segurança Industri"/>
    <x v="20"/>
    <s v=""/>
    <s v=""/>
    <s v=""/>
    <s v="4008376311"/>
    <s v="SXIDOCXI"/>
    <s v="2"/>
  </r>
  <r>
    <x v="0"/>
    <d v="2022-07-15T00:00:00"/>
    <x v="6"/>
    <s v="6032003"/>
    <s v="Pension Accrual."/>
    <s v="MW09C21028"/>
    <s v="Segurança Industrial"/>
    <n v="1882.92"/>
    <s v="Prov Pl  Pensao Ativos BCS 2022"/>
    <x v="47"/>
    <s v=""/>
    <s v=""/>
    <s v=""/>
    <s v="4008376433"/>
    <s v="EHFYM_FF"/>
    <s v="40"/>
  </r>
  <r>
    <x v="0"/>
    <d v="2022-07-15T00:00:00"/>
    <x v="6"/>
    <s v="6876000"/>
    <s v="Municip+regional tax"/>
    <s v="MW09C21028"/>
    <s v="Segurança Industrial"/>
    <n v="833.94"/>
    <s v="Seguranca Industrial"/>
    <x v="69"/>
    <s v=""/>
    <s v=""/>
    <s v=""/>
    <s v="4008376431"/>
    <s v="EHFYM_FF"/>
    <s v="13"/>
  </r>
  <r>
    <x v="0"/>
    <d v="2022-07-15T00:00:00"/>
    <x v="6"/>
    <s v="6845000"/>
    <s v="Legal costs"/>
    <s v="MW09C21028"/>
    <s v="Segurança Industrial"/>
    <n v="286"/>
    <s v="Lancamento Rateio Medei_Homologacoes"/>
    <x v="42"/>
    <s v=""/>
    <s v=""/>
    <s v=""/>
    <s v="4008377320"/>
    <s v="GNPRP"/>
    <s v="19"/>
  </r>
  <r>
    <x v="0"/>
    <d v="2022-07-15T00:00:00"/>
    <x v="6"/>
    <s v="6829990"/>
    <s v="Other travel cost"/>
    <s v="MW09C21028"/>
    <s v="Segurança Industrial"/>
    <n v="232.12"/>
    <s v="Missão Executiva/06169225/19D190A68F8C4B5786E0/RDV"/>
    <x v="20"/>
    <s v=""/>
    <s v=""/>
    <s v=""/>
    <s v="4008376311"/>
    <s v="SXIDOCXI"/>
    <s v="5"/>
  </r>
  <r>
    <x v="0"/>
    <d v="2022-07-15T00:00:00"/>
    <x v="6"/>
    <s v="6829990"/>
    <s v="Other travel cost"/>
    <s v="MW09C21028"/>
    <s v="Segurança Industrial"/>
    <n v="173.03"/>
    <s v="Renovação de CNH/10356972/DF92D98F5F33460C994D/RDV"/>
    <x v="58"/>
    <s v=""/>
    <s v=""/>
    <s v=""/>
    <s v="4008376354"/>
    <s v="SXIDOCXI"/>
    <s v="1"/>
  </r>
  <r>
    <x v="0"/>
    <d v="2022-07-15T00:00:00"/>
    <x v="6"/>
    <s v="6822200"/>
    <s v="Milage allowance"/>
    <s v="MW09C21028"/>
    <s v="Segurança Industrial"/>
    <n v="120"/>
    <s v="Utilização Veículo Particular/10356972/DF92D98F5F3"/>
    <x v="58"/>
    <s v=""/>
    <s v=""/>
    <s v=""/>
    <s v="4008376354"/>
    <s v="SXIDOCXI"/>
    <s v="4"/>
  </r>
  <r>
    <x v="0"/>
    <d v="2022-07-15T00:00:00"/>
    <x v="6"/>
    <s v="6829990"/>
    <s v="Other travel cost"/>
    <s v="MW09C21028"/>
    <s v="Segurança Industrial"/>
    <n v="120"/>
    <s v="Renovação de CNH/10356972/DF92D98F5F33460C994D/RDV"/>
    <x v="58"/>
    <s v=""/>
    <s v=""/>
    <s v=""/>
    <s v="4008376354"/>
    <s v="SXIDOCXI"/>
    <s v="2"/>
  </r>
  <r>
    <x v="0"/>
    <d v="2022-07-15T00:00:00"/>
    <x v="6"/>
    <s v="6829990"/>
    <s v="Other travel cost"/>
    <s v="MW09C21028"/>
    <s v="Segurança Industrial"/>
    <n v="100.8"/>
    <s v="Utilização Veículos Executivos Segurança Industria"/>
    <x v="20"/>
    <s v=""/>
    <s v=""/>
    <s v=""/>
    <s v="4008376311"/>
    <s v="SXIDOCXI"/>
    <s v="6"/>
  </r>
  <r>
    <x v="0"/>
    <d v="2022-07-15T00:00:00"/>
    <x v="6"/>
    <s v="6821200"/>
    <s v="Food allowance"/>
    <s v="MW09C21028"/>
    <s v="Segurança Industrial"/>
    <n v="95.98"/>
    <s v="Missão Executiva/06169225/19D190A68F8C4B5786E0/RDV"/>
    <x v="20"/>
    <s v=""/>
    <s v=""/>
    <s v=""/>
    <s v="4008376311"/>
    <s v="SXIDOCXI"/>
    <s v="9"/>
  </r>
  <r>
    <x v="0"/>
    <d v="2022-07-15T00:00:00"/>
    <x v="6"/>
    <s v="6829990"/>
    <s v="Other travel cost"/>
    <s v="MW09C21028"/>
    <s v="Segurança Industrial"/>
    <n v="40"/>
    <s v="Lavagem Veículo Executivo Segurança Industrial/061"/>
    <x v="20"/>
    <s v=""/>
    <s v=""/>
    <s v=""/>
    <s v="4008376311"/>
    <s v="SXIDOCXI"/>
    <s v="3"/>
  </r>
  <r>
    <x v="0"/>
    <d v="2022-07-19T00:00:00"/>
    <x v="6"/>
    <s v="6420000"/>
    <s v="Transports"/>
    <s v="MW09C21028"/>
    <s v="Segurança Industrial"/>
    <n v="5453.12"/>
    <s v="Valor do documento NF 439"/>
    <x v="11"/>
    <s v=""/>
    <s v=""/>
    <s v=""/>
    <s v="4008383911"/>
    <s v="GNLUA"/>
    <s v="1"/>
  </r>
  <r>
    <x v="0"/>
    <d v="2022-07-19T00:00:00"/>
    <x v="6"/>
    <s v="6200000"/>
    <s v="Maint &amp; Leg/Co.Compl"/>
    <s v="MW09C21028"/>
    <s v="Segurança Industrial"/>
    <n v="1550"/>
    <s v="LIMPEZA CAIXAS E FOSSAS - PÁTIO DE CARGA"/>
    <x v="28"/>
    <s v=""/>
    <s v="660506214"/>
    <s v=""/>
    <s v="4008383494"/>
    <s v="GMGNH"/>
    <s v="8"/>
  </r>
  <r>
    <x v="0"/>
    <d v="2022-07-19T00:00:00"/>
    <x v="6"/>
    <s v="6200000"/>
    <s v="Maint &amp; Leg/Co.Compl"/>
    <s v="MW09C21028"/>
    <s v="Segurança Industrial"/>
    <n v="152"/>
    <s v="SERV DESCARTE RESÍDUO ETE-CAJÚ"/>
    <x v="28"/>
    <s v=""/>
    <s v="660506214"/>
    <s v=""/>
    <s v="4008383494"/>
    <s v="GMGNH"/>
    <s v="12"/>
  </r>
  <r>
    <x v="0"/>
    <d v="2022-07-20T00:00:00"/>
    <x v="6"/>
    <s v="6822200"/>
    <s v="Milage allowance"/>
    <s v="MW09C21028"/>
    <s v="Segurança Industrial"/>
    <n v="301"/>
    <s v="Utilização de Veículo Particular/07513892/D6B17FB6"/>
    <x v="9"/>
    <s v=""/>
    <s v=""/>
    <s v=""/>
    <s v="4008385346"/>
    <s v="SXIDOCXI"/>
    <s v="1"/>
  </r>
  <r>
    <x v="0"/>
    <d v="2022-07-20T00:00:00"/>
    <x v="6"/>
    <s v="6821200"/>
    <s v="Food allowance"/>
    <s v="MW09C21028"/>
    <s v="Segurança Industrial"/>
    <n v="122.5"/>
    <s v="Reciclagem Curso de Vigilante - STARSEC/07513892/D"/>
    <x v="9"/>
    <s v=""/>
    <s v=""/>
    <s v=""/>
    <s v="4008385346"/>
    <s v="SXIDOCXI"/>
    <s v="2"/>
  </r>
  <r>
    <x v="0"/>
    <d v="2022-07-20T00:00:00"/>
    <x v="6"/>
    <s v="6821200"/>
    <s v="Food allowance"/>
    <s v="MW09C21028"/>
    <s v="Segurança Industrial"/>
    <n v="30.5"/>
    <s v="Reciclagem Curso de Vigilante - STARSEC/07513892/D"/>
    <x v="9"/>
    <s v=""/>
    <s v=""/>
    <s v=""/>
    <s v="4008385346"/>
    <s v="SXIDOCXI"/>
    <s v="3"/>
  </r>
  <r>
    <x v="0"/>
    <d v="2022-07-21T00:00:00"/>
    <x v="6"/>
    <s v="6200000"/>
    <s v="Maint &amp; Leg/Co.Compl"/>
    <s v="MW09C21028"/>
    <s v="Segurança Industrial"/>
    <n v="3204.06"/>
    <s v="SISTEMA TRONCALIZADO TETRA DAMM (2 repet"/>
    <x v="62"/>
    <s v=""/>
    <s v="660508931"/>
    <s v=""/>
    <s v="4008388817"/>
    <s v="GMGNH"/>
    <s v="1"/>
  </r>
  <r>
    <x v="0"/>
    <d v="2022-07-21T00:00:00"/>
    <x v="6"/>
    <s v="6994000"/>
    <s v="Other Inc.In.for Inv"/>
    <s v="MW09C21028"/>
    <s v="Segurança Industrial"/>
    <n v="69.03"/>
    <s v="KIT DE TERMINAL FIXO (MESA) - MTM5400"/>
    <x v="62"/>
    <s v=""/>
    <s v="660508931"/>
    <s v=""/>
    <s v="4008388817"/>
    <s v="GMGNH"/>
    <s v="13"/>
  </r>
  <r>
    <x v="0"/>
    <d v="2022-07-26T00:00:00"/>
    <x v="6"/>
    <s v="6890000"/>
    <s v="3d party pers"/>
    <s v="MW09C21028"/>
    <s v="Segurança Industrial"/>
    <n v="5145.2299999999996"/>
    <s v="Valor 3d party pers ref  Docto Nr  44396"/>
    <x v="37"/>
    <s v=""/>
    <s v="660509620"/>
    <s v=""/>
    <s v="4008395566"/>
    <s v="EIMOH"/>
    <s v="4"/>
  </r>
  <r>
    <x v="0"/>
    <d v="2022-07-26T00:00:00"/>
    <x v="6"/>
    <s v="6831400"/>
    <s v="Catering"/>
    <s v="MW09C21028"/>
    <s v="Segurança Industrial"/>
    <n v="834.66"/>
    <s v="Vr recup Refeicoes Colaboradores   Jun"/>
    <x v="15"/>
    <s v=""/>
    <s v=""/>
    <s v=""/>
    <s v="4008395854"/>
    <s v="GNPRP"/>
    <s v="28"/>
  </r>
  <r>
    <x v="0"/>
    <d v="2022-07-26T00:00:00"/>
    <x v="6"/>
    <s v="6822300"/>
    <s v="Coll transp staff"/>
    <s v="MW09C21028"/>
    <s v="Segurança Industrial"/>
    <n v="720.47"/>
    <s v="Recup Transporte Colaboradores  Jun"/>
    <x v="15"/>
    <s v=""/>
    <s v=""/>
    <s v=""/>
    <s v="4008395854"/>
    <s v="GNPRP"/>
    <s v="10"/>
  </r>
  <r>
    <x v="0"/>
    <d v="2022-07-27T00:00:00"/>
    <x v="6"/>
    <s v="6011000"/>
    <s v="Salaries"/>
    <s v="MW09C21028"/>
    <s v="Segurança Industrial"/>
    <n v="109760.44"/>
    <s v="37NA/37U/Salários"/>
    <x v="81"/>
    <s v=""/>
    <s v=""/>
    <s v=""/>
    <s v="4008398351"/>
    <s v="WWCAST1_HR"/>
    <s v="909"/>
  </r>
  <r>
    <x v="0"/>
    <d v="2022-07-27T00:00:00"/>
    <x v="6"/>
    <s v="6011000"/>
    <s v="Salaries"/>
    <s v="MW09C21028"/>
    <s v="Segurança Industrial"/>
    <n v="58639.66"/>
    <s v="37NC/37U/Salarios Outros"/>
    <x v="81"/>
    <s v=""/>
    <s v=""/>
    <s v=""/>
    <s v="4008398351"/>
    <s v="WWCAST1_HR"/>
    <s v="908"/>
  </r>
  <r>
    <x v="0"/>
    <d v="2022-07-27T00:00:00"/>
    <x v="6"/>
    <s v="6020300"/>
    <s v="Soc sec cont-severan"/>
    <s v="MW09C21028"/>
    <s v="Segurança Industrial"/>
    <n v="44149.64"/>
    <s v="37NP/37U/Contribuição Inst.de Previdência"/>
    <x v="81"/>
    <s v=""/>
    <s v=""/>
    <s v=""/>
    <s v="4008398351"/>
    <s v="WWCAST1_HR"/>
    <s v="835"/>
  </r>
  <r>
    <x v="0"/>
    <d v="2022-07-27T00:00:00"/>
    <x v="6"/>
    <s v="6011100"/>
    <s v="Vacation Comp-Sal"/>
    <s v="MW09C21028"/>
    <s v="Segurança Industrial"/>
    <n v="26040.959999999999"/>
    <s v="37NN/37U/Provisão Pagto Férias DL 1730/79"/>
    <x v="81"/>
    <s v=""/>
    <s v=""/>
    <s v=""/>
    <s v="4008398351"/>
    <s v="WWCAST1_HR"/>
    <s v="906"/>
  </r>
  <r>
    <x v="0"/>
    <d v="2022-07-27T00:00:00"/>
    <x v="6"/>
    <s v="6011700"/>
    <s v="Overtime Premium-sal"/>
    <s v="MW09C21028"/>
    <s v="Segurança Industrial"/>
    <n v="22278.35"/>
    <s v="37NF/37U/Horas Extras"/>
    <x v="81"/>
    <s v=""/>
    <s v=""/>
    <s v=""/>
    <s v="4008398351"/>
    <s v="WWCAST1_HR"/>
    <s v="832"/>
  </r>
  <r>
    <x v="0"/>
    <d v="2022-07-27T00:00:00"/>
    <x v="6"/>
    <s v="6011530"/>
    <s v="13th month rem sal"/>
    <s v="MW09C21028"/>
    <s v="Segurança Industrial"/>
    <n v="18539"/>
    <s v="37NI/37U/13º Salário"/>
    <x v="81"/>
    <s v=""/>
    <s v=""/>
    <s v=""/>
    <s v="4008398351"/>
    <s v="WWCAST1_HR"/>
    <s v="871"/>
  </r>
  <r>
    <x v="0"/>
    <d v="2022-07-27T00:00:00"/>
    <x v="6"/>
    <s v="6020220"/>
    <s v="Unemployment fund"/>
    <s v="MW09C21028"/>
    <s v="Segurança Industrial"/>
    <n v="15559.34"/>
    <s v="37OF/37U/Desp.FGTS Diferença 10% C/Liminar"/>
    <x v="81"/>
    <s v=""/>
    <s v=""/>
    <s v=""/>
    <s v="4008398351"/>
    <s v="WWCAST1_HR"/>
    <s v="831"/>
  </r>
  <r>
    <x v="0"/>
    <d v="2022-07-27T00:00:00"/>
    <x v="6"/>
    <s v="6020350"/>
    <s v="Accr soc-sec. contr."/>
    <s v="MW09C21028"/>
    <s v="Segurança Industrial"/>
    <n v="7749.51"/>
    <s v="37OD/37U/Provisão Encargos Sociais S/Férias DL 173"/>
    <x v="81"/>
    <s v=""/>
    <s v=""/>
    <s v=""/>
    <s v="4008398351"/>
    <s v="WWCAST1_HR"/>
    <s v="907"/>
  </r>
  <r>
    <x v="0"/>
    <d v="2022-07-27T00:00:00"/>
    <x v="6"/>
    <s v="6021130"/>
    <s v="Pay Ins Accid sal"/>
    <s v="MW09C21028"/>
    <s v="Segurança Industrial"/>
    <n v="6868.41"/>
    <s v="37NY/37U/Seguro Contra Acidentes de Trabalho"/>
    <x v="81"/>
    <s v=""/>
    <s v=""/>
    <s v=""/>
    <s v="4008398351"/>
    <s v="WWCAST1_HR"/>
    <s v="836"/>
  </r>
  <r>
    <x v="0"/>
    <d v="2022-07-27T00:00:00"/>
    <x v="6"/>
    <s v="6020320"/>
    <s v="Contingency fund"/>
    <s v="MW09C21028"/>
    <s v="Segurança Industrial"/>
    <n v="6809.3"/>
    <s v="37PE/37U/Encargos sobre 13o salário"/>
    <x v="81"/>
    <s v=""/>
    <s v=""/>
    <s v=""/>
    <s v="4008398351"/>
    <s v="WWCAST1_HR"/>
    <s v="905"/>
  </r>
  <r>
    <x v="0"/>
    <d v="2022-07-27T00:00:00"/>
    <x v="6"/>
    <s v="6042050"/>
    <s v="Rem. limited dur."/>
    <s v="MW09C21028"/>
    <s v="Segurança Industrial"/>
    <n v="6424.13"/>
    <s v="37NA/37W/Salários"/>
    <x v="81"/>
    <s v=""/>
    <s v=""/>
    <s v=""/>
    <s v="4008398351"/>
    <s v="WWCAST1_HR"/>
    <s v="52"/>
  </r>
  <r>
    <x v="0"/>
    <d v="2022-07-27T00:00:00"/>
    <x v="6"/>
    <s v="6020300"/>
    <s v="Soc sec cont-severan"/>
    <s v="MW09C21028"/>
    <s v="Segurança Industrial"/>
    <n v="6418.23"/>
    <s v="37NX/37U/Salário Educação LEI 4440/64"/>
    <x v="81"/>
    <s v=""/>
    <s v=""/>
    <s v=""/>
    <s v="4008398351"/>
    <s v="WWCAST1_HR"/>
    <s v="837"/>
  </r>
  <r>
    <x v="0"/>
    <d v="2022-07-27T00:00:00"/>
    <x v="6"/>
    <s v="6032730"/>
    <s v="Exp emp con-ded"/>
    <s v="MW09C21028"/>
    <s v="Segurança Industrial"/>
    <n v="5715.28"/>
    <s v="37PA/37U/Contribuição a Previdencia Privada"/>
    <x v="81"/>
    <s v=""/>
    <s v=""/>
    <s v=""/>
    <s v="4008398351"/>
    <s v="WWCAST1_HR"/>
    <s v="834"/>
  </r>
  <r>
    <x v="0"/>
    <d v="2022-07-27T00:00:00"/>
    <x v="6"/>
    <s v="6011700"/>
    <s v="Overtime Premium-sal"/>
    <s v="MW09C21028"/>
    <s v="Segurança Industrial"/>
    <n v="4382.6099999999997"/>
    <s v="37NG/37U/Horas Extras Revezamento"/>
    <x v="81"/>
    <s v=""/>
    <s v=""/>
    <s v=""/>
    <s v="4008398351"/>
    <s v="WWCAST1_HR"/>
    <s v="911"/>
  </r>
  <r>
    <x v="0"/>
    <d v="2022-07-27T00:00:00"/>
    <x v="6"/>
    <s v="6420000"/>
    <s v="Transports"/>
    <s v="MW09C21028"/>
    <s v="Segurança Industrial"/>
    <n v="3920"/>
    <s v="Valor do documento Nr  24534 2"/>
    <x v="85"/>
    <s v=""/>
    <s v="660489877"/>
    <s v=""/>
    <s v="4008397869"/>
    <s v="GNLUA"/>
    <s v="1"/>
  </r>
  <r>
    <x v="0"/>
    <d v="2022-07-27T00:00:00"/>
    <x v="6"/>
    <s v="6061000"/>
    <s v="Allow for prec. Job"/>
    <s v="MW09C21028"/>
    <s v="Segurança Industrial"/>
    <n v="2983.26"/>
    <s v="37NC/37W/Salarios Outros"/>
    <x v="81"/>
    <s v=""/>
    <s v=""/>
    <s v=""/>
    <s v="4008398351"/>
    <s v="WWCAST1_HR"/>
    <s v="51"/>
  </r>
  <r>
    <x v="0"/>
    <d v="2022-07-27T00:00:00"/>
    <x v="6"/>
    <s v="6020360"/>
    <s v="Employer cont pens p"/>
    <s v="MW09C21028"/>
    <s v="Segurança Industrial"/>
    <n v="2504.5500000000002"/>
    <s v="37NP/37W/Contribuição Inst.de Previdência"/>
    <x v="81"/>
    <s v=""/>
    <s v=""/>
    <s v=""/>
    <s v="4008398350"/>
    <s v="WWCAST1_HR"/>
    <s v="694"/>
  </r>
  <r>
    <x v="0"/>
    <d v="2022-07-27T00:00:00"/>
    <x v="6"/>
    <s v="6043100"/>
    <s v="Pay apprenticeship"/>
    <s v="MW09C21028"/>
    <s v="Segurança Industrial"/>
    <n v="2000"/>
    <s v="37OU/37W/Serviço de Estagiário-PF"/>
    <x v="81"/>
    <s v=""/>
    <s v=""/>
    <s v=""/>
    <s v="4008398350"/>
    <s v="WWCAST1_HR"/>
    <s v="179"/>
  </r>
  <r>
    <x v="0"/>
    <d v="2022-07-27T00:00:00"/>
    <x v="6"/>
    <s v="6042050"/>
    <s v="Rem. limited dur."/>
    <s v="MW09C21028"/>
    <s v="Segurança Industrial"/>
    <n v="1466.72"/>
    <s v="37NF/37W/Horas Extras"/>
    <x v="81"/>
    <s v=""/>
    <s v=""/>
    <s v=""/>
    <s v="4008398350"/>
    <s v="WWCAST1_HR"/>
    <s v="691"/>
  </r>
  <r>
    <x v="0"/>
    <d v="2022-07-27T00:00:00"/>
    <x v="6"/>
    <s v="6039300"/>
    <s v="Oth emp benefits"/>
    <s v="MW09C21028"/>
    <s v="Segurança Industrial"/>
    <n v="1321"/>
    <s v="37OR/37U/Outras Despesas Sociais"/>
    <x v="81"/>
    <s v=""/>
    <s v=""/>
    <s v=""/>
    <s v="4008398351"/>
    <s v="WWCAST1_HR"/>
    <s v="917"/>
  </r>
  <r>
    <x v="0"/>
    <d v="2022-07-27T00:00:00"/>
    <x v="6"/>
    <s v="6052340"/>
    <s v="Soc. security contr."/>
    <s v="MW09C21028"/>
    <s v="Segurança Industrial"/>
    <n v="1274.6500000000001"/>
    <s v="37NN/37W/Provisão Pagto Férias DL 1730/79"/>
    <x v="81"/>
    <s v=""/>
    <s v=""/>
    <s v=""/>
    <s v="4008398351"/>
    <s v="WWCAST1_HR"/>
    <s v="49"/>
  </r>
  <r>
    <x v="0"/>
    <d v="2022-07-27T00:00:00"/>
    <x v="6"/>
    <s v="6011540"/>
    <s v="Oth premium sal"/>
    <s v="MW09C21028"/>
    <s v="Segurança Industrial"/>
    <n v="1000"/>
    <s v="37NM/37U/Gratificação Ajustada Espontânea"/>
    <x v="81"/>
    <s v=""/>
    <s v=""/>
    <s v=""/>
    <s v="4008398351"/>
    <s v="WWCAST1_HR"/>
    <s v="901"/>
  </r>
  <r>
    <x v="0"/>
    <d v="2022-07-27T00:00:00"/>
    <x v="6"/>
    <s v="6042100"/>
    <s v="RemTM yearly premium"/>
    <s v="MW09C21028"/>
    <s v="Segurança Industrial"/>
    <n v="982.98"/>
    <s v="37NI/37W/13º Salário"/>
    <x v="81"/>
    <s v=""/>
    <s v=""/>
    <s v=""/>
    <s v="4008398351"/>
    <s v="WWCAST1_HR"/>
    <s v="47"/>
  </r>
  <r>
    <x v="0"/>
    <d v="2022-07-27T00:00:00"/>
    <x v="6"/>
    <s v="6052340"/>
    <s v="Soc. security contr."/>
    <s v="MW09C21028"/>
    <s v="Segurança Industrial"/>
    <n v="882.66"/>
    <s v="37OF/37W/Desp.FGTS Diferença 10% C/Liminar"/>
    <x v="81"/>
    <s v=""/>
    <s v=""/>
    <s v=""/>
    <s v="4008398350"/>
    <s v="WWCAST1_HR"/>
    <s v="689"/>
  </r>
  <r>
    <x v="0"/>
    <d v="2022-07-27T00:00:00"/>
    <x v="6"/>
    <s v="6052340"/>
    <s v="Soc. security contr."/>
    <s v="MW09C21028"/>
    <s v="Segurança Industrial"/>
    <n v="468.18"/>
    <s v="37OD/37W/Provisão Encargos Sociais S/Férias DL 173"/>
    <x v="81"/>
    <s v=""/>
    <s v=""/>
    <s v=""/>
    <s v="4008398351"/>
    <s v="WWCAST1_HR"/>
    <s v="50"/>
  </r>
  <r>
    <x v="0"/>
    <d v="2022-07-27T00:00:00"/>
    <x v="6"/>
    <s v="6052400"/>
    <s v="Soc Contr 'oth'"/>
    <s v="MW09C21028"/>
    <s v="Segurança Industrial"/>
    <n v="364.1"/>
    <s v="37NX/37W/Salário Educação LEI 4440/64"/>
    <x v="81"/>
    <s v=""/>
    <s v=""/>
    <s v=""/>
    <s v="4008398350"/>
    <s v="WWCAST1_HR"/>
    <s v="863"/>
  </r>
  <r>
    <x v="0"/>
    <d v="2022-07-27T00:00:00"/>
    <x v="6"/>
    <s v="6052400"/>
    <s v="Soc Contr 'oth'"/>
    <s v="MW09C21028"/>
    <s v="Segurança Industrial"/>
    <n v="361.05"/>
    <s v="37PE/37W/Encargos sobre 13o salário"/>
    <x v="81"/>
    <s v=""/>
    <s v=""/>
    <s v=""/>
    <s v="4008398351"/>
    <s v="WWCAST1_HR"/>
    <s v="48"/>
  </r>
  <r>
    <x v="0"/>
    <d v="2022-07-27T00:00:00"/>
    <x v="6"/>
    <s v="6021130"/>
    <s v="Pay Ins Accid sal"/>
    <s v="MW09C21028"/>
    <s v="Segurança Industrial"/>
    <n v="326.89999999999998"/>
    <s v="37NY/37W/Seguro Contra Acidentes de Trabalho"/>
    <x v="81"/>
    <s v=""/>
    <s v=""/>
    <s v=""/>
    <s v="4008398350"/>
    <s v="WWCAST1_HR"/>
    <s v="695"/>
  </r>
  <r>
    <x v="0"/>
    <d v="2022-07-27T00:00:00"/>
    <x v="6"/>
    <s v="6829000"/>
    <s v="Taxi/publ.transp."/>
    <s v="MW09C21028"/>
    <s v="Segurança Industrial"/>
    <n v="231.11"/>
    <s v="Valor Taxi publ transp  ref  Docto Nr  50877"/>
    <x v="6"/>
    <s v=""/>
    <s v="660510555"/>
    <s v=""/>
    <s v="4008398308"/>
    <s v="GMGNH"/>
    <s v="4"/>
  </r>
  <r>
    <x v="0"/>
    <d v="2022-07-27T00:00:00"/>
    <x v="6"/>
    <s v="6042050"/>
    <s v="Rem. limited dur."/>
    <s v="MW09C21028"/>
    <s v="Segurança Industrial"/>
    <n v="159.22"/>
    <s v="37NG/37W/Horas Extras Revezamento"/>
    <x v="81"/>
    <s v=""/>
    <s v=""/>
    <s v=""/>
    <s v="4008398351"/>
    <s v="WWCAST1_HR"/>
    <s v="55"/>
  </r>
  <r>
    <x v="0"/>
    <d v="2022-07-27T00:00:00"/>
    <x v="6"/>
    <s v="6032730"/>
    <s v="Exp emp con-ded"/>
    <s v="MW09C21028"/>
    <s v="Segurança Industrial"/>
    <n v="74.099999999999994"/>
    <s v="37PA/37W/Contribuição a Previdencia Privada"/>
    <x v="81"/>
    <s v=""/>
    <s v=""/>
    <s v=""/>
    <s v="4008398350"/>
    <s v="WWCAST1_HR"/>
    <s v="693"/>
  </r>
  <r>
    <x v="0"/>
    <d v="2022-07-27T00:00:00"/>
    <x v="6"/>
    <s v="6031130"/>
    <s v="Group ins salaries"/>
    <s v="MW09C21028"/>
    <s v="Segurança Industrial"/>
    <n v="-26.61"/>
    <s v="37OG/37W/Seguro de Vida Acidentes Pessoais em Grup"/>
    <x v="34"/>
    <s v=""/>
    <s v=""/>
    <s v=""/>
    <s v="4008398350"/>
    <s v="WWCAST1_HR"/>
    <s v="692"/>
  </r>
  <r>
    <x v="0"/>
    <d v="2022-07-27T00:00:00"/>
    <x v="6"/>
    <s v="6039300"/>
    <s v="Oth emp benefits"/>
    <s v="MW09C21028"/>
    <s v="Segurança Industrial"/>
    <n v="-59.9"/>
    <s v="37OR/37W/Outras Despesas Sociais"/>
    <x v="34"/>
    <s v=""/>
    <s v=""/>
    <s v=""/>
    <s v="4008398350"/>
    <s v="WWCAST1_HR"/>
    <s v="180"/>
  </r>
  <r>
    <x v="0"/>
    <d v="2022-07-27T00:00:00"/>
    <x v="6"/>
    <s v="6716000"/>
    <s v="Food f. Empl."/>
    <s v="MW09C21028"/>
    <s v="Segurança Industrial"/>
    <n v="-80.03"/>
    <s v="37OV/37W/Recuperação por Refeições Fornecidas"/>
    <x v="34"/>
    <s v=""/>
    <s v=""/>
    <s v=""/>
    <s v="4008398351"/>
    <s v="WWCAST1_HR"/>
    <s v="54"/>
  </r>
  <r>
    <x v="0"/>
    <d v="2022-07-27T00:00:00"/>
    <x v="6"/>
    <s v="6021550"/>
    <s v="Health ben sal"/>
    <s v="MW09C21028"/>
    <s v="Segurança Industrial"/>
    <n v="-121.15"/>
    <s v="37OS/37W/Reembolso Co-Participação Assistência Méd"/>
    <x v="34"/>
    <s v=""/>
    <s v=""/>
    <s v=""/>
    <s v="4008398351"/>
    <s v="WWCAST1_HR"/>
    <s v="53"/>
  </r>
  <r>
    <x v="0"/>
    <d v="2022-07-27T00:00:00"/>
    <x v="6"/>
    <s v="6021550"/>
    <s v="Health ben sal"/>
    <s v="MW09C21028"/>
    <s v="Segurança Industrial"/>
    <n v="-133.97999999999999"/>
    <s v="37OJ/37W/Assistência Odontológica  -   Ativos"/>
    <x v="34"/>
    <s v=""/>
    <s v=""/>
    <s v=""/>
    <s v="4008398350"/>
    <s v="WWCAST1_HR"/>
    <s v="461"/>
  </r>
  <r>
    <x v="0"/>
    <d v="2022-07-27T00:00:00"/>
    <x v="6"/>
    <s v="6822300"/>
    <s v="Coll transp staff"/>
    <s v="MW09C21028"/>
    <s v="Segurança Industrial"/>
    <n v="-219.27"/>
    <s v="37OK/37W/Transportes Colaboradores PJ"/>
    <x v="34"/>
    <s v=""/>
    <s v=""/>
    <s v=""/>
    <s v="4008398350"/>
    <s v="WWCAST1_HR"/>
    <s v="690"/>
  </r>
  <r>
    <x v="0"/>
    <d v="2022-07-27T00:00:00"/>
    <x v="6"/>
    <s v="6021550"/>
    <s v="Health ben sal"/>
    <s v="MW09C21028"/>
    <s v="Segurança Industrial"/>
    <n v="-473.46"/>
    <s v="37OI/37U/Assistência Médica/Hospitalar PJ"/>
    <x v="34"/>
    <s v=""/>
    <s v=""/>
    <s v=""/>
    <s v="4008398351"/>
    <s v="WWCAST1_HR"/>
    <s v="918"/>
  </r>
  <r>
    <x v="0"/>
    <d v="2022-07-27T00:00:00"/>
    <x v="6"/>
    <s v="6031130"/>
    <s v="Group ins salaries"/>
    <s v="MW09C21028"/>
    <s v="Segurança Industrial"/>
    <n v="-487.78"/>
    <s v="37OG/37U/Seguro de Vida Acidentes Pessoais em Grup"/>
    <x v="34"/>
    <s v=""/>
    <s v=""/>
    <s v=""/>
    <s v="4008398351"/>
    <s v="WWCAST1_HR"/>
    <s v="833"/>
  </r>
  <r>
    <x v="0"/>
    <d v="2022-07-27T00:00:00"/>
    <x v="6"/>
    <s v="6021550"/>
    <s v="Health ben sal"/>
    <s v="MW09C21028"/>
    <s v="Segurança Industrial"/>
    <n v="-625.24"/>
    <s v="37OJ/37U/Assistência Odontológica  -   Ativos"/>
    <x v="34"/>
    <s v=""/>
    <s v=""/>
    <s v=""/>
    <s v="4008398351"/>
    <s v="WWCAST1_HR"/>
    <s v="899"/>
  </r>
  <r>
    <x v="0"/>
    <d v="2022-07-27T00:00:00"/>
    <x v="6"/>
    <s v="6021550"/>
    <s v="Health ben sal"/>
    <s v="MW09C21028"/>
    <s v="Segurança Industrial"/>
    <n v="-766.67"/>
    <s v="37OS/37U/Reembolso Co-Participação Assistência Méd"/>
    <x v="34"/>
    <s v=""/>
    <s v=""/>
    <s v=""/>
    <s v="4008398351"/>
    <s v="WWCAST1_HR"/>
    <s v="910"/>
  </r>
  <r>
    <x v="0"/>
    <d v="2022-07-27T00:00:00"/>
    <x v="6"/>
    <s v="6716000"/>
    <s v="Food f. Empl."/>
    <s v="MW09C21028"/>
    <s v="Segurança Industrial"/>
    <n v="-789.89"/>
    <s v="37OV/37U/Recuperação por Refeições Fornecidas"/>
    <x v="34"/>
    <s v=""/>
    <s v=""/>
    <s v=""/>
    <s v="4008398351"/>
    <s v="WWCAST1_HR"/>
    <s v="916"/>
  </r>
  <r>
    <x v="0"/>
    <d v="2022-07-27T00:00:00"/>
    <x v="6"/>
    <s v="6822300"/>
    <s v="Coll transp staff"/>
    <s v="MW09C21028"/>
    <s v="Segurança Industrial"/>
    <n v="-1276.0999999999999"/>
    <s v="37OK/37U/Transportes Colaboradores PJ"/>
    <x v="34"/>
    <s v=""/>
    <s v=""/>
    <s v=""/>
    <s v="4008398351"/>
    <s v="WWCAST1_HR"/>
    <s v="915"/>
  </r>
  <r>
    <x v="0"/>
    <d v="2022-07-28T00:00:00"/>
    <x v="6"/>
    <s v="6711000"/>
    <s v="Security Service"/>
    <s v="MW09C21028"/>
    <s v="Segurança Industrial"/>
    <n v="2287.38"/>
    <s v="Valor Security Service ref  Docto Nr  440"/>
    <x v="11"/>
    <s v=""/>
    <s v=""/>
    <s v=""/>
    <s v="4008401423"/>
    <s v="GNEDA"/>
    <s v="1"/>
  </r>
  <r>
    <x v="0"/>
    <d v="2022-07-28T00:00:00"/>
    <x v="6"/>
    <s v="8262000"/>
    <s v="FAM Settl Serv (Ext)"/>
    <s v="MW09C21028"/>
    <s v="Segurança Industrial"/>
    <n v="1882.04"/>
    <s v="CTR H353/MW09C21028"/>
    <x v="41"/>
    <s v="IE MW09C21028 SEG INDUSTRIAL - 2022"/>
    <s v=""/>
    <s v="Order"/>
    <s v="4600136144"/>
    <s v="SXFTM000"/>
    <s v="4"/>
  </r>
  <r>
    <x v="0"/>
    <d v="2022-07-28T00:00:00"/>
    <x v="6"/>
    <s v="8262000"/>
    <s v="FAM Settl Serv (Ext)"/>
    <s v="MW09C21028"/>
    <s v="Segurança Industrial"/>
    <n v="1564.21"/>
    <s v="CTR H353/MW09C21028"/>
    <x v="41"/>
    <s v="IE SERV ELÉTRICA ADMINISTRATIVO 2022"/>
    <s v=""/>
    <s v="Order"/>
    <s v="4600136159"/>
    <s v="SXFTMRB0"/>
    <s v="4"/>
  </r>
  <r>
    <x v="0"/>
    <d v="2022-07-28T00:00:00"/>
    <x v="6"/>
    <s v="6715000"/>
    <s v="Fire prevent serv."/>
    <s v="MW09C21028"/>
    <s v="Segurança Industrial"/>
    <n v="5739.49"/>
    <s v="Valor Fire prevent serv  ref  Docto Nr  37466"/>
    <x v="10"/>
    <s v=""/>
    <s v="660509695"/>
    <s v=""/>
    <s v="4008400976"/>
    <s v="GMGNH"/>
    <s v="3"/>
  </r>
  <r>
    <x v="0"/>
    <d v="2022-07-28T00:00:00"/>
    <x v="6"/>
    <s v="6715000"/>
    <s v="Fire prevent serv."/>
    <s v="MW09C21028"/>
    <s v="Segurança Industrial"/>
    <n v="1508.52"/>
    <s v="Valor Fire prevent serv  ref  Docto Nr  37466"/>
    <x v="10"/>
    <s v=""/>
    <s v="660509695"/>
    <s v=""/>
    <s v="4008400976"/>
    <s v="GMGNH"/>
    <s v="1"/>
  </r>
  <r>
    <x v="0"/>
    <d v="2022-07-28T00:00:00"/>
    <x v="6"/>
    <s v="8262000"/>
    <s v="FAM Settl Serv (Ext)"/>
    <s v="MW09C21028"/>
    <s v="Segurança Industrial"/>
    <n v="1211.31"/>
    <s v="CTR H353/MW09C21028"/>
    <x v="41"/>
    <s v="IE SERV HIDRAULICA ADMINISTRATIVO 2022"/>
    <s v=""/>
    <s v="Order"/>
    <s v="4600136158"/>
    <s v="SXFTMRB0"/>
    <s v="10"/>
  </r>
  <r>
    <x v="0"/>
    <d v="2022-07-28T00:00:00"/>
    <x v="6"/>
    <s v="6715000"/>
    <s v="Fire prevent serv."/>
    <s v="MW09C21028"/>
    <s v="Segurança Industrial"/>
    <n v="318.36"/>
    <s v="Valor Fire prevent serv  ref  Docto Nr  37466"/>
    <x v="10"/>
    <s v=""/>
    <s v="660509695"/>
    <s v=""/>
    <s v="4008400976"/>
    <s v="GMGNH"/>
    <s v="2"/>
  </r>
  <r>
    <x v="0"/>
    <d v="2022-07-28T00:00:00"/>
    <x v="6"/>
    <s v="6845000"/>
    <s v="Legal costs"/>
    <s v="MW09C21028"/>
    <s v="Segurança Industrial"/>
    <n v="1170.1199999999999"/>
    <s v="valor documento 300535"/>
    <x v="83"/>
    <s v=""/>
    <s v=""/>
    <s v=""/>
    <s v="4008400943"/>
    <s v="GMGNH"/>
    <s v="1"/>
  </r>
  <r>
    <x v="0"/>
    <d v="2022-07-28T00:00:00"/>
    <x v="6"/>
    <s v="8261000"/>
    <s v="FAM Settl Prim Mat"/>
    <s v="MW09C21028"/>
    <s v="Segurança Industrial"/>
    <n v="1136.58"/>
    <s v="CTR H353/MW09C21028"/>
    <x v="41"/>
    <s v="MAN 2022 SÓ ACUMULADORES"/>
    <s v=""/>
    <s v="Order"/>
    <s v="4600136149"/>
    <s v="SXFTM000"/>
    <s v="4"/>
  </r>
  <r>
    <x v="0"/>
    <d v="2022-07-28T00:00:00"/>
    <x v="6"/>
    <s v="8261000"/>
    <s v="FAM Settl Prim Mat"/>
    <s v="MW09C21028"/>
    <s v="Segurança Industrial"/>
    <n v="896.03"/>
    <s v="CTR H353/MW09C21028"/>
    <x v="41"/>
    <s v="Locação de plataforma 2022"/>
    <s v=""/>
    <s v="Order"/>
    <s v="4600135388"/>
    <s v="SXFTM000"/>
    <s v="6"/>
  </r>
  <r>
    <x v="0"/>
    <d v="2022-07-28T00:00:00"/>
    <x v="6"/>
    <s v="6779000"/>
    <s v="Serv. cust. &amp; excise"/>
    <s v="MW09C21028"/>
    <s v="Segurança Industrial"/>
    <n v="569.25"/>
    <s v="Reclassif. FEE 368054"/>
    <x v="63"/>
    <s v=""/>
    <s v=""/>
    <s v=""/>
    <s v="4008400573"/>
    <s v="GNPRP"/>
    <s v="44"/>
  </r>
  <r>
    <x v="0"/>
    <d v="2022-07-28T00:00:00"/>
    <x v="6"/>
    <s v="8262000"/>
    <s v="FAM Settl Serv (Ext)"/>
    <s v="MW09C21028"/>
    <s v="Segurança Industrial"/>
    <n v="547.85"/>
    <s v="CTR H353/MW09C21028"/>
    <x v="41"/>
    <s v="IE SERV MARCENARIA ADMINISTRATIVO 2022"/>
    <s v=""/>
    <s v="Order"/>
    <s v="4600136156"/>
    <s v="SXFTMRB0"/>
    <s v="8"/>
  </r>
  <r>
    <x v="0"/>
    <d v="2022-07-28T00:00:00"/>
    <x v="6"/>
    <s v="6779000"/>
    <s v="Serv. cust. &amp; excise"/>
    <s v="MW09C21028"/>
    <s v="Segurança Industrial"/>
    <n v="464"/>
    <s v="Reclassif. FEE 367309"/>
    <x v="63"/>
    <s v=""/>
    <s v=""/>
    <s v=""/>
    <s v="4008400564"/>
    <s v="GNPRP"/>
    <s v="52"/>
  </r>
  <r>
    <x v="0"/>
    <d v="2022-07-28T00:00:00"/>
    <x v="6"/>
    <s v="6779000"/>
    <s v="Serv. cust. &amp; excise"/>
    <s v="MW09C21028"/>
    <s v="Segurança Industrial"/>
    <n v="131.46"/>
    <s v="Reclassif. Despachante 1220761"/>
    <x v="63"/>
    <s v=""/>
    <s v=""/>
    <s v=""/>
    <s v="4008400568"/>
    <s v="GNPRP"/>
    <s v="13"/>
  </r>
  <r>
    <x v="0"/>
    <d v="2022-07-28T00:00:00"/>
    <x v="6"/>
    <s v="6572000"/>
    <s v="Occup. safety serv"/>
    <s v="MW09C21028"/>
    <s v="Segurança Industrial"/>
    <n v="121.65"/>
    <s v="Valor Occup  safety serv ref  Docto Nr  50125"/>
    <x v="65"/>
    <s v=""/>
    <s v="660511938"/>
    <s v=""/>
    <s v="4008400543"/>
    <s v="GMGNH"/>
    <s v="13"/>
  </r>
  <r>
    <x v="0"/>
    <d v="2022-07-28T00:00:00"/>
    <x v="6"/>
    <s v="6429990"/>
    <s v="Other transport exp"/>
    <s v="MW09C21028"/>
    <s v="Segurança Industrial"/>
    <n v="25.94"/>
    <s v="Serviços de Correios"/>
    <x v="86"/>
    <s v=""/>
    <s v="660512835"/>
    <s v=""/>
    <s v="4008400647"/>
    <s v="GEMKD"/>
    <s v="11"/>
  </r>
  <r>
    <x v="0"/>
    <d v="2022-07-28T00:00:00"/>
    <x v="6"/>
    <s v="6779000"/>
    <s v="Serv. cust. &amp; excise"/>
    <s v="MW09C21028"/>
    <s v="Segurança Industrial"/>
    <n v="18.72"/>
    <s v="Reclassif. Despachante 40467"/>
    <x v="63"/>
    <s v=""/>
    <s v=""/>
    <s v=""/>
    <s v="4008400566"/>
    <s v="GNPRP"/>
    <s v="13"/>
  </r>
  <r>
    <x v="0"/>
    <d v="2022-07-28T00:00:00"/>
    <x v="6"/>
    <s v="8261000"/>
    <s v="FAM Settl Prim Mat"/>
    <s v="MW09C21028"/>
    <s v="Segurança Industrial"/>
    <n v="0.35"/>
    <s v="CTR H353/MW09C21028"/>
    <x v="41"/>
    <s v="IE MAN REDE DE INCÊNDIO 2022 (21028)"/>
    <s v=""/>
    <s v="Order"/>
    <s v="4600136146"/>
    <s v="SXFTM000"/>
    <s v="2"/>
  </r>
  <r>
    <x v="0"/>
    <d v="2022-07-28T00:00:00"/>
    <x v="6"/>
    <s v="8261000"/>
    <s v="FAM Settl Prim Mat"/>
    <s v="MW09C21028"/>
    <s v="Segurança Industrial"/>
    <n v="-0.33"/>
    <s v="CTR H353/MW09C21028"/>
    <x v="41"/>
    <s v="MAN 2021 REDE DE INCENDIO BR"/>
    <s v=""/>
    <s v="Order"/>
    <s v="4600136143"/>
    <s v="SXFTM000"/>
    <s v="2"/>
  </r>
  <r>
    <x v="0"/>
    <d v="2022-07-28T00:00:00"/>
    <x v="6"/>
    <s v="8261000"/>
    <s v="FAM Settl Prim Mat"/>
    <s v="MW09C21028"/>
    <s v="Segurança Industrial"/>
    <n v="-283.5"/>
    <s v="CTR H353/MW09C21028"/>
    <x v="41"/>
    <s v="Reparo em linha de incêndio próxima ao p"/>
    <s v=""/>
    <s v="Order"/>
    <s v="4600136145"/>
    <s v="SXFTM000"/>
    <s v="2"/>
  </r>
  <r>
    <x v="0"/>
    <d v="2022-07-28T00:00:00"/>
    <x v="6"/>
    <s v="8261000"/>
    <s v="FAM Settl Prim Mat"/>
    <s v="MW09C21028"/>
    <s v="Segurança Industrial"/>
    <n v="-503.95"/>
    <s v="CTR H353/MW09C21028"/>
    <x v="41"/>
    <s v="Remanej.tub.rejeitoETA/AP Qd5600"/>
    <s v=""/>
    <s v="Order"/>
    <s v="4600136121"/>
    <s v="SXFTM000"/>
    <s v="6"/>
  </r>
  <r>
    <x v="0"/>
    <d v="2022-07-28T00:00:00"/>
    <x v="6"/>
    <s v="8261000"/>
    <s v="FAM Settl Prim Mat"/>
    <s v="MW09C21028"/>
    <s v="Segurança Industrial"/>
    <n v="-1882.4"/>
    <s v="CTR H353/MW09C21028"/>
    <x v="41"/>
    <s v="IE MW09C21028 SEG INDUSTRIAL - 2022"/>
    <s v=""/>
    <s v="Order"/>
    <s v="4600136144"/>
    <s v="SXFTM000"/>
    <s v="2"/>
  </r>
  <r>
    <x v="0"/>
    <d v="2022-07-29T00:00:00"/>
    <x v="6"/>
    <s v="6622400"/>
    <s v="Depr Infrastructure"/>
    <s v="MW09C21028"/>
    <s v="Segurança Industrial"/>
    <n v="97364.800000000003"/>
    <s v="AFB30202200701 0000000054"/>
    <x v="35"/>
    <s v=""/>
    <s v=""/>
    <s v=""/>
    <s v="4008401456"/>
    <s v="SXFTMRB0"/>
    <s v="8"/>
  </r>
  <r>
    <x v="0"/>
    <d v="2022-07-29T00:00:00"/>
    <x v="6"/>
    <s v="6021550"/>
    <s v="Health ben sal"/>
    <s v="MW09C21028"/>
    <s v="Segurança Industrial"/>
    <n v="65804.36"/>
    <s v="Lançamento Amil - Julho"/>
    <x v="44"/>
    <s v=""/>
    <s v=""/>
    <s v=""/>
    <s v="4008404306"/>
    <s v="GMEYG"/>
    <s v="319"/>
  </r>
  <r>
    <x v="0"/>
    <d v="2022-07-29T00:00:00"/>
    <x v="6"/>
    <s v="6831400"/>
    <s v="Catering"/>
    <s v="MW09C21028"/>
    <s v="Segurança Industrial"/>
    <n v="32064.19"/>
    <s v="Lançamento Ticket - Julho"/>
    <x v="44"/>
    <s v=""/>
    <s v=""/>
    <s v=""/>
    <s v="4008404306"/>
    <s v="GMEYG"/>
    <s v="644"/>
  </r>
  <r>
    <x v="0"/>
    <d v="2022-07-29T00:00:00"/>
    <x v="6"/>
    <s v="6622000"/>
    <s v="Depr Buildings"/>
    <s v="MW09C21028"/>
    <s v="Segurança Industrial"/>
    <n v="28230.5"/>
    <s v="AFB30202200701 0000000053"/>
    <x v="36"/>
    <s v=""/>
    <s v=""/>
    <s v=""/>
    <s v="4008401455"/>
    <s v="SXFTMRB0"/>
    <s v="34"/>
  </r>
  <r>
    <x v="0"/>
    <d v="2022-07-29T00:00:00"/>
    <x v="6"/>
    <s v="6012500"/>
    <s v="Bonuses workers"/>
    <s v="MW09C21028"/>
    <s v="Segurança Industrial"/>
    <n v="22438.76"/>
    <s v="GL_STI_100"/>
    <x v="45"/>
    <s v=""/>
    <s v=""/>
    <s v=""/>
    <s v="4008403228"/>
    <s v="BRZFX_HR"/>
    <s v="144"/>
  </r>
  <r>
    <x v="0"/>
    <d v="2022-07-29T00:00:00"/>
    <x v="6"/>
    <s v="6624030"/>
    <s v="Depr Transp."/>
    <s v="MW09C21028"/>
    <s v="Segurança Industrial"/>
    <n v="21907.27"/>
    <s v="AFB30202200701 0000000056"/>
    <x v="61"/>
    <s v=""/>
    <s v=""/>
    <s v=""/>
    <s v="4008401458"/>
    <s v="SXFTMRB0"/>
    <s v="30"/>
  </r>
  <r>
    <x v="0"/>
    <d v="2022-07-29T00:00:00"/>
    <x v="6"/>
    <s v="8261000"/>
    <s v="FAM Settl Prim Mat"/>
    <s v="MW09C21028"/>
    <s v="Segurança Industrial"/>
    <n v="18679.66"/>
    <s v="CTR H353/MW09C21028"/>
    <x v="41"/>
    <s v="IE MW09C21028 SEG INDUSTRIAL - 2022"/>
    <s v=""/>
    <s v="Order"/>
    <s v="4600136642"/>
    <s v="SXFTMRB0"/>
    <s v="2"/>
  </r>
  <r>
    <x v="0"/>
    <d v="2022-07-29T00:00:00"/>
    <x v="6"/>
    <s v="6624010"/>
    <s v="Depr IT-Hardware"/>
    <s v="MW09C21028"/>
    <s v="Segurança Industrial"/>
    <n v="14459.14"/>
    <s v="AFB30202200701 0000000055"/>
    <x v="38"/>
    <s v=""/>
    <s v=""/>
    <s v=""/>
    <s v="4008401457"/>
    <s v="SXFTMRB0"/>
    <s v="40"/>
  </r>
  <r>
    <x v="0"/>
    <d v="2022-07-29T00:00:00"/>
    <x v="6"/>
    <s v="6031130"/>
    <s v="Group ins salaries"/>
    <s v="MW09C21028"/>
    <s v="Segurança Industrial"/>
    <n v="3540.38"/>
    <s v="Lançamento Seguro de Vida - Julho"/>
    <x v="44"/>
    <s v=""/>
    <s v=""/>
    <s v=""/>
    <s v="4008404306"/>
    <s v="GMEYG"/>
    <s v="792"/>
  </r>
  <r>
    <x v="0"/>
    <d v="2022-07-29T00:00:00"/>
    <x v="6"/>
    <s v="6011500"/>
    <s v="Bonuses"/>
    <s v="MW09C21028"/>
    <s v="Segurança Industrial"/>
    <n v="3396.12"/>
    <s v="GL_STI_100"/>
    <x v="45"/>
    <s v=""/>
    <s v=""/>
    <s v=""/>
    <s v="4008403228"/>
    <s v="BRZFX_HR"/>
    <s v="150"/>
  </r>
  <r>
    <x v="0"/>
    <d v="2022-07-29T00:00:00"/>
    <x v="6"/>
    <s v="6039300"/>
    <s v="Oth emp benefits"/>
    <s v="MW09C21028"/>
    <s v="Segurança Industrial"/>
    <n v="2297.3200000000002"/>
    <s v="Lançamento Outros Benefícios - Julho"/>
    <x v="44"/>
    <s v=""/>
    <s v=""/>
    <s v=""/>
    <s v="4008404306"/>
    <s v="GMEYG"/>
    <s v="135"/>
  </r>
  <r>
    <x v="0"/>
    <d v="2022-07-29T00:00:00"/>
    <x v="6"/>
    <s v="6623000"/>
    <s v="Depr Mach/tech Prod"/>
    <s v="MW09C21028"/>
    <s v="Segurança Industrial"/>
    <n v="1793.56"/>
    <s v="AFB30202200701 0000000054"/>
    <x v="35"/>
    <s v=""/>
    <s v=""/>
    <s v=""/>
    <s v="4008401456"/>
    <s v="SXFTMRB0"/>
    <s v="51"/>
  </r>
  <r>
    <x v="0"/>
    <d v="2022-07-29T00:00:00"/>
    <x v="6"/>
    <s v="6021550"/>
    <s v="Health ben sal"/>
    <s v="MW09C21028"/>
    <s v="Segurança Industrial"/>
    <n v="1307.42"/>
    <s v="Lançamento Odontoprev - Julho"/>
    <x v="44"/>
    <s v=""/>
    <s v=""/>
    <s v=""/>
    <s v="4008404306"/>
    <s v="GMEYG"/>
    <s v="506"/>
  </r>
  <r>
    <x v="0"/>
    <d v="2022-07-29T00:00:00"/>
    <x v="6"/>
    <s v="8261000"/>
    <s v="FAM Settl Prim Mat"/>
    <s v="MW09C21028"/>
    <s v="Segurança Industrial"/>
    <n v="933.08"/>
    <s v="CTR H353/MW09C21028"/>
    <x v="41"/>
    <s v="Reparo - Portão Estacionamento"/>
    <s v=""/>
    <s v="Order"/>
    <s v="4600136643"/>
    <s v="SXFTMRB0"/>
    <s v="2"/>
  </r>
  <r>
    <x v="0"/>
    <d v="2022-07-29T00:00:00"/>
    <x v="6"/>
    <s v="6831400"/>
    <s v="Catering"/>
    <s v="MW09C21028"/>
    <s v="Segurança Industrial"/>
    <n v="194.4"/>
    <s v="Vr recup Refeições Estagiários -Jul"/>
    <x v="15"/>
    <s v=""/>
    <s v=""/>
    <s v=""/>
    <s v="4008404228"/>
    <s v="GMEYG"/>
    <s v="33"/>
  </r>
  <r>
    <x v="0"/>
    <d v="2022-07-29T00:00:00"/>
    <x v="6"/>
    <s v="6624000"/>
    <s v="Depr F/Fix"/>
    <s v="MW09C21028"/>
    <s v="Segurança Industrial"/>
    <n v="152.9"/>
    <s v="AFB30202200701 0000000055"/>
    <x v="38"/>
    <s v=""/>
    <s v=""/>
    <s v=""/>
    <s v="4008401457"/>
    <s v="SXFTMRB0"/>
    <s v="8"/>
  </r>
  <r>
    <x v="0"/>
    <d v="2022-07-29T00:00:00"/>
    <x v="6"/>
    <s v="6321000"/>
    <s v="General supplies"/>
    <s v="MW09C21028"/>
    <s v="Segurança Industrial"/>
    <n v="77"/>
    <s v="DESINFETANTE PERFUMADO USO GERAL 20L"/>
    <x v="8"/>
    <s v=""/>
    <s v=""/>
    <s v=""/>
    <s v="4008404064"/>
    <s v="ERUCD"/>
    <s v="1"/>
  </r>
  <r>
    <x v="0"/>
    <d v="2022-07-29T00:00:00"/>
    <x v="6"/>
    <s v="6831400"/>
    <s v="Catering"/>
    <s v="MW09C21028"/>
    <s v="Segurança Industrial"/>
    <n v="33.82"/>
    <s v="Vr recup Serv Restaur Visitantes - Jul"/>
    <x v="15"/>
    <s v=""/>
    <s v=""/>
    <s v=""/>
    <s v="4008404228"/>
    <s v="GMEYG"/>
    <s v="17"/>
  </r>
  <r>
    <x v="0"/>
    <d v="2022-07-29T00:00:00"/>
    <x v="6"/>
    <s v="6879990"/>
    <s v="Other taxes"/>
    <s v="MW09C21028"/>
    <s v="Segurança Industrial"/>
    <n v="-10242.73"/>
    <s v="Credito de PIS e COFINS sobre a depreciação JUL/20"/>
    <x v="49"/>
    <s v=""/>
    <s v=""/>
    <s v=""/>
    <s v="4008404017"/>
    <s v="GMGLN"/>
    <s v="31"/>
  </r>
  <r>
    <x v="0"/>
    <d v="2022-08-01T00:00:00"/>
    <x v="6"/>
    <s v="6121001"/>
    <s v="Electricity fix"/>
    <s v="MW09C21028"/>
    <s v="Segurança Industrial"/>
    <n v="7636.83"/>
    <s v="MW4A010014MW09C21027 Energia Eletrica Fi"/>
    <x v="41"/>
    <s v="Alocações Periódicas"/>
    <s v=""/>
    <s v="Cost center"/>
    <s v="4400017400"/>
    <s v="SXFTMRB0"/>
    <s v="239"/>
  </r>
  <r>
    <x v="0"/>
    <d v="2022-08-01T00:00:00"/>
    <x v="6"/>
    <s v="6121000"/>
    <s v="Electricity var"/>
    <s v="MW09C21028"/>
    <s v="Segurança Industrial"/>
    <n v="6813.53"/>
    <s v="MW4A010010MW09C21027 Energia Eletrica Va"/>
    <x v="41"/>
    <s v="Alocações Periódicas"/>
    <s v=""/>
    <s v="Cost center"/>
    <s v="4400017400"/>
    <s v="SXFTMRB0"/>
    <s v="139"/>
  </r>
  <r>
    <x v="0"/>
    <d v="2022-08-01T00:00:00"/>
    <x v="6"/>
    <s v="6109990"/>
    <s v="Water - Other"/>
    <s v="MW09C21028"/>
    <s v="Segurança Industrial"/>
    <n v="2905.55"/>
    <s v="MW4A010009MW09C21027 Ág. Potavel"/>
    <x v="41"/>
    <s v="Alocações Periódicas"/>
    <s v=""/>
    <s v="Cost center"/>
    <s v="4400017400"/>
    <s v="SXFTMRB0"/>
    <s v="83"/>
  </r>
  <r>
    <x v="0"/>
    <d v="2022-08-01T00:00:00"/>
    <x v="6"/>
    <s v="6321000"/>
    <s v="General supplies"/>
    <s v="MW09C21028"/>
    <s v="Segurança Industrial"/>
    <n v="1522.46"/>
    <s v="MW4A010015MW09C21027 Energia Eletrica Fi"/>
    <x v="41"/>
    <s v="Alocações Periódicas"/>
    <s v=""/>
    <s v="Cost center"/>
    <s v="4400017400"/>
    <s v="SXFTMRB0"/>
    <s v="277"/>
  </r>
  <r>
    <x v="0"/>
    <d v="2022-08-01T00:00:00"/>
    <x v="7"/>
    <s v="6715000"/>
    <s v="Fire prevent serv."/>
    <s v="MW09C21028"/>
    <s v="Segurança Industrial"/>
    <n v="9956.64"/>
    <s v="Valor do documento Nr  26537 1"/>
    <x v="10"/>
    <s v=""/>
    <s v="660469816"/>
    <s v=""/>
    <s v="4008410962"/>
    <s v="GMGNT"/>
    <s v="4"/>
  </r>
  <r>
    <x v="0"/>
    <d v="2022-08-01T00:00:00"/>
    <x v="7"/>
    <s v="6715000"/>
    <s v="Fire prevent serv."/>
    <s v="MW09C21028"/>
    <s v="Segurança Industrial"/>
    <n v="1176.5"/>
    <s v="Valor do documento Nr  26537 1"/>
    <x v="10"/>
    <s v=""/>
    <s v="660469816"/>
    <s v=""/>
    <s v="4008410962"/>
    <s v="GMGNT"/>
    <s v="2"/>
  </r>
  <r>
    <x v="0"/>
    <d v="2022-08-01T00:00:00"/>
    <x v="7"/>
    <s v="6715000"/>
    <s v="Fire prevent serv."/>
    <s v="MW09C21028"/>
    <s v="Segurança Industrial"/>
    <n v="1176.5"/>
    <s v="Valor do documento Nr  26537 1"/>
    <x v="10"/>
    <s v=""/>
    <s v="660469816"/>
    <s v=""/>
    <s v="4008410962"/>
    <s v="GMGNT"/>
    <s v="1"/>
  </r>
  <r>
    <x v="0"/>
    <d v="2022-08-01T00:00:00"/>
    <x v="7"/>
    <s v="6715000"/>
    <s v="Fire prevent serv."/>
    <s v="MW09C21028"/>
    <s v="Segurança Industrial"/>
    <n v="588"/>
    <s v="Valor do documento Nr  26537 1"/>
    <x v="10"/>
    <s v=""/>
    <s v="660469816"/>
    <s v=""/>
    <s v="4008410962"/>
    <s v="GMGNT"/>
    <s v="3"/>
  </r>
  <r>
    <x v="0"/>
    <d v="2022-08-01T00:00:00"/>
    <x v="6"/>
    <s v="6101000"/>
    <s v="Water var"/>
    <s v="MW09C21028"/>
    <s v="Segurança Industrial"/>
    <n v="825.86"/>
    <s v="MW4A010008MW09C21027 Ág. Processo"/>
    <x v="41"/>
    <s v="Alocações Periódicas"/>
    <s v=""/>
    <s v="Cost center"/>
    <s v="4400017400"/>
    <s v="SXFTMRB0"/>
    <s v="37"/>
  </r>
  <r>
    <x v="0"/>
    <d v="2022-08-01T00:00:00"/>
    <x v="6"/>
    <s v="7711010"/>
    <s v="Security Service ASS"/>
    <s v="MW09C21028"/>
    <s v="Segurança Industrial"/>
    <n v="-773210.27"/>
    <s v="MW5B02_017MW09C21028"/>
    <x v="41"/>
    <s v="Prédio 6201"/>
    <s v=""/>
    <s v="Cost center"/>
    <s v="4400017501"/>
    <s v="SXFTMRB0"/>
    <s v="298"/>
  </r>
  <r>
    <x v="0"/>
    <d v="2022-08-02T00:00:00"/>
    <x v="7"/>
    <s v="6280000"/>
    <s v="Technic. spare parts"/>
    <s v="MW09C21028"/>
    <s v="Segurança Industrial"/>
    <n v="1784.7"/>
    <s v="Valor Technic  spare parts ref  Docto Nr  26181"/>
    <x v="12"/>
    <s v=""/>
    <s v="660515306"/>
    <s v=""/>
    <s v="4008413105"/>
    <s v="GMGNH"/>
    <s v="1"/>
  </r>
  <r>
    <x v="0"/>
    <d v="2022-08-03T00:00:00"/>
    <x v="7"/>
    <s v="6711000"/>
    <s v="Security Service"/>
    <s v="MW09C21028"/>
    <s v="Segurança Industrial"/>
    <n v="9380.1299999999992"/>
    <s v="Valor Security Service ref  Docto Nr  18780"/>
    <x v="19"/>
    <s v=""/>
    <s v="660515480"/>
    <s v=""/>
    <s v="4008414510"/>
    <s v="GMGNH"/>
    <s v="1"/>
  </r>
  <r>
    <x v="0"/>
    <d v="2022-08-03T00:00:00"/>
    <x v="7"/>
    <s v="6542000"/>
    <s v="Environmental serv"/>
    <s v="MW09C21028"/>
    <s v="Segurança Industrial"/>
    <n v="4780.07"/>
    <s v="Valor Environmental serv ref  Docto Nr  407"/>
    <x v="0"/>
    <s v=""/>
    <s v="660515478"/>
    <s v=""/>
    <s v="4008414474"/>
    <s v="GMGNH"/>
    <s v="1"/>
  </r>
  <r>
    <x v="0"/>
    <d v="2022-08-03T00:00:00"/>
    <x v="7"/>
    <s v="6773000"/>
    <s v="Expertise fees"/>
    <s v="MW09C21028"/>
    <s v="Segurança Industrial"/>
    <n v="900"/>
    <s v="Valor Expertise fees ref  Docto Nr  955"/>
    <x v="78"/>
    <s v=""/>
    <s v=""/>
    <s v=""/>
    <s v="4008414726"/>
    <s v="GMGNH"/>
    <s v="1"/>
  </r>
  <r>
    <x v="0"/>
    <d v="2022-08-03T00:00:00"/>
    <x v="7"/>
    <s v="6715000"/>
    <s v="Fire prevent serv."/>
    <s v="MW09C21028"/>
    <s v="Segurança Industrial"/>
    <n v="10193.99"/>
    <s v="Valor Fire prevent serv  ref  Docto Nr  37521"/>
    <x v="10"/>
    <s v=""/>
    <s v="660515481"/>
    <s v=""/>
    <s v="4008414637"/>
    <s v="GNEPP"/>
    <s v="1"/>
  </r>
  <r>
    <x v="0"/>
    <d v="2022-08-03T00:00:00"/>
    <x v="7"/>
    <s v="6715000"/>
    <s v="Fire prevent serv."/>
    <s v="MW09C21028"/>
    <s v="Segurança Industrial"/>
    <n v="8116.47"/>
    <s v="Valor Fire prevent serv  ref  Docto Nr  37518"/>
    <x v="10"/>
    <s v=""/>
    <s v="660512172"/>
    <s v=""/>
    <s v="4008414638"/>
    <s v="GNEPP"/>
    <s v="2"/>
  </r>
  <r>
    <x v="0"/>
    <d v="2022-08-03T00:00:00"/>
    <x v="7"/>
    <s v="6715000"/>
    <s v="Fire prevent serv."/>
    <s v="MW09C21028"/>
    <s v="Segurança Industrial"/>
    <n v="5174.95"/>
    <s v="Valor Fire prevent serv  ref  Docto Nr  37532"/>
    <x v="10"/>
    <s v=""/>
    <s v="660512171"/>
    <s v=""/>
    <s v="4008414640"/>
    <s v="GNEPP"/>
    <s v="5"/>
  </r>
  <r>
    <x v="0"/>
    <d v="2022-08-03T00:00:00"/>
    <x v="7"/>
    <s v="6715000"/>
    <s v="Fire prevent serv."/>
    <s v="MW09C21028"/>
    <s v="Segurança Industrial"/>
    <n v="4641.6000000000004"/>
    <s v="Valor Fire prevent serv  ref  Docto Nr  37532"/>
    <x v="10"/>
    <s v=""/>
    <s v="660512171"/>
    <s v=""/>
    <s v="4008414640"/>
    <s v="GNEPP"/>
    <s v="1"/>
  </r>
  <r>
    <x v="0"/>
    <d v="2022-08-03T00:00:00"/>
    <x v="7"/>
    <s v="6715000"/>
    <s v="Fire prevent serv."/>
    <s v="MW09C21028"/>
    <s v="Segurança Industrial"/>
    <n v="1919.64"/>
    <s v="Valor Fire prevent serv  ref  Docto Nr  37532"/>
    <x v="10"/>
    <s v=""/>
    <s v="660512171"/>
    <s v=""/>
    <s v="4008414640"/>
    <s v="GNEPP"/>
    <s v="3"/>
  </r>
  <r>
    <x v="0"/>
    <d v="2022-08-03T00:00:00"/>
    <x v="7"/>
    <s v="6715000"/>
    <s v="Fire prevent serv."/>
    <s v="MW09C21028"/>
    <s v="Segurança Industrial"/>
    <n v="846.88"/>
    <s v="Valor Fire prevent serv  ref  Docto Nr  37532"/>
    <x v="10"/>
    <s v=""/>
    <s v="660512171"/>
    <s v=""/>
    <s v="4008414640"/>
    <s v="GNEPP"/>
    <s v="6"/>
  </r>
  <r>
    <x v="0"/>
    <d v="2022-08-03T00:00:00"/>
    <x v="7"/>
    <s v="6715000"/>
    <s v="Fire prevent serv."/>
    <s v="MW09C21028"/>
    <s v="Segurança Industrial"/>
    <n v="727.68"/>
    <s v="Valor Fire prevent serv  ref  Docto Nr  37532"/>
    <x v="10"/>
    <s v=""/>
    <s v="660512171"/>
    <s v=""/>
    <s v="4008414640"/>
    <s v="GNEPP"/>
    <s v="2"/>
  </r>
  <r>
    <x v="0"/>
    <d v="2022-08-03T00:00:00"/>
    <x v="7"/>
    <s v="6715000"/>
    <s v="Fire prevent serv."/>
    <s v="MW09C21028"/>
    <s v="Segurança Industrial"/>
    <n v="376.32"/>
    <s v="Valor Fire prevent serv  ref  Docto Nr  37518"/>
    <x v="10"/>
    <s v=""/>
    <s v="660512172"/>
    <s v=""/>
    <s v="4008414638"/>
    <s v="GNEPP"/>
    <s v="1"/>
  </r>
  <r>
    <x v="0"/>
    <d v="2022-08-03T00:00:00"/>
    <x v="7"/>
    <s v="6715000"/>
    <s v="Fire prevent serv."/>
    <s v="MW09C21028"/>
    <s v="Segurança Industrial"/>
    <n v="75.28"/>
    <s v="Valor Fire prevent serv  ref  Docto Nr  37532"/>
    <x v="10"/>
    <s v=""/>
    <s v="660512171"/>
    <s v=""/>
    <s v="4008414640"/>
    <s v="GNEPP"/>
    <s v="4"/>
  </r>
  <r>
    <x v="0"/>
    <d v="2022-08-05T00:00:00"/>
    <x v="7"/>
    <s v="6711000"/>
    <s v="Security Service"/>
    <s v="MW09C21028"/>
    <s v="Segurança Industrial"/>
    <n v="352"/>
    <s v="Valor Security Service ref  Docto Nr  116784"/>
    <x v="29"/>
    <s v=""/>
    <s v="660517236"/>
    <s v=""/>
    <s v="4008418154"/>
    <s v="GMGNH"/>
    <s v="1"/>
  </r>
  <r>
    <x v="0"/>
    <d v="2022-08-05T00:00:00"/>
    <x v="7"/>
    <s v="6861900"/>
    <s v="Automobile insurance"/>
    <s v="MW09C21028"/>
    <s v="Segurança Industrial"/>
    <n v="350"/>
    <s v="Valor Automobile insurance ref  Docto Nr  116784"/>
    <x v="29"/>
    <s v=""/>
    <s v="660517236"/>
    <s v=""/>
    <s v="4008418154"/>
    <s v="GMGNH"/>
    <s v="5"/>
  </r>
  <r>
    <x v="0"/>
    <d v="2022-08-08T00:00:00"/>
    <x v="7"/>
    <s v="6711000"/>
    <s v="Security Service"/>
    <s v="MW09C21028"/>
    <s v="Segurança Industrial"/>
    <n v="9557.0499999999993"/>
    <s v="Valor Security Service ref  Docto Nr  441"/>
    <x v="11"/>
    <s v=""/>
    <s v="660515476"/>
    <s v=""/>
    <s v="4008422564"/>
    <s v="GNLUA"/>
    <s v="1"/>
  </r>
  <r>
    <x v="0"/>
    <d v="2022-08-08T00:00:00"/>
    <x v="7"/>
    <s v="6032003"/>
    <s v="Pension Accrual."/>
    <s v="MW09C21028"/>
    <s v="Segurança Industrial"/>
    <n v="420.36"/>
    <s v="Prov Pl. Medico Efeito Ebit BCS 2022"/>
    <x v="48"/>
    <s v=""/>
    <s v=""/>
    <s v=""/>
    <s v="4008422385"/>
    <s v="GMLHA"/>
    <s v="1"/>
  </r>
  <r>
    <x v="0"/>
    <d v="2022-08-09T00:00:00"/>
    <x v="7"/>
    <s v="6719990"/>
    <s v="Other site services"/>
    <s v="MW09C21028"/>
    <s v="Segurança Industrial"/>
    <n v="3483.6"/>
    <s v="Valor Other site services ref  Docto Nr  22150"/>
    <x v="2"/>
    <s v=""/>
    <s v="660517087"/>
    <s v=""/>
    <s v="4008425412"/>
    <s v="GMGNH"/>
    <s v="2"/>
  </r>
  <r>
    <x v="0"/>
    <d v="2022-08-10T00:00:00"/>
    <x v="7"/>
    <s v="6719990"/>
    <s v="Other site services"/>
    <s v="MW09C21028"/>
    <s v="Segurança Industrial"/>
    <n v="8135.89"/>
    <s v="Locação Uniformes e Toalhas"/>
    <x v="2"/>
    <s v=""/>
    <s v="660517119"/>
    <s v=""/>
    <s v="4008426855"/>
    <s v="GMGNH"/>
    <s v="2"/>
  </r>
  <r>
    <x v="0"/>
    <d v="2022-08-10T00:00:00"/>
    <x v="7"/>
    <s v="6629004"/>
    <s v="LVA Tangible Exp"/>
    <s v="MW09C21028"/>
    <s v="Segurança Industrial"/>
    <n v="438.9"/>
    <s v="Valor LVA Tangible Exp ref  Docto Nr  1978"/>
    <x v="5"/>
    <s v=""/>
    <s v="660515303"/>
    <s v=""/>
    <s v="4008426716"/>
    <s v="GMGNH"/>
    <s v="1"/>
  </r>
  <r>
    <x v="0"/>
    <d v="2022-08-11T00:00:00"/>
    <x v="7"/>
    <s v="6829990"/>
    <s v="Other travel cost"/>
    <s v="MW09C21028"/>
    <s v="Segurança Industrial"/>
    <n v="800.99"/>
    <s v="Abastecimento Veículo Emergencial Segurança Indust"/>
    <x v="52"/>
    <s v=""/>
    <s v=""/>
    <s v=""/>
    <s v="4008428243"/>
    <s v="SXIDOCXI"/>
    <s v="1"/>
  </r>
  <r>
    <x v="0"/>
    <d v="2022-08-11T00:00:00"/>
    <x v="7"/>
    <s v="6572000"/>
    <s v="Occup. safety serv"/>
    <s v="MW09C21028"/>
    <s v="Segurança Industrial"/>
    <n v="564.41"/>
    <s v="Valor Occup  safety serv ref  Docto Nr  22736"/>
    <x v="59"/>
    <s v=""/>
    <s v="660518972"/>
    <s v=""/>
    <s v="4008428554"/>
    <s v="GMGNH"/>
    <s v="14"/>
  </r>
  <r>
    <x v="0"/>
    <d v="2022-08-11T00:00:00"/>
    <x v="7"/>
    <s v="6829990"/>
    <s v="Other travel cost"/>
    <s v="MW09C21028"/>
    <s v="Segurança Industrial"/>
    <n v="238.11"/>
    <s v="Missão Executiva/06165327/2D2D47F7396B4C1FAC82/RDV"/>
    <x v="52"/>
    <s v=""/>
    <s v=""/>
    <s v=""/>
    <s v="4008428243"/>
    <s v="SXIDOCXI"/>
    <s v="2"/>
  </r>
  <r>
    <x v="0"/>
    <d v="2022-08-12T00:00:00"/>
    <x v="7"/>
    <s v="6829990"/>
    <s v="Other travel cost"/>
    <s v="MW09C21028"/>
    <s v="Segurança Industrial"/>
    <n v="1406.96"/>
    <s v="Abastecimento Veículo Emergencial Segurança Indust"/>
    <x v="23"/>
    <s v=""/>
    <s v=""/>
    <s v=""/>
    <s v="4008430501"/>
    <s v="SXIDOCXI"/>
    <s v="1"/>
  </r>
  <r>
    <x v="0"/>
    <d v="2022-08-12T00:00:00"/>
    <x v="7"/>
    <s v="6829990"/>
    <s v="Other travel cost"/>
    <s v="MW09C21028"/>
    <s v="Segurança Industrial"/>
    <n v="1000"/>
    <s v="Retirada de Cães Complexo Industrial Belford Roxo/"/>
    <x v="22"/>
    <s v=""/>
    <s v=""/>
    <s v=""/>
    <s v="4008430502"/>
    <s v="SXIDOCXI"/>
    <s v="5"/>
  </r>
  <r>
    <x v="0"/>
    <d v="2022-08-12T00:00:00"/>
    <x v="7"/>
    <s v="6829990"/>
    <s v="Other travel cost"/>
    <s v="MW09C21028"/>
    <s v="Segurança Industrial"/>
    <n v="900"/>
    <s v="Manutenção da Rede de Incêndio/06168326/693EECAE0A"/>
    <x v="23"/>
    <s v=""/>
    <s v=""/>
    <s v=""/>
    <s v="4008430501"/>
    <s v="SXIDOCXI"/>
    <s v="4"/>
  </r>
  <r>
    <x v="0"/>
    <d v="2022-08-12T00:00:00"/>
    <x v="7"/>
    <s v="6829990"/>
    <s v="Other travel cost"/>
    <s v="MW09C21028"/>
    <s v="Segurança Industrial"/>
    <n v="775.44"/>
    <s v="Abastecimento Veículo Emergencial Segurança Indust"/>
    <x v="22"/>
    <s v=""/>
    <s v=""/>
    <s v=""/>
    <s v="4008430502"/>
    <s v="SXIDOCXI"/>
    <s v="1"/>
  </r>
  <r>
    <x v="0"/>
    <d v="2022-08-12T00:00:00"/>
    <x v="7"/>
    <s v="6829990"/>
    <s v="Other travel cost"/>
    <s v="MW09C21028"/>
    <s v="Segurança Industrial"/>
    <n v="380"/>
    <s v="Manutenção Veículo Emergencial Segurança Industria"/>
    <x v="22"/>
    <s v=""/>
    <s v=""/>
    <s v=""/>
    <s v="4008430502"/>
    <s v="SXIDOCXI"/>
    <s v="2"/>
  </r>
  <r>
    <x v="0"/>
    <d v="2022-08-12T00:00:00"/>
    <x v="7"/>
    <s v="6829990"/>
    <s v="Other travel cost"/>
    <s v="MW09C21028"/>
    <s v="Segurança Industrial"/>
    <n v="335"/>
    <s v="Carimbos para Segurança Industrial/06168326/693EEC"/>
    <x v="23"/>
    <s v=""/>
    <s v=""/>
    <s v=""/>
    <s v="4008430501"/>
    <s v="SXIDOCXI"/>
    <s v="2"/>
  </r>
  <r>
    <x v="0"/>
    <d v="2022-08-12T00:00:00"/>
    <x v="7"/>
    <s v="6822200"/>
    <s v="Milage allowance"/>
    <s v="MW09C21028"/>
    <s v="Segurança Industrial"/>
    <n v="309.60000000000002"/>
    <s v="Utilização de Veículo Particular/06168407/65C2C124"/>
    <x v="22"/>
    <s v=""/>
    <s v=""/>
    <s v=""/>
    <s v="4008430502"/>
    <s v="SXIDOCXI"/>
    <s v="6"/>
  </r>
  <r>
    <x v="0"/>
    <d v="2022-08-12T00:00:00"/>
    <x v="7"/>
    <s v="6822200"/>
    <s v="Milage allowance"/>
    <s v="MW09C21028"/>
    <s v="Segurança Industrial"/>
    <n v="283.8"/>
    <s v="Utilização de Veículo Particular/10356972/B5CC06C0"/>
    <x v="58"/>
    <s v=""/>
    <s v=""/>
    <s v=""/>
    <s v="4008430555"/>
    <s v="SXIDOCXI"/>
    <s v="2"/>
  </r>
  <r>
    <x v="0"/>
    <d v="2022-08-12T00:00:00"/>
    <x v="7"/>
    <s v="6829990"/>
    <s v="Other travel cost"/>
    <s v="MW09C21028"/>
    <s v="Segurança Industrial"/>
    <n v="230"/>
    <s v="Renovação de CNH/10356972/B5CC06C0E0334D1FA567/RDV"/>
    <x v="58"/>
    <s v=""/>
    <s v=""/>
    <s v=""/>
    <s v="4008430555"/>
    <s v="SXIDOCXI"/>
    <s v="1"/>
  </r>
  <r>
    <x v="0"/>
    <d v="2022-08-12T00:00:00"/>
    <x v="7"/>
    <s v="6829990"/>
    <s v="Other travel cost"/>
    <s v="MW09C21028"/>
    <s v="Segurança Industrial"/>
    <n v="173.03"/>
    <s v="Renovação de CNH/06168326/693EECAE0ABE418D89C8/RDV"/>
    <x v="23"/>
    <s v=""/>
    <s v=""/>
    <s v=""/>
    <s v="4008430501"/>
    <s v="SXIDOCXI"/>
    <s v="6"/>
  </r>
  <r>
    <x v="0"/>
    <d v="2022-08-12T00:00:00"/>
    <x v="7"/>
    <s v="6829990"/>
    <s v="Other travel cost"/>
    <s v="MW09C21028"/>
    <s v="Segurança Industrial"/>
    <n v="170"/>
    <s v="Lavagem Veículo Emergencial Segurança Industrial/0"/>
    <x v="23"/>
    <s v=""/>
    <s v=""/>
    <s v=""/>
    <s v="4008430501"/>
    <s v="SXIDOCXI"/>
    <s v="3"/>
  </r>
  <r>
    <x v="0"/>
    <d v="2022-08-12T00:00:00"/>
    <x v="7"/>
    <s v="6822200"/>
    <s v="Milage allowance"/>
    <s v="MW09C21028"/>
    <s v="Segurança Industrial"/>
    <n v="94.6"/>
    <s v="Utilização de Veículo Particular/06168326/693EECAE"/>
    <x v="23"/>
    <s v=""/>
    <s v=""/>
    <s v=""/>
    <s v="4008430501"/>
    <s v="SXIDOCXI"/>
    <s v="8"/>
  </r>
  <r>
    <x v="0"/>
    <d v="2022-08-12T00:00:00"/>
    <x v="7"/>
    <s v="6829990"/>
    <s v="Other travel cost"/>
    <s v="MW09C21028"/>
    <s v="Segurança Industrial"/>
    <n v="73.5"/>
    <s v="Material de Limpeza Veículos Emergenciais Seguranç"/>
    <x v="22"/>
    <s v=""/>
    <s v=""/>
    <s v=""/>
    <s v="4008430502"/>
    <s v="SXIDOCXI"/>
    <s v="4"/>
  </r>
  <r>
    <x v="0"/>
    <d v="2022-08-12T00:00:00"/>
    <x v="7"/>
    <s v="6829990"/>
    <s v="Other travel cost"/>
    <s v="MW09C21028"/>
    <s v="Segurança Industrial"/>
    <n v="34.4"/>
    <s v="Utilização Veículo Executivo Segurança Industrial/"/>
    <x v="23"/>
    <s v=""/>
    <s v=""/>
    <s v=""/>
    <s v="4008430501"/>
    <s v="SXIDOCXI"/>
    <s v="7"/>
  </r>
  <r>
    <x v="0"/>
    <d v="2022-08-12T00:00:00"/>
    <x v="7"/>
    <s v="6829990"/>
    <s v="Other travel cost"/>
    <s v="MW09C21028"/>
    <s v="Segurança Industrial"/>
    <n v="27"/>
    <s v="Material Limpeza Veículos Emergenciais Segurança I"/>
    <x v="22"/>
    <s v=""/>
    <s v=""/>
    <s v=""/>
    <s v="4008430502"/>
    <s v="SXIDOCXI"/>
    <s v="3"/>
  </r>
  <r>
    <x v="0"/>
    <d v="2022-08-12T00:00:00"/>
    <x v="7"/>
    <s v="6829990"/>
    <s v="Other travel cost"/>
    <s v="MW09C21028"/>
    <s v="Segurança Industrial"/>
    <n v="7"/>
    <s v="Missão Administrativa/06168326/693EECAE0ABE418D89C"/>
    <x v="23"/>
    <s v=""/>
    <s v=""/>
    <s v=""/>
    <s v="4008430501"/>
    <s v="SXIDOCXI"/>
    <s v="5"/>
  </r>
  <r>
    <x v="0"/>
    <d v="2022-08-15T00:00:00"/>
    <x v="7"/>
    <s v="6701000"/>
    <s v="Training"/>
    <s v="MW09C21028"/>
    <s v="Segurança Industrial"/>
    <n v="666"/>
    <s v="Valor Training ref  Docto Nr  2869"/>
    <x v="74"/>
    <s v=""/>
    <s v=""/>
    <s v=""/>
    <s v="4008434746"/>
    <s v="GNEPP"/>
    <s v="1"/>
  </r>
  <r>
    <x v="0"/>
    <d v="2022-08-16T00:00:00"/>
    <x v="7"/>
    <s v="6032003"/>
    <s v="Pension Accrual."/>
    <s v="MW09C21028"/>
    <s v="Segurança Industrial"/>
    <n v="1882.92"/>
    <s v="Prov Pl. Pensão Ativos BCS 2022"/>
    <x v="47"/>
    <s v=""/>
    <s v=""/>
    <s v=""/>
    <s v="4008435271"/>
    <s v="EHFYM_FF"/>
    <s v="40"/>
  </r>
  <r>
    <x v="0"/>
    <d v="2022-08-16T00:00:00"/>
    <x v="7"/>
    <s v="6876000"/>
    <s v="Municip+regional tax"/>
    <s v="MW09C21028"/>
    <s v="Segurança Industrial"/>
    <n v="833.94"/>
    <s v="Segurança Industrial"/>
    <x v="69"/>
    <s v=""/>
    <s v=""/>
    <s v=""/>
    <s v="4008435269"/>
    <s v="EHFYM_FF"/>
    <s v="13"/>
  </r>
  <r>
    <x v="0"/>
    <d v="2022-08-16T00:00:00"/>
    <x v="7"/>
    <s v="6822200"/>
    <s v="Milage allowance"/>
    <s v="MW09C21028"/>
    <s v="Segurança Industrial"/>
    <n v="602"/>
    <s v="Utilização de Veículo Particular/06168296/4201D5C2"/>
    <x v="31"/>
    <s v=""/>
    <s v=""/>
    <s v=""/>
    <s v="4008435390"/>
    <s v="SXIDOCXI"/>
    <s v="1"/>
  </r>
  <r>
    <x v="0"/>
    <d v="2022-08-16T00:00:00"/>
    <x v="7"/>
    <s v="6032003"/>
    <s v="Pension Accrual."/>
    <s v="MW09C21028"/>
    <s v="Segurança Industrial"/>
    <n v="420.36"/>
    <s v="Prov Pl. Medico Efeito Ebit BCS 2022"/>
    <x v="48"/>
    <s v=""/>
    <s v=""/>
    <s v=""/>
    <s v="4008435272"/>
    <s v="EHFYM_FF"/>
    <s v="1"/>
  </r>
  <r>
    <x v="0"/>
    <d v="2022-08-16T00:00:00"/>
    <x v="7"/>
    <s v="6320000"/>
    <s v="Supplies"/>
    <s v="MW09C21028"/>
    <s v="Segurança Industrial"/>
    <n v="395"/>
    <s v="MATERIAIS (outros)"/>
    <x v="4"/>
    <s v=""/>
    <s v="660512843"/>
    <s v=""/>
    <s v="4008435482"/>
    <s v="GMGNT"/>
    <s v="2"/>
  </r>
  <r>
    <x v="0"/>
    <d v="2022-08-16T00:00:00"/>
    <x v="7"/>
    <s v="6821200"/>
    <s v="Food allowance"/>
    <s v="MW09C21028"/>
    <s v="Segurança Industrial"/>
    <n v="179.78"/>
    <s v="Reciclagem Curso Vigilante Starsec/06168296/4201D5"/>
    <x v="31"/>
    <s v=""/>
    <s v=""/>
    <s v=""/>
    <s v="4008435390"/>
    <s v="SXIDOCXI"/>
    <s v="2"/>
  </r>
  <r>
    <x v="0"/>
    <d v="2022-08-18T00:00:00"/>
    <x v="7"/>
    <s v="6200000"/>
    <s v="Maint &amp; Leg/Co.Compl"/>
    <s v="MW09C21028"/>
    <s v="Segurança Industrial"/>
    <n v="2914.5"/>
    <s v="SISTEMA TRONCALIZADO TETRA DAMM (2 repet"/>
    <x v="62"/>
    <s v=""/>
    <s v="660521948"/>
    <s v=""/>
    <s v="4008441763"/>
    <s v="GMGNH"/>
    <s v="1"/>
  </r>
  <r>
    <x v="0"/>
    <d v="2022-08-19T00:00:00"/>
    <x v="7"/>
    <s v="6831400"/>
    <s v="Catering"/>
    <s v="MW09C21028"/>
    <s v="Segurança Industrial"/>
    <n v="1185.92"/>
    <s v="Vr recup Serv Restaur Visitantes   Jul"/>
    <x v="15"/>
    <s v=""/>
    <s v=""/>
    <s v=""/>
    <s v="4008444058"/>
    <s v="GNZIM"/>
    <s v="29"/>
  </r>
  <r>
    <x v="0"/>
    <d v="2022-08-19T00:00:00"/>
    <x v="7"/>
    <s v="6831400"/>
    <s v="Catering"/>
    <s v="MW09C21028"/>
    <s v="Segurança Industrial"/>
    <n v="858.16"/>
    <s v="Vr recup Refeicoes Colaboradores   Jul"/>
    <x v="15"/>
    <s v=""/>
    <s v=""/>
    <s v=""/>
    <s v="4008444054"/>
    <s v="GNZIM"/>
    <s v="15"/>
  </r>
  <r>
    <x v="0"/>
    <d v="2022-08-19T00:00:00"/>
    <x v="7"/>
    <s v="6822300"/>
    <s v="Coll transp staff"/>
    <s v="MW09C21028"/>
    <s v="Segurança Industrial"/>
    <n v="774.65"/>
    <s v="Recup Transporte Colaboradores  Jul"/>
    <x v="15"/>
    <s v=""/>
    <s v=""/>
    <s v=""/>
    <s v="4008444054"/>
    <s v="GNZIM"/>
    <s v="29"/>
  </r>
  <r>
    <x v="0"/>
    <d v="2022-08-19T00:00:00"/>
    <x v="7"/>
    <s v="6831400"/>
    <s v="Catering"/>
    <s v="MW09C21028"/>
    <s v="Segurança Industrial"/>
    <n v="213.84"/>
    <s v="Vr recup Refeicoes Estagiarios   Jul"/>
    <x v="15"/>
    <s v=""/>
    <s v=""/>
    <s v=""/>
    <s v="4008444058"/>
    <s v="GNZIM"/>
    <s v="10"/>
  </r>
  <r>
    <x v="0"/>
    <d v="2022-08-20T00:00:00"/>
    <x v="7"/>
    <s v="6822100"/>
    <s v="Transp cost staff"/>
    <s v="MW09C21028"/>
    <s v="Segurança Industrial"/>
    <n v="699.43"/>
    <s v="Reciclagem Curso Vigilante Starsec/06166412/E3D444"/>
    <x v="87"/>
    <s v=""/>
    <s v=""/>
    <s v=""/>
    <s v="4008445139"/>
    <s v="SXIDOCXI"/>
    <s v="1"/>
  </r>
  <r>
    <x v="0"/>
    <d v="2022-08-20T00:00:00"/>
    <x v="7"/>
    <s v="6829990"/>
    <s v="Other travel cost"/>
    <s v="MW09C21028"/>
    <s v="Segurança Industrial"/>
    <n v="148.38999999999999"/>
    <s v="Abastecimento Veículo Emergencial Segurança Indust"/>
    <x v="87"/>
    <s v=""/>
    <s v=""/>
    <s v=""/>
    <s v="4008445138"/>
    <s v="SXIDOCXI"/>
    <s v="1"/>
  </r>
  <r>
    <x v="0"/>
    <d v="2022-08-20T00:00:00"/>
    <x v="7"/>
    <s v="6821200"/>
    <s v="Food allowance"/>
    <s v="MW09C21028"/>
    <s v="Segurança Industrial"/>
    <n v="91.63"/>
    <s v="Reciclagem Curso Vigilante Starsec/06166412/E3D444"/>
    <x v="87"/>
    <s v=""/>
    <s v=""/>
    <s v=""/>
    <s v="4008445139"/>
    <s v="SXIDOCXI"/>
    <s v="2"/>
  </r>
  <r>
    <x v="0"/>
    <d v="2022-08-21T00:00:00"/>
    <x v="7"/>
    <s v="6822200"/>
    <s v="Milage allowance"/>
    <s v="MW09C21028"/>
    <s v="Segurança Industrial"/>
    <n v="481.6"/>
    <s v="Utilização de Veículo Particular/06164223/FF90A5D1"/>
    <x v="25"/>
    <s v=""/>
    <s v=""/>
    <s v=""/>
    <s v="4008446966"/>
    <s v="SXIDOCXI"/>
    <s v="1"/>
  </r>
  <r>
    <x v="0"/>
    <d v="2022-08-21T00:00:00"/>
    <x v="7"/>
    <s v="6829990"/>
    <s v="Other travel cost"/>
    <s v="MW09C21028"/>
    <s v="Segurança Industrial"/>
    <n v="160"/>
    <s v="Manutenção Veículo Emergencial Segurança Industria"/>
    <x v="7"/>
    <s v=""/>
    <s v=""/>
    <s v=""/>
    <s v="4008446967"/>
    <s v="SXIDOCXI"/>
    <s v="1"/>
  </r>
  <r>
    <x v="0"/>
    <d v="2022-08-21T00:00:00"/>
    <x v="7"/>
    <s v="6822200"/>
    <s v="Milage allowance"/>
    <s v="MW09C21028"/>
    <s v="Segurança Industrial"/>
    <n v="100.8"/>
    <s v="Utilização de Veículo Particular/06164223/D0DF9434"/>
    <x v="25"/>
    <s v=""/>
    <s v=""/>
    <s v=""/>
    <s v="4008446965"/>
    <s v="SXIDOCXI"/>
    <s v="1"/>
  </r>
  <r>
    <x v="0"/>
    <d v="2022-08-23T00:00:00"/>
    <x v="7"/>
    <s v="6451000"/>
    <s v="Carrier Fees Voice"/>
    <s v="MW09C21028"/>
    <s v="Segurança Industrial"/>
    <n v="6500"/>
    <s v="Troca de equipamqnto IPad/06169225/B6FA768F86C8487"/>
    <x v="20"/>
    <s v=""/>
    <s v=""/>
    <s v=""/>
    <s v="4008448789"/>
    <s v="SXIDOCXI"/>
    <s v="12"/>
  </r>
  <r>
    <x v="0"/>
    <d v="2022-08-23T00:00:00"/>
    <x v="7"/>
    <s v="6829990"/>
    <s v="Other travel cost"/>
    <s v="MW09C21028"/>
    <s v="Segurança Industrial"/>
    <n v="2685.93"/>
    <s v="Abastecimento/06169225/B6FA768F86C8487E956A/RDVV F"/>
    <x v="20"/>
    <s v=""/>
    <s v=""/>
    <s v=""/>
    <s v="4008448789"/>
    <s v="SXIDOCXI"/>
    <s v="2"/>
  </r>
  <r>
    <x v="0"/>
    <d v="2022-08-23T00:00:00"/>
    <x v="7"/>
    <s v="6822200"/>
    <s v="Milage allowance"/>
    <s v="MW09C21028"/>
    <s v="Segurança Industrial"/>
    <n v="1032"/>
    <s v="Utilização de Veículo Particular/08547685/3ABBE367"/>
    <x v="21"/>
    <s v=""/>
    <s v=""/>
    <s v=""/>
    <s v="4008448801"/>
    <s v="SXIDOCXI"/>
    <s v="1"/>
  </r>
  <r>
    <x v="0"/>
    <d v="2022-08-23T00:00:00"/>
    <x v="7"/>
    <s v="6829990"/>
    <s v="Other travel cost"/>
    <s v="MW09C21028"/>
    <s v="Segurança Industrial"/>
    <n v="899"/>
    <s v="Instalação de acessório de segurança./06169225/B6F"/>
    <x v="20"/>
    <s v=""/>
    <s v=""/>
    <s v=""/>
    <s v="4008448789"/>
    <s v="SXIDOCXI"/>
    <s v="4"/>
  </r>
  <r>
    <x v="0"/>
    <d v="2022-08-23T00:00:00"/>
    <x v="7"/>
    <s v="6829990"/>
    <s v="Other travel cost"/>
    <s v="MW09C21028"/>
    <s v="Segurança Industrial"/>
    <n v="204.4"/>
    <s v="Mensalidade/Pedagio/Estacionamento/06169225/B6FA76"/>
    <x v="20"/>
    <s v=""/>
    <s v=""/>
    <s v=""/>
    <s v="4008448789"/>
    <s v="SXIDOCXI"/>
    <s v="9"/>
  </r>
  <r>
    <x v="0"/>
    <d v="2022-08-23T00:00:00"/>
    <x v="7"/>
    <s v="6829990"/>
    <s v="Other travel cost"/>
    <s v="MW09C21028"/>
    <s v="Segurança Industrial"/>
    <n v="110.9"/>
    <s v="Manutenção Preventiva/06169225/B6FA768F86C8487E956"/>
    <x v="20"/>
    <s v=""/>
    <s v=""/>
    <s v=""/>
    <s v="4008448789"/>
    <s v="SXIDOCXI"/>
    <s v="7"/>
  </r>
  <r>
    <x v="0"/>
    <d v="2022-08-23T00:00:00"/>
    <x v="7"/>
    <s v="6821200"/>
    <s v="Food allowance"/>
    <s v="MW09C21028"/>
    <s v="Segurança Industrial"/>
    <n v="90.5"/>
    <s v="Reciclagem Curso Vigilante Starsec/08547685/3ABBE3"/>
    <x v="21"/>
    <s v=""/>
    <s v=""/>
    <s v=""/>
    <s v="4008448801"/>
    <s v="SXIDOCXI"/>
    <s v="2"/>
  </r>
  <r>
    <x v="0"/>
    <d v="2022-08-23T00:00:00"/>
    <x v="7"/>
    <s v="6829990"/>
    <s v="Other travel cost"/>
    <s v="MW09C21028"/>
    <s v="Segurança Industrial"/>
    <n v="80"/>
    <s v="Lavagem/06169225/B6FA768F86C8487E956A/RDVV FARIAS/"/>
    <x v="20"/>
    <s v=""/>
    <s v=""/>
    <s v=""/>
    <s v="4008448789"/>
    <s v="SXIDOCXI"/>
    <s v="5"/>
  </r>
  <r>
    <x v="0"/>
    <d v="2022-08-23T00:00:00"/>
    <x v="7"/>
    <s v="6821200"/>
    <s v="Food allowance"/>
    <s v="MW09C21028"/>
    <s v="Segurança Industrial"/>
    <n v="66"/>
    <s v="Missão Executiva/06169225/B6FA768F86C8487E956A/RDV"/>
    <x v="20"/>
    <s v=""/>
    <s v=""/>
    <s v=""/>
    <s v="4008448789"/>
    <s v="SXIDOCXI"/>
    <s v="14"/>
  </r>
  <r>
    <x v="0"/>
    <d v="2022-08-23T00:00:00"/>
    <x v="7"/>
    <s v="6829990"/>
    <s v="Other travel cost"/>
    <s v="MW09C21028"/>
    <s v="Segurança Industrial"/>
    <n v="58.3"/>
    <s v="Documentação Processo Exército/06169225/B6FA768F86"/>
    <x v="20"/>
    <s v=""/>
    <s v=""/>
    <s v=""/>
    <s v="4008448789"/>
    <s v="SXIDOCXI"/>
    <s v="3"/>
  </r>
  <r>
    <x v="0"/>
    <d v="2022-08-23T00:00:00"/>
    <x v="7"/>
    <s v="6426100"/>
    <s v="Postage"/>
    <s v="MW09C21028"/>
    <s v="Segurança Industrial"/>
    <n v="45.8"/>
    <s v="Envio de equipamento para São Paulo/06169225/B6FA7"/>
    <x v="20"/>
    <s v=""/>
    <s v=""/>
    <s v=""/>
    <s v="4008448789"/>
    <s v="SXIDOCXI"/>
    <s v="13"/>
  </r>
  <r>
    <x v="0"/>
    <d v="2022-08-23T00:00:00"/>
    <x v="7"/>
    <s v="6829990"/>
    <s v="Other travel cost"/>
    <s v="MW09C21028"/>
    <s v="Segurança Industrial"/>
    <n v="25.7"/>
    <s v="Missão Administrativa/06169225/B6FA768F86C8487E956"/>
    <x v="20"/>
    <s v=""/>
    <s v=""/>
    <s v=""/>
    <s v="4008448789"/>
    <s v="SXIDOCXI"/>
    <s v="10"/>
  </r>
  <r>
    <x v="0"/>
    <d v="2022-08-26T00:00:00"/>
    <x v="7"/>
    <s v="6572000"/>
    <s v="Occup. safety serv"/>
    <s v="MW09C21028"/>
    <s v="Segurança Industrial"/>
    <n v="120.68"/>
    <s v="Valor Occup  safety serv ref  Docto Nr  50126"/>
    <x v="65"/>
    <s v=""/>
    <s v="660525950"/>
    <s v=""/>
    <s v="4008456244"/>
    <s v="GNEPP"/>
    <s v="12"/>
  </r>
  <r>
    <x v="0"/>
    <d v="2022-08-26T00:00:00"/>
    <x v="7"/>
    <s v="6420000"/>
    <s v="Transports"/>
    <s v="MW09C21028"/>
    <s v="Segurança Industrial"/>
    <n v="54"/>
    <s v="Valor Transports ref  Docto Nr  11576 0"/>
    <x v="85"/>
    <s v=""/>
    <s v="660526458"/>
    <s v=""/>
    <s v="4008456109"/>
    <s v="GNLUA"/>
    <s v="27"/>
  </r>
  <r>
    <x v="0"/>
    <d v="2022-08-26T00:00:00"/>
    <x v="7"/>
    <s v="6280000"/>
    <s v="Technic. spare parts"/>
    <s v="MW09C21028"/>
    <s v="Segurança Industrial"/>
    <n v="51.97"/>
    <s v="Saida de Material por Consumo"/>
    <x v="8"/>
    <s v=""/>
    <s v=""/>
    <s v=""/>
    <s v="4008456032"/>
    <s v="ERUCD"/>
    <s v="1"/>
  </r>
  <r>
    <x v="0"/>
    <d v="2022-08-29T00:00:00"/>
    <x v="7"/>
    <s v="6321000"/>
    <s v="General supplies"/>
    <s v="MW09C21028"/>
    <s v="Segurança Industrial"/>
    <n v="27.9"/>
    <s v="TINTA SPRAY PRETA FOSCO 350ML"/>
    <x v="8"/>
    <s v=""/>
    <s v=""/>
    <s v=""/>
    <s v="4008461784"/>
    <s v="ERUCD"/>
    <s v="1"/>
  </r>
  <r>
    <x v="0"/>
    <d v="2022-08-29T00:00:00"/>
    <x v="7"/>
    <s v="6280000"/>
    <s v="Technic. spare parts"/>
    <s v="MW09C21028"/>
    <s v="Segurança Industrial"/>
    <n v="26.33"/>
    <s v="ABRACADEIRA AUTO TRAV NYLON 203MM T50R"/>
    <x v="8"/>
    <s v=""/>
    <s v=""/>
    <s v=""/>
    <s v="4008461787"/>
    <s v="ERUCD"/>
    <s v="1"/>
  </r>
  <r>
    <x v="0"/>
    <d v="2022-08-30T00:00:00"/>
    <x v="7"/>
    <s v="6011000"/>
    <s v="Salaries"/>
    <s v="MW09C21028"/>
    <s v="Segurança Industrial"/>
    <n v="105498.06"/>
    <s v="37NA/37U/Salários"/>
    <x v="33"/>
    <s v=""/>
    <s v=""/>
    <s v=""/>
    <s v="4008462668"/>
    <s v="WWCAST1_HR"/>
    <s v="843"/>
  </r>
  <r>
    <x v="0"/>
    <d v="2022-08-30T00:00:00"/>
    <x v="7"/>
    <s v="6011000"/>
    <s v="Salaries"/>
    <s v="MW09C21028"/>
    <s v="Segurança Industrial"/>
    <n v="57883.22"/>
    <s v="37NC/37U/Salarios Outros"/>
    <x v="33"/>
    <s v=""/>
    <s v=""/>
    <s v=""/>
    <s v="4008462668"/>
    <s v="WWCAST1_HR"/>
    <s v="842"/>
  </r>
  <r>
    <x v="0"/>
    <d v="2022-08-30T00:00:00"/>
    <x v="7"/>
    <s v="6020300"/>
    <s v="Soc sec cont-severan"/>
    <s v="MW09C21028"/>
    <s v="Segurança Industrial"/>
    <n v="44296.32"/>
    <s v="37NP/37U/Contribuição Inst.de Previdência"/>
    <x v="33"/>
    <s v=""/>
    <s v=""/>
    <s v=""/>
    <s v="4008462668"/>
    <s v="WWCAST1_HR"/>
    <s v="835"/>
  </r>
  <r>
    <x v="0"/>
    <d v="2022-08-30T00:00:00"/>
    <x v="7"/>
    <s v="6011700"/>
    <s v="Overtime Premium-sal"/>
    <s v="MW09C21028"/>
    <s v="Segurança Industrial"/>
    <n v="29385.42"/>
    <s v="37NF/37U/Horas Extras"/>
    <x v="33"/>
    <s v=""/>
    <s v=""/>
    <s v=""/>
    <s v="4008462668"/>
    <s v="WWCAST1_HR"/>
    <s v="832"/>
  </r>
  <r>
    <x v="0"/>
    <d v="2022-08-30T00:00:00"/>
    <x v="7"/>
    <s v="6011100"/>
    <s v="Vacation Comp-Sal"/>
    <s v="MW09C21028"/>
    <s v="Segurança Industrial"/>
    <n v="26206.83"/>
    <s v="37NN/37U/Provisão Pagto Férias DL 1730/79"/>
    <x v="33"/>
    <s v=""/>
    <s v=""/>
    <s v=""/>
    <s v="4008462668"/>
    <s v="WWCAST1_HR"/>
    <s v="840"/>
  </r>
  <r>
    <x v="0"/>
    <d v="2022-08-30T00:00:00"/>
    <x v="7"/>
    <s v="8262000"/>
    <s v="FAM Settl Serv (Ext)"/>
    <s v="MW09C21028"/>
    <s v="Segurança Industrial"/>
    <n v="20786.84"/>
    <s v="CTR H353/MW09C21028"/>
    <x v="41"/>
    <s v="Reparos acidene tubul Incendio"/>
    <s v=""/>
    <s v="Order"/>
    <s v="4600138390"/>
    <s v="SXFTMRB0"/>
    <s v="2"/>
  </r>
  <r>
    <x v="0"/>
    <d v="2022-08-30T00:00:00"/>
    <x v="7"/>
    <s v="6011530"/>
    <s v="13th month rem sal"/>
    <s v="MW09C21028"/>
    <s v="Segurança Industrial"/>
    <n v="19394.7"/>
    <s v="37NI/37U/13º Salário"/>
    <x v="33"/>
    <s v=""/>
    <s v=""/>
    <s v=""/>
    <s v="4008462668"/>
    <s v="WWCAST1_HR"/>
    <s v="838"/>
  </r>
  <r>
    <x v="0"/>
    <d v="2022-08-30T00:00:00"/>
    <x v="7"/>
    <s v="6020220"/>
    <s v="Unemployment fund"/>
    <s v="MW09C21028"/>
    <s v="Segurança Industrial"/>
    <n v="15611.04"/>
    <s v="37OF/37U/Desp.FGTS Diferença 10% C/Liminar"/>
    <x v="33"/>
    <s v=""/>
    <s v=""/>
    <s v=""/>
    <s v="4008462668"/>
    <s v="WWCAST1_HR"/>
    <s v="767"/>
  </r>
  <r>
    <x v="0"/>
    <d v="2022-08-30T00:00:00"/>
    <x v="7"/>
    <s v="8262000"/>
    <s v="FAM Settl Serv (Ext)"/>
    <s v="MW09C21028"/>
    <s v="Segurança Industrial"/>
    <n v="14652.71"/>
    <s v="CTR H353/MW09C21028"/>
    <x v="41"/>
    <s v="IE MW09C21028 SEG INDUSTRIAL - 2022"/>
    <s v=""/>
    <s v="Order"/>
    <s v="4600138389"/>
    <s v="SXFTMRB0"/>
    <s v="2"/>
  </r>
  <r>
    <x v="0"/>
    <d v="2022-08-30T00:00:00"/>
    <x v="7"/>
    <s v="6020350"/>
    <s v="Accr soc-sec. contr."/>
    <s v="MW09C21028"/>
    <s v="Segurança Industrial"/>
    <n v="9056.44"/>
    <s v="37OD/37U/Provisão Encargos Sociais S/Férias DL 173"/>
    <x v="33"/>
    <s v=""/>
    <s v=""/>
    <s v=""/>
    <s v="4008462668"/>
    <s v="WWCAST1_HR"/>
    <s v="841"/>
  </r>
  <r>
    <x v="0"/>
    <d v="2022-08-30T00:00:00"/>
    <x v="7"/>
    <s v="8261000"/>
    <s v="FAM Settl Prim Mat"/>
    <s v="MW09C21028"/>
    <s v="Segurança Industrial"/>
    <n v="8624.8799999999992"/>
    <s v="CTR H353/MW09C21028"/>
    <x v="41"/>
    <s v="Reparo - Portão Estacionamento"/>
    <s v=""/>
    <s v="Order"/>
    <s v="4600138165"/>
    <s v="SXFTM000"/>
    <s v="2"/>
  </r>
  <r>
    <x v="0"/>
    <d v="2022-08-30T00:00:00"/>
    <x v="7"/>
    <s v="6020320"/>
    <s v="Contingency fund"/>
    <s v="MW09C21028"/>
    <s v="Segurança Industrial"/>
    <n v="7123.7"/>
    <s v="37PE/37U/Encargos sobre 13o salário"/>
    <x v="33"/>
    <s v=""/>
    <s v=""/>
    <s v=""/>
    <s v="4008462668"/>
    <s v="WWCAST1_HR"/>
    <s v="839"/>
  </r>
  <r>
    <x v="0"/>
    <d v="2022-08-30T00:00:00"/>
    <x v="7"/>
    <s v="6021130"/>
    <s v="Pay Ins Accid sal"/>
    <s v="MW09C21028"/>
    <s v="Segurança Industrial"/>
    <n v="7061.26"/>
    <s v="37NY/37U/Seguro Contra Acidentes de Trabalho"/>
    <x v="33"/>
    <s v=""/>
    <s v=""/>
    <s v=""/>
    <s v="4008462668"/>
    <s v="WWCAST1_HR"/>
    <s v="836"/>
  </r>
  <r>
    <x v="0"/>
    <d v="2022-08-30T00:00:00"/>
    <x v="7"/>
    <s v="6020300"/>
    <s v="Soc sec cont-severan"/>
    <s v="MW09C21028"/>
    <s v="Segurança Industrial"/>
    <n v="6439.55"/>
    <s v="37NX/37U/Salário Educação LEI 4440/64"/>
    <x v="33"/>
    <s v=""/>
    <s v=""/>
    <s v=""/>
    <s v="4008462668"/>
    <s v="WWCAST1_HR"/>
    <s v="837"/>
  </r>
  <r>
    <x v="0"/>
    <d v="2022-08-30T00:00:00"/>
    <x v="7"/>
    <s v="6042050"/>
    <s v="Rem. limited dur."/>
    <s v="MW09C21028"/>
    <s v="Segurança Industrial"/>
    <n v="6424.13"/>
    <s v="37NA/37W/Salários"/>
    <x v="33"/>
    <s v=""/>
    <s v=""/>
    <s v=""/>
    <s v="4008462668"/>
    <s v="WWCAST1_HR"/>
    <s v="71"/>
  </r>
  <r>
    <x v="0"/>
    <d v="2022-08-30T00:00:00"/>
    <x v="7"/>
    <s v="8261000"/>
    <s v="FAM Settl Prim Mat"/>
    <s v="MW09C21028"/>
    <s v="Segurança Industrial"/>
    <n v="5832.33"/>
    <s v="CTR H353/MW09C21028"/>
    <x v="41"/>
    <s v="IE MW09C21028 SEG INDUSTRIAL - 2022"/>
    <s v=""/>
    <s v="Order"/>
    <s v="4600138163"/>
    <s v="SXFTM000"/>
    <s v="2"/>
  </r>
  <r>
    <x v="0"/>
    <d v="2022-08-30T00:00:00"/>
    <x v="7"/>
    <s v="6032730"/>
    <s v="Exp emp con-ded"/>
    <s v="MW09C21028"/>
    <s v="Segurança Industrial"/>
    <n v="5715.28"/>
    <s v="37PA/37U/Contribuição a Previdencia Privada"/>
    <x v="33"/>
    <s v=""/>
    <s v=""/>
    <s v=""/>
    <s v="4008462668"/>
    <s v="WWCAST1_HR"/>
    <s v="834"/>
  </r>
  <r>
    <x v="0"/>
    <d v="2022-08-30T00:00:00"/>
    <x v="7"/>
    <s v="6011700"/>
    <s v="Overtime Premium-sal"/>
    <s v="MW09C21028"/>
    <s v="Segurança Industrial"/>
    <n v="3940.49"/>
    <s v="37NG/37U/Horas Extras Revezamento"/>
    <x v="33"/>
    <s v=""/>
    <s v=""/>
    <s v=""/>
    <s v="4008462668"/>
    <s v="WWCAST1_HR"/>
    <s v="845"/>
  </r>
  <r>
    <x v="0"/>
    <d v="2022-08-30T00:00:00"/>
    <x v="7"/>
    <s v="8261000"/>
    <s v="FAM Settl Prim Mat"/>
    <s v="MW09C21028"/>
    <s v="Segurança Industrial"/>
    <n v="3632.4"/>
    <s v="CTR H353/MW09C21028"/>
    <x v="41"/>
    <s v="IE MAN REDE DE INCÊNDIO 2022 (21028)"/>
    <s v=""/>
    <s v="Order"/>
    <s v="4600138164"/>
    <s v="SXFTM000"/>
    <s v="2"/>
  </r>
  <r>
    <x v="0"/>
    <d v="2022-08-30T00:00:00"/>
    <x v="7"/>
    <s v="6061000"/>
    <s v="Allow for prec. Job"/>
    <s v="MW09C21028"/>
    <s v="Segurança Industrial"/>
    <n v="3239.05"/>
    <s v="37NC/37W/Salarios Outros"/>
    <x v="33"/>
    <s v=""/>
    <s v=""/>
    <s v=""/>
    <s v="4008462668"/>
    <s v="WWCAST1_HR"/>
    <s v="70"/>
  </r>
  <r>
    <x v="0"/>
    <d v="2022-08-30T00:00:00"/>
    <x v="7"/>
    <s v="6020360"/>
    <s v="Employer cont pens p"/>
    <s v="MW09C21028"/>
    <s v="Segurança Industrial"/>
    <n v="2771.3"/>
    <s v="37NP/37W/Contribuição Inst.de Previdência"/>
    <x v="33"/>
    <s v=""/>
    <s v=""/>
    <s v=""/>
    <s v="4008462667"/>
    <s v="WWCAST1_HR"/>
    <s v="982"/>
  </r>
  <r>
    <x v="0"/>
    <d v="2022-08-30T00:00:00"/>
    <x v="7"/>
    <s v="6042050"/>
    <s v="Rem. limited dur."/>
    <s v="MW09C21028"/>
    <s v="Segurança Industrial"/>
    <n v="2386"/>
    <s v="37NF/37W/Horas Extras"/>
    <x v="33"/>
    <s v=""/>
    <s v=""/>
    <s v=""/>
    <s v="4008462667"/>
    <s v="WWCAST1_HR"/>
    <s v="979"/>
  </r>
  <r>
    <x v="0"/>
    <d v="2022-08-30T00:00:00"/>
    <x v="7"/>
    <s v="8262000"/>
    <s v="FAM Settl Serv (Ext)"/>
    <s v="MW09C21028"/>
    <s v="Segurança Industrial"/>
    <n v="2236.21"/>
    <s v="CTR H353/MW09C21028"/>
    <x v="41"/>
    <s v="2022 SERVIÇOS DE LUBRIFICAÇÃO SEGURANÇA"/>
    <s v=""/>
    <s v="Order"/>
    <s v="4600138388"/>
    <s v="SXFTMRB0"/>
    <s v="2"/>
  </r>
  <r>
    <x v="0"/>
    <d v="2022-08-30T00:00:00"/>
    <x v="7"/>
    <s v="6043100"/>
    <s v="Pay apprenticeship"/>
    <s v="MW09C21028"/>
    <s v="Segurança Industrial"/>
    <n v="2000"/>
    <s v="37OU/37W/Serviço de Estagiário-PF"/>
    <x v="33"/>
    <s v=""/>
    <s v=""/>
    <s v=""/>
    <s v="4008462667"/>
    <s v="WWCAST1_HR"/>
    <s v="81"/>
  </r>
  <r>
    <x v="0"/>
    <d v="2022-08-30T00:00:00"/>
    <x v="7"/>
    <s v="6052340"/>
    <s v="Soc. security contr."/>
    <s v="MW09C21028"/>
    <s v="Segurança Industrial"/>
    <n v="1407.81"/>
    <s v="37NN/37W/Provisão Pagto Férias DL 1730/79"/>
    <x v="33"/>
    <s v=""/>
    <s v=""/>
    <s v=""/>
    <s v="4008462668"/>
    <s v="WWCAST1_HR"/>
    <s v="68"/>
  </r>
  <r>
    <x v="0"/>
    <d v="2022-08-30T00:00:00"/>
    <x v="7"/>
    <s v="6039300"/>
    <s v="Oth emp benefits"/>
    <s v="MW09C21028"/>
    <s v="Segurança Industrial"/>
    <n v="1321"/>
    <s v="37OR/37U/Outras Despesas Sociais"/>
    <x v="33"/>
    <s v=""/>
    <s v=""/>
    <s v=""/>
    <s v="4008462668"/>
    <s v="WWCAST1_HR"/>
    <s v="851"/>
  </r>
  <r>
    <x v="0"/>
    <d v="2022-08-30T00:00:00"/>
    <x v="7"/>
    <s v="8261000"/>
    <s v="FAM Settl Prim Mat"/>
    <s v="MW09C21028"/>
    <s v="Segurança Industrial"/>
    <n v="1136.58"/>
    <s v="CTR H353/MW09C21028"/>
    <x v="41"/>
    <s v="MAN 2022 SÓ ACUMULADORES"/>
    <s v=""/>
    <s v="Order"/>
    <s v="4600138167"/>
    <s v="SXFTM000"/>
    <s v="4"/>
  </r>
  <r>
    <x v="0"/>
    <d v="2022-08-30T00:00:00"/>
    <x v="7"/>
    <s v="6042100"/>
    <s v="RemTM yearly premium"/>
    <s v="MW09C21028"/>
    <s v="Segurança Industrial"/>
    <n v="1087.6600000000001"/>
    <s v="37NI/37W/13º Salário"/>
    <x v="33"/>
    <s v=""/>
    <s v=""/>
    <s v=""/>
    <s v="4008462668"/>
    <s v="WWCAST1_HR"/>
    <s v="66"/>
  </r>
  <r>
    <x v="0"/>
    <d v="2022-08-30T00:00:00"/>
    <x v="7"/>
    <s v="6052340"/>
    <s v="Soc. security contr."/>
    <s v="MW09C21028"/>
    <s v="Segurança Industrial"/>
    <n v="976.67"/>
    <s v="37OF/37W/Desp.FGTS Diferença 10% C/Liminar"/>
    <x v="33"/>
    <s v=""/>
    <s v=""/>
    <s v=""/>
    <s v="4008462667"/>
    <s v="WWCAST1_HR"/>
    <s v="977"/>
  </r>
  <r>
    <x v="0"/>
    <d v="2022-08-30T00:00:00"/>
    <x v="7"/>
    <s v="8261000"/>
    <s v="FAM Settl Prim Mat"/>
    <s v="MW09C21028"/>
    <s v="Segurança Industrial"/>
    <n v="902.08"/>
    <s v="CTR H353/MW09C21028"/>
    <x v="41"/>
    <s v="Locação de plataforma 2022"/>
    <s v=""/>
    <s v="Order"/>
    <s v="4600137932"/>
    <s v="SXFTM000"/>
    <s v="6"/>
  </r>
  <r>
    <x v="0"/>
    <d v="2022-08-30T00:00:00"/>
    <x v="7"/>
    <s v="6321000"/>
    <s v="General supplies"/>
    <s v="MW09C21028"/>
    <s v="Segurança Industrial"/>
    <n v="812.26"/>
    <s v="CONSUMO JUL 2022"/>
    <x v="8"/>
    <s v=""/>
    <s v=""/>
    <s v=""/>
    <s v="4008464342"/>
    <s v="BRMCF"/>
    <s v="1"/>
  </r>
  <r>
    <x v="0"/>
    <d v="2022-08-30T00:00:00"/>
    <x v="7"/>
    <s v="8262000"/>
    <s v="FAM Settl Serv (Ext)"/>
    <s v="MW09C21028"/>
    <s v="Segurança Industrial"/>
    <n v="694.39"/>
    <s v="CTR H353/MW09C21028"/>
    <x v="41"/>
    <s v="IE MW09C21028 SEG INDUSTRIAL - 2022"/>
    <s v=""/>
    <s v="Order"/>
    <s v="4600138163"/>
    <s v="SXFTM000"/>
    <s v="4"/>
  </r>
  <r>
    <x v="0"/>
    <d v="2022-08-30T00:00:00"/>
    <x v="7"/>
    <s v="6779000"/>
    <s v="Serv. cust. &amp; excise"/>
    <s v="MW09C21028"/>
    <s v="Segurança Industrial"/>
    <n v="555.75"/>
    <s v="Reclassif. FEE 368786"/>
    <x v="63"/>
    <s v=""/>
    <s v=""/>
    <s v=""/>
    <s v="4008463656"/>
    <s v="GNPRP"/>
    <s v="44"/>
  </r>
  <r>
    <x v="0"/>
    <d v="2022-08-30T00:00:00"/>
    <x v="7"/>
    <s v="6052340"/>
    <s v="Soc. security contr."/>
    <s v="MW09C21028"/>
    <s v="Segurança Industrial"/>
    <n v="517.09"/>
    <s v="37OD/37W/Provisão Encargos Sociais S/Férias DL 173"/>
    <x v="33"/>
    <s v=""/>
    <s v=""/>
    <s v=""/>
    <s v="4008462668"/>
    <s v="WWCAST1_HR"/>
    <s v="69"/>
  </r>
  <r>
    <x v="0"/>
    <d v="2022-08-30T00:00:00"/>
    <x v="7"/>
    <s v="6052400"/>
    <s v="Soc Contr 'oth'"/>
    <s v="MW09C21028"/>
    <s v="Segurança Industrial"/>
    <n v="402.88"/>
    <s v="37NX/37W/Salário Educação LEI 4440/64"/>
    <x v="33"/>
    <s v=""/>
    <s v=""/>
    <s v=""/>
    <s v="4008462668"/>
    <s v="WWCAST1_HR"/>
    <s v="65"/>
  </r>
  <r>
    <x v="0"/>
    <d v="2022-08-30T00:00:00"/>
    <x v="7"/>
    <s v="6052400"/>
    <s v="Soc Contr 'oth'"/>
    <s v="MW09C21028"/>
    <s v="Segurança Industrial"/>
    <n v="399.48"/>
    <s v="37PE/37W/Encargos sobre 13o salário"/>
    <x v="33"/>
    <s v=""/>
    <s v=""/>
    <s v=""/>
    <s v="4008462668"/>
    <s v="WWCAST1_HR"/>
    <s v="67"/>
  </r>
  <r>
    <x v="0"/>
    <d v="2022-08-30T00:00:00"/>
    <x v="7"/>
    <s v="6021130"/>
    <s v="Pay Ins Accid sal"/>
    <s v="MW09C21028"/>
    <s v="Segurança Industrial"/>
    <n v="361.72"/>
    <s v="37NY/37W/Seguro Contra Acidentes de Trabalho"/>
    <x v="33"/>
    <s v=""/>
    <s v=""/>
    <s v=""/>
    <s v="4008462667"/>
    <s v="WWCAST1_HR"/>
    <s v="983"/>
  </r>
  <r>
    <x v="0"/>
    <d v="2022-08-30T00:00:00"/>
    <x v="7"/>
    <s v="6042050"/>
    <s v="Rem. limited dur."/>
    <s v="MW09C21028"/>
    <s v="Segurança Industrial"/>
    <n v="159.22"/>
    <s v="37NG/37W/Horas Extras Revezamento"/>
    <x v="33"/>
    <s v=""/>
    <s v=""/>
    <s v=""/>
    <s v="4008462668"/>
    <s v="WWCAST1_HR"/>
    <s v="74"/>
  </r>
  <r>
    <x v="0"/>
    <d v="2022-08-30T00:00:00"/>
    <x v="7"/>
    <s v="6779000"/>
    <s v="Serv. cust. &amp; excise"/>
    <s v="MW09C21028"/>
    <s v="Segurança Industrial"/>
    <n v="100"/>
    <s v="Reclassif. Despachante 40669"/>
    <x v="63"/>
    <s v=""/>
    <s v=""/>
    <s v=""/>
    <s v="4008463651"/>
    <s v="GNPRP"/>
    <s v="4"/>
  </r>
  <r>
    <x v="0"/>
    <d v="2022-08-30T00:00:00"/>
    <x v="7"/>
    <s v="6032730"/>
    <s v="Exp emp con-ded"/>
    <s v="MW09C21028"/>
    <s v="Segurança Industrial"/>
    <n v="74.099999999999994"/>
    <s v="37PA/37W/Contribuição a Previdencia Privada"/>
    <x v="33"/>
    <s v=""/>
    <s v=""/>
    <s v=""/>
    <s v="4008462667"/>
    <s v="WWCAST1_HR"/>
    <s v="981"/>
  </r>
  <r>
    <x v="0"/>
    <d v="2022-08-30T00:00:00"/>
    <x v="7"/>
    <s v="6031130"/>
    <s v="Group ins salaries"/>
    <s v="MW09C21028"/>
    <s v="Segurança Industrial"/>
    <n v="-26.61"/>
    <s v="37OG/37W/Seguro de Vida Acidentes Pessoais em Grup"/>
    <x v="34"/>
    <s v=""/>
    <s v=""/>
    <s v=""/>
    <s v="4008462667"/>
    <s v="WWCAST1_HR"/>
    <s v="980"/>
  </r>
  <r>
    <x v="0"/>
    <d v="2022-08-30T00:00:00"/>
    <x v="7"/>
    <s v="6039300"/>
    <s v="Oth emp benefits"/>
    <s v="MW09C21028"/>
    <s v="Segurança Industrial"/>
    <n v="-59.9"/>
    <s v="37OR/37W/Outras Despesas Sociais"/>
    <x v="34"/>
    <s v=""/>
    <s v=""/>
    <s v=""/>
    <s v="4008462667"/>
    <s v="WWCAST1_HR"/>
    <s v="82"/>
  </r>
  <r>
    <x v="0"/>
    <d v="2022-08-30T00:00:00"/>
    <x v="7"/>
    <s v="6021550"/>
    <s v="Health ben sal"/>
    <s v="MW09C21028"/>
    <s v="Segurança Industrial"/>
    <n v="-66.150000000000006"/>
    <s v="37OS/37W/Reembolso Co-Participação Assistência Méd"/>
    <x v="34"/>
    <s v=""/>
    <s v=""/>
    <s v=""/>
    <s v="4008462668"/>
    <s v="WWCAST1_HR"/>
    <s v="72"/>
  </r>
  <r>
    <x v="0"/>
    <d v="2022-08-30T00:00:00"/>
    <x v="7"/>
    <s v="6716000"/>
    <s v="Food f. Empl."/>
    <s v="MW09C21028"/>
    <s v="Segurança Industrial"/>
    <n v="-90.31"/>
    <s v="37OV/37W/Recuperação por Refeições Fornecidas"/>
    <x v="34"/>
    <s v=""/>
    <s v=""/>
    <s v=""/>
    <s v="4008462668"/>
    <s v="WWCAST1_HR"/>
    <s v="73"/>
  </r>
  <r>
    <x v="0"/>
    <d v="2022-08-30T00:00:00"/>
    <x v="7"/>
    <s v="6021550"/>
    <s v="Health ben sal"/>
    <s v="MW09C21028"/>
    <s v="Segurança Industrial"/>
    <n v="-133.97999999999999"/>
    <s v="37OJ/37W/Assistência Odontológica  -   Ativos"/>
    <x v="34"/>
    <s v=""/>
    <s v=""/>
    <s v=""/>
    <s v="4008462667"/>
    <s v="WWCAST1_HR"/>
    <s v="467"/>
  </r>
  <r>
    <x v="0"/>
    <d v="2022-08-30T00:00:00"/>
    <x v="7"/>
    <s v="6822300"/>
    <s v="Coll transp staff"/>
    <s v="MW09C21028"/>
    <s v="Segurança Industrial"/>
    <n v="-219.27"/>
    <s v="37OK/37W/Transportes Colaboradores PJ"/>
    <x v="34"/>
    <s v=""/>
    <s v=""/>
    <s v=""/>
    <s v="4008462667"/>
    <s v="WWCAST1_HR"/>
    <s v="978"/>
  </r>
  <r>
    <x v="0"/>
    <d v="2022-08-30T00:00:00"/>
    <x v="7"/>
    <s v="6021550"/>
    <s v="Health ben sal"/>
    <s v="MW09C21028"/>
    <s v="Segurança Industrial"/>
    <n v="-473.46"/>
    <s v="37OI/37U/Assistência Médica/Hospitalar PJ"/>
    <x v="34"/>
    <s v=""/>
    <s v=""/>
    <s v=""/>
    <s v="4008462668"/>
    <s v="WWCAST1_HR"/>
    <s v="852"/>
  </r>
  <r>
    <x v="0"/>
    <d v="2022-08-30T00:00:00"/>
    <x v="7"/>
    <s v="6031130"/>
    <s v="Group ins salaries"/>
    <s v="MW09C21028"/>
    <s v="Segurança Industrial"/>
    <n v="-487.78"/>
    <s v="37OG/37U/Seguro de Vida Acidentes Pessoais em Grup"/>
    <x v="34"/>
    <s v=""/>
    <s v=""/>
    <s v=""/>
    <s v="4008462668"/>
    <s v="WWCAST1_HR"/>
    <s v="833"/>
  </r>
  <r>
    <x v="0"/>
    <d v="2022-08-30T00:00:00"/>
    <x v="7"/>
    <s v="6021550"/>
    <s v="Health ben sal"/>
    <s v="MW09C21028"/>
    <s v="Segurança Industrial"/>
    <n v="-625.24"/>
    <s v="37OJ/37U/Assistência Odontológica  -   Ativos"/>
    <x v="34"/>
    <s v=""/>
    <s v=""/>
    <s v=""/>
    <s v="4008462668"/>
    <s v="WWCAST1_HR"/>
    <s v="640"/>
  </r>
  <r>
    <x v="0"/>
    <d v="2022-08-30T00:00:00"/>
    <x v="7"/>
    <s v="6021550"/>
    <s v="Health ben sal"/>
    <s v="MW09C21028"/>
    <s v="Segurança Industrial"/>
    <n v="-751.16"/>
    <s v="37OS/37U/Reembolso Co-Participação Assistência Méd"/>
    <x v="34"/>
    <s v=""/>
    <s v=""/>
    <s v=""/>
    <s v="4008462668"/>
    <s v="WWCAST1_HR"/>
    <s v="844"/>
  </r>
  <r>
    <x v="0"/>
    <d v="2022-08-30T00:00:00"/>
    <x v="7"/>
    <s v="6716000"/>
    <s v="Food f. Empl."/>
    <s v="MW09C21028"/>
    <s v="Segurança Industrial"/>
    <n v="-852.48"/>
    <s v="37OV/37U/Recuperação por Refeições Fornecidas"/>
    <x v="34"/>
    <s v=""/>
    <s v=""/>
    <s v=""/>
    <s v="4008462668"/>
    <s v="WWCAST1_HR"/>
    <s v="848"/>
  </r>
  <r>
    <x v="0"/>
    <d v="2022-08-30T00:00:00"/>
    <x v="7"/>
    <s v="6822300"/>
    <s v="Coll transp staff"/>
    <s v="MW09C21028"/>
    <s v="Segurança Industrial"/>
    <n v="-1126.57"/>
    <s v="37OK/37U/Transportes Colaboradores PJ"/>
    <x v="34"/>
    <s v=""/>
    <s v=""/>
    <s v=""/>
    <s v="4008462668"/>
    <s v="WWCAST1_HR"/>
    <s v="850"/>
  </r>
  <r>
    <x v="0"/>
    <d v="2022-08-31T00:00:00"/>
    <x v="7"/>
    <s v="6622400"/>
    <s v="Depr Infrastructure"/>
    <s v="MW09C21028"/>
    <s v="Segurança Industrial"/>
    <n v="97364.74"/>
    <s v="AFB30202200801 0000000063"/>
    <x v="35"/>
    <s v=""/>
    <s v=""/>
    <s v=""/>
    <s v="4008464820"/>
    <s v="SXFTMRB0"/>
    <s v="9"/>
  </r>
  <r>
    <x v="0"/>
    <d v="2022-08-31T00:00:00"/>
    <x v="7"/>
    <s v="6622000"/>
    <s v="Depr Buildings"/>
    <s v="MW09C21028"/>
    <s v="Segurança Industrial"/>
    <n v="28230.46"/>
    <s v="AFB30202200801 0000000062"/>
    <x v="36"/>
    <s v=""/>
    <s v=""/>
    <s v=""/>
    <s v="4008464819"/>
    <s v="SXFTMRB0"/>
    <s v="33"/>
  </r>
  <r>
    <x v="0"/>
    <d v="2022-08-31T00:00:00"/>
    <x v="7"/>
    <s v="6012500"/>
    <s v="Bonuses workers"/>
    <s v="MW09C21028"/>
    <s v="Segurança Industrial"/>
    <n v="22438.880000000001"/>
    <s v="Lancto RH Bonuses workers"/>
    <x v="45"/>
    <s v=""/>
    <s v=""/>
    <s v=""/>
    <s v="4008468083"/>
    <s v="BRZFX_HR"/>
    <s v="59"/>
  </r>
  <r>
    <x v="0"/>
    <d v="2022-08-31T00:00:00"/>
    <x v="7"/>
    <s v="6624030"/>
    <s v="Depr Transp."/>
    <s v="MW09C21028"/>
    <s v="Segurança Industrial"/>
    <n v="21907.24"/>
    <s v="AFB30202200801 0000000065"/>
    <x v="61"/>
    <s v=""/>
    <s v=""/>
    <s v=""/>
    <s v="4008464823"/>
    <s v="SXFTMRB0"/>
    <s v="11"/>
  </r>
  <r>
    <x v="0"/>
    <d v="2022-08-31T00:00:00"/>
    <x v="7"/>
    <s v="6624010"/>
    <s v="Depr IT-Hardware"/>
    <s v="MW09C21028"/>
    <s v="Segurança Industrial"/>
    <n v="14459.13"/>
    <s v="AFB30202200801 0000000064"/>
    <x v="38"/>
    <s v=""/>
    <s v=""/>
    <s v=""/>
    <s v="4008464821"/>
    <s v="SXFTMRB0"/>
    <s v="39"/>
  </r>
  <r>
    <x v="0"/>
    <d v="2022-08-31T00:00:00"/>
    <x v="7"/>
    <s v="6890000"/>
    <s v="3d party pers"/>
    <s v="MW09C21028"/>
    <s v="Segurança Industrial"/>
    <n v="5134.8100000000004"/>
    <s v="Valor 3d party pers ref  Docto Nr  44724"/>
    <x v="37"/>
    <s v=""/>
    <s v="660526172"/>
    <s v=""/>
    <s v="4008468490"/>
    <s v="GEMKD"/>
    <s v="5"/>
  </r>
  <r>
    <x v="0"/>
    <d v="2022-08-31T00:00:00"/>
    <x v="7"/>
    <s v="6011500"/>
    <s v="Bonuses"/>
    <s v="MW09C21028"/>
    <s v="Segurança Industrial"/>
    <n v="3396.12"/>
    <s v="Lancto RH Bonuses"/>
    <x v="45"/>
    <s v=""/>
    <s v=""/>
    <s v=""/>
    <s v="4008468083"/>
    <s v="BRZFX_HR"/>
    <s v="19"/>
  </r>
  <r>
    <x v="0"/>
    <d v="2022-08-31T00:00:00"/>
    <x v="7"/>
    <s v="6623000"/>
    <s v="Depr Mach/tech Prod"/>
    <s v="MW09C21028"/>
    <s v="Segurança Industrial"/>
    <n v="1793.55"/>
    <s v="AFB30202200801 0000000063"/>
    <x v="35"/>
    <s v=""/>
    <s v=""/>
    <s v=""/>
    <s v="4008464820"/>
    <s v="SXFTMRB0"/>
    <s v="51"/>
  </r>
  <r>
    <x v="0"/>
    <d v="2022-08-31T00:00:00"/>
    <x v="7"/>
    <s v="6629004"/>
    <s v="LVA Tangible Exp"/>
    <s v="MW09C21028"/>
    <s v="Segurança Industrial"/>
    <n v="438.9"/>
    <s v="Valor LVA Tangible Exp ref  Docto Nr  1978"/>
    <x v="5"/>
    <s v=""/>
    <s v="660515303"/>
    <s v=""/>
    <s v="4008468897"/>
    <s v="GMGNH"/>
    <s v="1"/>
  </r>
  <r>
    <x v="0"/>
    <d v="2022-08-31T00:00:00"/>
    <x v="7"/>
    <s v="6624000"/>
    <s v="Depr F/Fix"/>
    <s v="MW09C21028"/>
    <s v="Segurança Industrial"/>
    <n v="152.9"/>
    <s v="AFB30202200801 0000000064"/>
    <x v="38"/>
    <s v=""/>
    <s v=""/>
    <s v=""/>
    <s v="4008464821"/>
    <s v="SXFTMRB0"/>
    <s v="7"/>
  </r>
  <r>
    <x v="0"/>
    <d v="2022-08-31T00:00:00"/>
    <x v="7"/>
    <s v="6629004"/>
    <s v="LVA Tangible Exp"/>
    <s v="MW09C21028"/>
    <s v="Segurança Industrial"/>
    <n v="-438.9"/>
    <s v="MANUT.RET E BATERIAS: SEG INDL"/>
    <x v="5"/>
    <s v=""/>
    <s v="660515303"/>
    <s v=""/>
    <s v="4008468876"/>
    <s v="GMGNH"/>
    <s v="1"/>
  </r>
  <r>
    <x v="0"/>
    <d v="2022-08-31T00:00:00"/>
    <x v="7"/>
    <s v="6879990"/>
    <s v="Other taxes"/>
    <s v="MW09C21028"/>
    <s v="Segurança Industrial"/>
    <n v="-10242.719999999999"/>
    <s v="Credito de PIS e COFINS sobre a depreciacao AGO 20"/>
    <x v="49"/>
    <s v=""/>
    <s v=""/>
    <s v=""/>
    <s v="4008467983"/>
    <s v="GMGLN"/>
    <s v="31"/>
  </r>
  <r>
    <x v="0"/>
    <d v="2022-09-01T00:00:00"/>
    <x v="7"/>
    <s v="6021550"/>
    <s v="Health ben sal"/>
    <s v="MW09C21028"/>
    <s v="Segurança Industrial"/>
    <n v="70946.52"/>
    <s v="Lancamento Amil   Agosto"/>
    <x v="44"/>
    <s v=""/>
    <s v=""/>
    <s v=""/>
    <s v="4008469246"/>
    <s v="GMEYG"/>
    <s v="319"/>
  </r>
  <r>
    <x v="0"/>
    <d v="2022-09-01T00:00:00"/>
    <x v="7"/>
    <s v="6831400"/>
    <s v="Catering"/>
    <s v="MW09C21028"/>
    <s v="Segurança Industrial"/>
    <n v="9433.2000000000007"/>
    <s v="Lancamento Ticket   Agosto"/>
    <x v="42"/>
    <s v=""/>
    <s v=""/>
    <s v=""/>
    <s v="4008469248"/>
    <s v="GMEYG"/>
    <s v="48"/>
  </r>
  <r>
    <x v="0"/>
    <d v="2022-09-01T00:00:00"/>
    <x v="7"/>
    <s v="6121000"/>
    <s v="Electricity var"/>
    <s v="MW09C21028"/>
    <s v="Segurança Industrial"/>
    <n v="8203.7000000000007"/>
    <s v="MW4A010010MW09C21027 Energia Eletrica Va"/>
    <x v="41"/>
    <s v="Alocações Periódicas"/>
    <s v=""/>
    <s v="Cost center"/>
    <s v="4400017600"/>
    <s v="SXFTMRB0"/>
    <s v="139"/>
  </r>
  <r>
    <x v="0"/>
    <d v="2022-09-01T00:00:00"/>
    <x v="7"/>
    <s v="6121001"/>
    <s v="Electricity fix"/>
    <s v="MW09C21028"/>
    <s v="Segurança Industrial"/>
    <n v="6386.17"/>
    <s v="MW4A010014MW09C21027 Energia Eletrica Fi"/>
    <x v="41"/>
    <s v="Alocações Periódicas"/>
    <s v=""/>
    <s v="Cost center"/>
    <s v="4400017600"/>
    <s v="SXFTMRB0"/>
    <s v="239"/>
  </r>
  <r>
    <x v="0"/>
    <d v="2022-09-01T00:00:00"/>
    <x v="7"/>
    <s v="6031130"/>
    <s v="Group ins salaries"/>
    <s v="MW09C21028"/>
    <s v="Segurança Industrial"/>
    <n v="5758.98"/>
    <s v="Lancamento Seguro de Vida   Agosto"/>
    <x v="44"/>
    <s v=""/>
    <s v=""/>
    <s v=""/>
    <s v="4008469246"/>
    <s v="GMEYG"/>
    <s v="728"/>
  </r>
  <r>
    <x v="0"/>
    <d v="2022-09-01T00:00:00"/>
    <x v="7"/>
    <s v="6321000"/>
    <s v="General supplies"/>
    <s v="MW09C21028"/>
    <s v="Segurança Industrial"/>
    <n v="1842.01"/>
    <s v="MW4A010015MW09C21027 Energia Eletrica Fi"/>
    <x v="41"/>
    <s v="Alocações Periódicas"/>
    <s v=""/>
    <s v="Cost center"/>
    <s v="4400017600"/>
    <s v="SXFTMRB0"/>
    <s v="277"/>
  </r>
  <r>
    <x v="0"/>
    <d v="2022-09-01T00:00:00"/>
    <x v="7"/>
    <s v="6101000"/>
    <s v="Water var"/>
    <s v="MW09C21028"/>
    <s v="Segurança Industrial"/>
    <n v="1664.01"/>
    <s v="MW4A010008MW09C21027 Ág. Processo"/>
    <x v="41"/>
    <s v="Alocações Periódicas"/>
    <s v=""/>
    <s v="Cost center"/>
    <s v="4400017600"/>
    <s v="SXFTMRB0"/>
    <s v="37"/>
  </r>
  <r>
    <x v="0"/>
    <d v="2022-09-01T00:00:00"/>
    <x v="7"/>
    <s v="6039300"/>
    <s v="Oth emp benefits"/>
    <s v="MW09C21028"/>
    <s v="Segurança Industrial"/>
    <n v="1396.95"/>
    <s v="Lancamento Outros Beneficios   Agosto"/>
    <x v="44"/>
    <s v=""/>
    <s v=""/>
    <s v=""/>
    <s v="4008469246"/>
    <s v="GMEYG"/>
    <s v="135"/>
  </r>
  <r>
    <x v="0"/>
    <d v="2022-09-01T00:00:00"/>
    <x v="7"/>
    <s v="6021550"/>
    <s v="Health ben sal"/>
    <s v="MW09C21028"/>
    <s v="Segurança Industrial"/>
    <n v="1252.77"/>
    <s v="Lancamento Odontoprev   Agosto"/>
    <x v="44"/>
    <s v=""/>
    <s v=""/>
    <s v=""/>
    <s v="4008469246"/>
    <s v="GMEYG"/>
    <s v="506"/>
  </r>
  <r>
    <x v="0"/>
    <d v="2022-09-01T00:00:00"/>
    <x v="7"/>
    <s v="6109990"/>
    <s v="Water - Other"/>
    <s v="MW09C21028"/>
    <s v="Segurança Industrial"/>
    <n v="1085.81"/>
    <s v="MW4A010009MW09C21027 Ág. Potavel"/>
    <x v="41"/>
    <s v="Alocações Periódicas"/>
    <s v=""/>
    <s v="Cost center"/>
    <s v="4400017600"/>
    <s v="SXFTMRB0"/>
    <s v="83"/>
  </r>
  <r>
    <x v="0"/>
    <d v="2022-09-01T00:00:00"/>
    <x v="7"/>
    <s v="7711010"/>
    <s v="Security Service ASS"/>
    <s v="MW09C21028"/>
    <s v="Segurança Industrial"/>
    <n v="-825844.49"/>
    <s v="MW5B02_017MW09C21028"/>
    <x v="41"/>
    <s v="Prédio 6201"/>
    <s v=""/>
    <s v="Cost center"/>
    <s v="4400017701"/>
    <s v="SXFTMRB0"/>
    <s v="298"/>
  </r>
  <r>
    <x v="0"/>
    <d v="2022-09-08T00:00:00"/>
    <x v="8"/>
    <s v="6711000"/>
    <s v="Security Service"/>
    <s v="MW09C21028"/>
    <s v="Segurança Industrial"/>
    <n v="344"/>
    <s v="Comunicação mensal"/>
    <x v="29"/>
    <s v=""/>
    <s v="660531946"/>
    <s v=""/>
    <s v="4008485578"/>
    <s v="GMGNH"/>
    <s v="1"/>
  </r>
  <r>
    <x v="0"/>
    <d v="2022-09-08T00:00:00"/>
    <x v="8"/>
    <s v="6761610"/>
    <s v="Print-Media prod."/>
    <s v="MW09C21028"/>
    <s v="Segurança Industrial"/>
    <n v="177.89"/>
    <s v="Valor NF 14833"/>
    <x v="88"/>
    <s v=""/>
    <s v=""/>
    <s v=""/>
    <s v="4008485517"/>
    <s v="GEMKD"/>
    <s v="7"/>
  </r>
  <r>
    <x v="0"/>
    <d v="2022-09-08T00:00:00"/>
    <x v="8"/>
    <s v="6861900"/>
    <s v="Automobile insurance"/>
    <s v="MW09C21028"/>
    <s v="Segurança Industrial"/>
    <n v="60"/>
    <s v="Retirada/desinstalação"/>
    <x v="29"/>
    <s v=""/>
    <s v="660531946"/>
    <s v=""/>
    <s v="4008485578"/>
    <s v="GMGNH"/>
    <s v="5"/>
  </r>
  <r>
    <x v="0"/>
    <d v="2022-09-09T00:00:00"/>
    <x v="8"/>
    <s v="6542000"/>
    <s v="Environmental serv"/>
    <s v="MW09C21028"/>
    <s v="Segurança Industrial"/>
    <n v="4780.07"/>
    <s v="Valor Environmental serv ref  Docto Nr  411"/>
    <x v="0"/>
    <s v=""/>
    <s v="660532977"/>
    <s v=""/>
    <s v="4008487457"/>
    <s v="GMGNH"/>
    <s v="1"/>
  </r>
  <r>
    <x v="0"/>
    <d v="2022-09-09T00:00:00"/>
    <x v="8"/>
    <s v="6280000"/>
    <s v="Technic. spare parts"/>
    <s v="MW09C21028"/>
    <s v="Segurança Industrial"/>
    <n v="1784.7"/>
    <s v="Valor Technic  spare parts ref  Docto Nr  26400"/>
    <x v="12"/>
    <s v=""/>
    <s v="660531480"/>
    <s v=""/>
    <s v="4008487038"/>
    <s v="GMGNH"/>
    <s v="1"/>
  </r>
  <r>
    <x v="0"/>
    <d v="2022-09-09T00:00:00"/>
    <x v="8"/>
    <s v="6772000"/>
    <s v="MGT Consultancy"/>
    <s v="MW09C21028"/>
    <s v="Segurança Industrial"/>
    <n v="900"/>
    <s v="Valor MGT Consultancy ref  Docto Nr  1002"/>
    <x v="78"/>
    <s v=""/>
    <s v=""/>
    <s v=""/>
    <s v="4008487476"/>
    <s v="GMGNH"/>
    <s v="1"/>
  </r>
  <r>
    <x v="0"/>
    <d v="2022-09-12T00:00:00"/>
    <x v="8"/>
    <s v="6320000"/>
    <s v="Supplies"/>
    <s v="MW09C21028"/>
    <s v="Segurança Industrial"/>
    <n v="5346"/>
    <s v="MATERIAIS (outros)"/>
    <x v="4"/>
    <s v=""/>
    <s v="660515265"/>
    <s v=""/>
    <s v="4008494044"/>
    <s v="GMGNT"/>
    <s v="1"/>
  </r>
  <r>
    <x v="0"/>
    <d v="2022-09-12T00:00:00"/>
    <x v="8"/>
    <s v="6320000"/>
    <s v="Supplies"/>
    <s v="MW09C21028"/>
    <s v="Segurança Industrial"/>
    <n v="2551.3200000000002"/>
    <s v="MATERIAIS (outros)"/>
    <x v="4"/>
    <s v=""/>
    <s v="660515265"/>
    <s v=""/>
    <s v="4008494044"/>
    <s v="GMGNT"/>
    <s v="3"/>
  </r>
  <r>
    <x v="0"/>
    <d v="2022-09-12T00:00:00"/>
    <x v="8"/>
    <s v="6829990"/>
    <s v="Other travel cost"/>
    <s v="MW09C21028"/>
    <s v="Segurança Industrial"/>
    <n v="624"/>
    <s v="Abastecimento Veículo Emergencial Segurança Indust"/>
    <x v="52"/>
    <s v=""/>
    <s v=""/>
    <s v=""/>
    <s v="4008493138"/>
    <s v="SXIDOCXI"/>
    <s v="1"/>
  </r>
  <r>
    <x v="0"/>
    <d v="2022-09-12T00:00:00"/>
    <x v="8"/>
    <s v="6320000"/>
    <s v="Supplies"/>
    <s v="MW09C21028"/>
    <s v="Segurança Industrial"/>
    <n v="339.8"/>
    <s v="MATERIAIS (outros)"/>
    <x v="4"/>
    <s v=""/>
    <s v="660515265"/>
    <s v=""/>
    <s v="4008494044"/>
    <s v="GMGNT"/>
    <s v="2"/>
  </r>
  <r>
    <x v="0"/>
    <d v="2022-09-12T00:00:00"/>
    <x v="8"/>
    <s v="6822200"/>
    <s v="Milage allowance"/>
    <s v="MW09C21028"/>
    <s v="Segurança Industrial"/>
    <n v="322.5"/>
    <s v="Utilização de Veículo Particular/06168261/4BBB9EFA"/>
    <x v="89"/>
    <s v=""/>
    <s v=""/>
    <s v=""/>
    <s v="4008493139"/>
    <s v="SXIDOCXI"/>
    <s v="1"/>
  </r>
  <r>
    <x v="0"/>
    <d v="2022-09-12T00:00:00"/>
    <x v="8"/>
    <s v="6821200"/>
    <s v="Food allowance"/>
    <s v="MW09C21028"/>
    <s v="Segurança Industrial"/>
    <n v="72"/>
    <s v="Reciclagem Curso de Vigilante STARSEC/06168261/4BB"/>
    <x v="89"/>
    <s v=""/>
    <s v=""/>
    <s v=""/>
    <s v="4008493139"/>
    <s v="SXIDOCXI"/>
    <s v="3"/>
  </r>
  <r>
    <x v="0"/>
    <d v="2022-09-12T00:00:00"/>
    <x v="8"/>
    <s v="6829990"/>
    <s v="Other travel cost"/>
    <s v="MW09C21028"/>
    <s v="Segurança Industrial"/>
    <n v="65"/>
    <s v="Manutenção Veículo Emergencial Segurança Industria"/>
    <x v="52"/>
    <s v=""/>
    <s v=""/>
    <s v=""/>
    <s v="4008493138"/>
    <s v="SXIDOCXI"/>
    <s v="2"/>
  </r>
  <r>
    <x v="0"/>
    <d v="2022-09-12T00:00:00"/>
    <x v="8"/>
    <s v="6821200"/>
    <s v="Food allowance"/>
    <s v="MW09C21028"/>
    <s v="Segurança Industrial"/>
    <n v="50"/>
    <s v="Reciclagem Curso de Vigilante STARSEC/06168261/4BB"/>
    <x v="89"/>
    <s v=""/>
    <s v=""/>
    <s v=""/>
    <s v="4008493139"/>
    <s v="SXIDOCXI"/>
    <s v="2"/>
  </r>
  <r>
    <x v="0"/>
    <d v="2022-09-13T00:00:00"/>
    <x v="8"/>
    <s v="6711000"/>
    <s v="Security Service"/>
    <s v="MW09C21028"/>
    <s v="Segurança Industrial"/>
    <n v="9557.0499999999993"/>
    <s v="SEGURANÇA PATRIMONIAL - BELFORD ROXO"/>
    <x v="11"/>
    <s v=""/>
    <s v="660532976"/>
    <s v=""/>
    <s v="4008495809"/>
    <s v="GNLUA"/>
    <s v="1"/>
  </r>
  <r>
    <x v="0"/>
    <d v="2022-09-13T00:00:00"/>
    <x v="8"/>
    <s v="6629004"/>
    <s v="LVA Tangible Exp"/>
    <s v="MW09C21028"/>
    <s v="Segurança Industrial"/>
    <n v="438.9"/>
    <s v="MANUT.RET E BATERIAS: SEG INDL"/>
    <x v="5"/>
    <s v=""/>
    <s v="660531477"/>
    <s v=""/>
    <s v="4008495701"/>
    <s v="GMGNH"/>
    <s v="1"/>
  </r>
  <r>
    <x v="0"/>
    <d v="2022-09-13T00:00:00"/>
    <x v="8"/>
    <s v="6715000"/>
    <s v="Fire prevent serv."/>
    <s v="MW09C21028"/>
    <s v="Segurança Industrial"/>
    <n v="10193.99"/>
    <s v="Inspeção e Manutenção de Rede Incêndio"/>
    <x v="10"/>
    <s v=""/>
    <s v="660532978"/>
    <s v=""/>
    <s v="4008495670"/>
    <s v="GMGNH"/>
    <s v="1"/>
  </r>
  <r>
    <x v="0"/>
    <d v="2022-09-14T00:00:00"/>
    <x v="8"/>
    <s v="6719990"/>
    <s v="Other site services"/>
    <s v="MW09C21028"/>
    <s v="Segurança Industrial"/>
    <n v="8135.89"/>
    <s v="Locação Uniformes e Toalhas"/>
    <x v="2"/>
    <s v=""/>
    <s v="660533691"/>
    <s v=""/>
    <s v="4008499862"/>
    <s v="GMGNH"/>
    <s v="2"/>
  </r>
  <r>
    <x v="0"/>
    <d v="2022-09-14T00:00:00"/>
    <x v="8"/>
    <s v="6829990"/>
    <s v="Other travel cost"/>
    <s v="MW09C21028"/>
    <s v="Segurança Industrial"/>
    <n v="474.44"/>
    <s v="Abastecimento Veículo Emergencial Bayer/06168407/5"/>
    <x v="22"/>
    <s v=""/>
    <s v=""/>
    <s v=""/>
    <s v="4008498585"/>
    <s v="SXIDOCXI"/>
    <s v="1"/>
  </r>
  <r>
    <x v="0"/>
    <d v="2022-09-14T00:00:00"/>
    <x v="8"/>
    <s v="6829990"/>
    <s v="Other travel cost"/>
    <s v="MW09C21028"/>
    <s v="Segurança Industrial"/>
    <n v="389.47"/>
    <s v="Abastecimento Veículo Executivo Bayer/06168407/518"/>
    <x v="22"/>
    <s v=""/>
    <s v=""/>
    <s v=""/>
    <s v="4008498585"/>
    <s v="SXIDOCXI"/>
    <s v="2"/>
  </r>
  <r>
    <x v="0"/>
    <d v="2022-09-14T00:00:00"/>
    <x v="8"/>
    <s v="6829990"/>
    <s v="Other travel cost"/>
    <s v="MW09C21028"/>
    <s v="Segurança Industrial"/>
    <n v="259.60000000000002"/>
    <s v="Cadeados para Utilização Segurança Industrial/0616"/>
    <x v="22"/>
    <s v=""/>
    <s v=""/>
    <s v=""/>
    <s v="4008498585"/>
    <s v="SXIDOCXI"/>
    <s v="3"/>
  </r>
  <r>
    <x v="0"/>
    <d v="2022-09-14T00:00:00"/>
    <x v="8"/>
    <s v="6829990"/>
    <s v="Other travel cost"/>
    <s v="MW09C21028"/>
    <s v="Segurança Industrial"/>
    <n v="194.7"/>
    <s v="Material de Limpeza e Conservação Veículos Emergen"/>
    <x v="22"/>
    <s v=""/>
    <s v=""/>
    <s v=""/>
    <s v="4008498585"/>
    <s v="SXIDOCXI"/>
    <s v="5"/>
  </r>
  <r>
    <x v="0"/>
    <d v="2022-09-14T00:00:00"/>
    <x v="8"/>
    <s v="6829990"/>
    <s v="Other travel cost"/>
    <s v="MW09C21028"/>
    <s v="Segurança Industrial"/>
    <n v="173.03"/>
    <s v="Renovação CNH/06168407/5187718009B947FE8147/RDVV G"/>
    <x v="22"/>
    <s v=""/>
    <s v=""/>
    <s v=""/>
    <s v="4008498585"/>
    <s v="SXIDOCXI"/>
    <s v="6"/>
  </r>
  <r>
    <x v="0"/>
    <d v="2022-09-14T00:00:00"/>
    <x v="8"/>
    <s v="6829990"/>
    <s v="Other travel cost"/>
    <s v="MW09C21028"/>
    <s v="Segurança Industrial"/>
    <n v="155"/>
    <s v="Renovação CNH/06168407/5187718009B947FE8147/RDVV G"/>
    <x v="22"/>
    <s v=""/>
    <s v=""/>
    <s v=""/>
    <s v="4008498585"/>
    <s v="SXIDOCXI"/>
    <s v="7"/>
  </r>
  <r>
    <x v="0"/>
    <d v="2022-09-14T00:00:00"/>
    <x v="8"/>
    <s v="6829990"/>
    <s v="Other travel cost"/>
    <s v="MW09C21028"/>
    <s v="Segurança Industrial"/>
    <n v="80"/>
    <s v="Compra Material de Proteção Celular Corporativo/06"/>
    <x v="22"/>
    <s v=""/>
    <s v=""/>
    <s v=""/>
    <s v="4008498585"/>
    <s v="SXIDOCXI"/>
    <s v="4"/>
  </r>
  <r>
    <x v="0"/>
    <d v="2022-09-14T00:00:00"/>
    <x v="8"/>
    <s v="6829990"/>
    <s v="Other travel cost"/>
    <s v="MW09C21028"/>
    <s v="Segurança Industrial"/>
    <n v="34.4"/>
    <s v="Utilização Veículo Executivo Segurança Industrial/"/>
    <x v="22"/>
    <s v=""/>
    <s v=""/>
    <s v=""/>
    <s v="4008498585"/>
    <s v="SXIDOCXI"/>
    <s v="8"/>
  </r>
  <r>
    <x v="0"/>
    <d v="2022-09-15T00:00:00"/>
    <x v="8"/>
    <s v="6822200"/>
    <s v="Milage allowance"/>
    <s v="MW09C21028"/>
    <s v="Segurança Industrial"/>
    <n v="516"/>
    <s v="Utilização de Veículo Particular/08547685/5704CCCF"/>
    <x v="21"/>
    <s v=""/>
    <s v=""/>
    <s v=""/>
    <s v="4008501502"/>
    <s v="SXIDOCXI"/>
    <s v="1"/>
  </r>
  <r>
    <x v="0"/>
    <d v="2022-09-15T00:00:00"/>
    <x v="8"/>
    <s v="6829990"/>
    <s v="Other travel cost"/>
    <s v="MW09C21028"/>
    <s v="Segurança Industrial"/>
    <n v="290.75"/>
    <s v="Abastecimento Veículo Emergencial Segurança Indust"/>
    <x v="23"/>
    <s v=""/>
    <s v=""/>
    <s v=""/>
    <s v="4008501478"/>
    <s v="SXIDOCXI"/>
    <s v="1"/>
  </r>
  <r>
    <x v="0"/>
    <d v="2022-09-15T00:00:00"/>
    <x v="8"/>
    <s v="6822200"/>
    <s v="Milage allowance"/>
    <s v="MW09C21028"/>
    <s v="Segurança Industrial"/>
    <n v="283.8"/>
    <s v="Utilização de Veículo Particular/06168326/9E860770"/>
    <x v="23"/>
    <s v=""/>
    <s v=""/>
    <s v=""/>
    <s v="4008501478"/>
    <s v="SXIDOCXI"/>
    <s v="4"/>
  </r>
  <r>
    <x v="0"/>
    <d v="2022-09-15T00:00:00"/>
    <x v="8"/>
    <s v="6822200"/>
    <s v="Milage allowance"/>
    <s v="MW09C21028"/>
    <s v="Segurança Industrial"/>
    <n v="215"/>
    <s v="Utilização de Veículo Particular/06169241/1DB60103"/>
    <x v="7"/>
    <s v=""/>
    <s v=""/>
    <s v=""/>
    <s v="4008501479"/>
    <s v="SXIDOCXI"/>
    <s v="1"/>
  </r>
  <r>
    <x v="0"/>
    <d v="2022-09-15T00:00:00"/>
    <x v="8"/>
    <s v="6829990"/>
    <s v="Other travel cost"/>
    <s v="MW09C21028"/>
    <s v="Segurança Industrial"/>
    <n v="139"/>
    <s v="Renovação CNH/06168326/9E8607702CB8477EA255/RDVV A"/>
    <x v="23"/>
    <s v=""/>
    <s v=""/>
    <s v=""/>
    <s v="4008501478"/>
    <s v="SXIDOCXI"/>
    <s v="2"/>
  </r>
  <r>
    <x v="0"/>
    <d v="2022-09-15T00:00:00"/>
    <x v="8"/>
    <s v="6829990"/>
    <s v="Other travel cost"/>
    <s v="MW09C21028"/>
    <s v="Segurança Industrial"/>
    <n v="34.4"/>
    <s v="Utilização de Veículo Executivo Segurança Industri"/>
    <x v="23"/>
    <s v=""/>
    <s v=""/>
    <s v=""/>
    <s v="4008501478"/>
    <s v="SXIDOCXI"/>
    <s v="3"/>
  </r>
  <r>
    <x v="0"/>
    <d v="2022-09-16T00:00:00"/>
    <x v="8"/>
    <s v="6200000"/>
    <s v="Maint &amp; Leg/Co.Compl"/>
    <s v="MW09C21028"/>
    <s v="Segurança Industrial"/>
    <n v="1550"/>
    <s v="LIMPEZA CAIXAS E FOSSAS - PÁTIO DE CARGA"/>
    <x v="28"/>
    <s v=""/>
    <s v="660537476"/>
    <s v=""/>
    <s v="4008506981"/>
    <s v="GMGNH"/>
    <s v="2"/>
  </r>
  <r>
    <x v="0"/>
    <d v="2022-09-16T00:00:00"/>
    <x v="8"/>
    <s v="6822200"/>
    <s v="Milage allowance"/>
    <s v="MW09C21028"/>
    <s v="Segurança Industrial"/>
    <n v="240.8"/>
    <s v="Utilização de Veículo Particular/06164223/21474C12"/>
    <x v="25"/>
    <s v=""/>
    <s v=""/>
    <s v=""/>
    <s v="4008504999"/>
    <s v="SXIDOCXI"/>
    <s v="1"/>
  </r>
  <r>
    <x v="0"/>
    <d v="2022-09-16T00:00:00"/>
    <x v="8"/>
    <s v="6822100"/>
    <s v="Transp cost staff"/>
    <s v="MW09C21028"/>
    <s v="Segurança Industrial"/>
    <n v="59.98"/>
    <s v="Apoio a Balança Rodoviaria/06827311/7841E326A67C42"/>
    <x v="56"/>
    <s v=""/>
    <s v=""/>
    <s v=""/>
    <s v="4008505311"/>
    <s v="SXIDOCXI"/>
    <s v="1"/>
  </r>
  <r>
    <x v="0"/>
    <d v="2022-09-19T00:00:00"/>
    <x v="8"/>
    <s v="6032003"/>
    <s v="Pension Accrual."/>
    <s v="MW09C21028"/>
    <s v="Segurança Industrial"/>
    <n v="1882.92"/>
    <s v="Prov Pl. Pensão Ativos BCS 2022"/>
    <x v="47"/>
    <s v=""/>
    <s v=""/>
    <s v=""/>
    <s v="4008516284"/>
    <s v="ELVLS_FF"/>
    <s v="40"/>
  </r>
  <r>
    <x v="0"/>
    <d v="2022-09-19T00:00:00"/>
    <x v="8"/>
    <s v="6876000"/>
    <s v="Municip+regional tax"/>
    <s v="MW09C21028"/>
    <s v="Segurança Industrial"/>
    <n v="833.94"/>
    <s v="Segurança Industrial"/>
    <x v="69"/>
    <s v=""/>
    <s v=""/>
    <s v=""/>
    <s v="4008516282"/>
    <s v="ELVLS_FF"/>
    <s v="13"/>
  </r>
  <r>
    <x v="0"/>
    <d v="2022-09-19T00:00:00"/>
    <x v="8"/>
    <s v="6032003"/>
    <s v="Pension Accrual."/>
    <s v="MW09C21028"/>
    <s v="Segurança Industrial"/>
    <n v="420.36"/>
    <s v="Prov Pl. Medico Efeito Ebit BCS 2022"/>
    <x v="48"/>
    <s v=""/>
    <s v=""/>
    <s v=""/>
    <s v="4008516285"/>
    <s v="ELVLS_FF"/>
    <s v="1"/>
  </r>
  <r>
    <x v="0"/>
    <d v="2022-09-20T00:00:00"/>
    <x v="8"/>
    <s v="6420000"/>
    <s v="Transports"/>
    <s v="MW09C21028"/>
    <s v="Segurança Industrial"/>
    <n v="157.5"/>
    <s v="Diária por Veículo no Pátio"/>
    <x v="85"/>
    <s v=""/>
    <s v="660535177"/>
    <s v=""/>
    <s v="4008518489"/>
    <s v="GNLUA"/>
    <s v="28"/>
  </r>
  <r>
    <x v="0"/>
    <d v="2022-09-20T00:00:00"/>
    <x v="8"/>
    <s v="6572000"/>
    <s v="Occup. safety serv"/>
    <s v="MW09C21028"/>
    <s v="Segurança Industrial"/>
    <n v="140.30000000000001"/>
    <s v="Exames médicos colaboradores"/>
    <x v="59"/>
    <s v=""/>
    <s v="660538461"/>
    <s v=""/>
    <s v="4008519007"/>
    <s v="GMGNH"/>
    <s v="11"/>
  </r>
  <r>
    <x v="0"/>
    <d v="2022-09-20T00:00:00"/>
    <x v="8"/>
    <s v="6451000"/>
    <s v="Carrier Fees Voice"/>
    <s v="MW09C21028"/>
    <s v="Segurança Industrial"/>
    <n v="-6500"/>
    <s v="Reclassif c.custo MW09C21028 para SCMWIT000008 - B"/>
    <x v="42"/>
    <s v=""/>
    <s v=""/>
    <s v=""/>
    <s v="4008519711"/>
    <s v="GNZIM"/>
    <s v="77"/>
  </r>
  <r>
    <x v="0"/>
    <d v="2022-09-21T00:00:00"/>
    <x v="8"/>
    <s v="6711000"/>
    <s v="Security Service"/>
    <s v="MW09C21028"/>
    <s v="Segurança Industrial"/>
    <n v="9380.1299999999992"/>
    <s v="MAN.PREVENTIVA CONTROLE ACESSO BELFORD R"/>
    <x v="19"/>
    <s v=""/>
    <s v="660531973"/>
    <s v=""/>
    <s v="4008521936"/>
    <s v="GMGNH"/>
    <s v="1"/>
  </r>
  <r>
    <x v="0"/>
    <d v="2022-09-21T00:00:00"/>
    <x v="8"/>
    <s v="6719990"/>
    <s v="Other site services"/>
    <s v="MW09C21028"/>
    <s v="Segurança Industrial"/>
    <n v="3483.6"/>
    <s v="Serv. Administração Rouparia"/>
    <x v="2"/>
    <s v=""/>
    <s v="660533775"/>
    <s v=""/>
    <s v="4008521925"/>
    <s v="GMGNH"/>
    <s v="2"/>
  </r>
  <r>
    <x v="0"/>
    <d v="2022-09-21T00:00:00"/>
    <x v="8"/>
    <s v="6572000"/>
    <s v="Occup. safety serv"/>
    <s v="MW09C21028"/>
    <s v="Segurança Industrial"/>
    <n v="797.74"/>
    <s v="Exames médicos colaboradores"/>
    <x v="59"/>
    <s v=""/>
    <s v="660505269"/>
    <s v=""/>
    <s v="4008521942"/>
    <s v="GMGNH"/>
    <s v="12"/>
  </r>
  <r>
    <x v="0"/>
    <d v="2022-09-21T00:00:00"/>
    <x v="8"/>
    <s v="6719990"/>
    <s v="Other site services"/>
    <s v="MW09C21028"/>
    <s v="Segurança Industrial"/>
    <n v="8.2100000000000009"/>
    <s v="Higienização EPIs"/>
    <x v="2"/>
    <s v=""/>
    <s v="660533775"/>
    <s v=""/>
    <s v="4008521937"/>
    <s v="GMGNH"/>
    <s v="1"/>
  </r>
  <r>
    <x v="0"/>
    <d v="2022-09-22T00:00:00"/>
    <x v="8"/>
    <s v="6340000"/>
    <s v="IT - office supplies"/>
    <s v="MW09C21028"/>
    <s v="Segurança Industrial"/>
    <n v="287.10000000000002"/>
    <s v="CAIXA DE SOM 3W RMS PRETA USB"/>
    <x v="90"/>
    <s v=""/>
    <s v="660521917"/>
    <s v=""/>
    <s v="4008527441"/>
    <s v="GNEDC"/>
    <s v="1"/>
  </r>
  <r>
    <x v="0"/>
    <d v="2022-09-22T00:00:00"/>
    <x v="8"/>
    <s v="6321000"/>
    <s v="General supplies"/>
    <s v="MW09C21028"/>
    <s v="Segurança Industrial"/>
    <n v="119.43"/>
    <s v="FITA ADESIVA DUPLA FACE 19MM X 20M 3M"/>
    <x v="8"/>
    <s v=""/>
    <s v=""/>
    <s v=""/>
    <s v="4008526815"/>
    <s v="ERUCD"/>
    <s v="2"/>
  </r>
  <r>
    <x v="0"/>
    <d v="2022-09-22T00:00:00"/>
    <x v="8"/>
    <s v="6280000"/>
    <s v="Technic. spare parts"/>
    <s v="MW09C21028"/>
    <s v="Segurança Industrial"/>
    <n v="33.1"/>
    <s v="GRAXA LIQUIDA HHS 2000"/>
    <x v="8"/>
    <s v=""/>
    <s v=""/>
    <s v=""/>
    <s v="4008526815"/>
    <s v="ERUCD"/>
    <s v="1"/>
  </r>
  <r>
    <x v="0"/>
    <d v="2022-09-22T00:00:00"/>
    <x v="8"/>
    <s v="6321000"/>
    <s v="General supplies"/>
    <s v="MW09C21028"/>
    <s v="Segurança Industrial"/>
    <n v="6.84"/>
    <s v="ENVELOPE CORREIO INTERNO MD MOD 0051GR"/>
    <x v="8"/>
    <s v=""/>
    <s v=""/>
    <s v=""/>
    <s v="4008526815"/>
    <s v="ERUCD"/>
    <s v="3"/>
  </r>
  <r>
    <x v="0"/>
    <d v="2022-09-27T00:00:00"/>
    <x v="8"/>
    <s v="6831400"/>
    <s v="Catering"/>
    <s v="MW09C21028"/>
    <s v="Segurança Industrial"/>
    <n v="806.63"/>
    <s v="Vr recup Refeicoes Colaboradores   Ago"/>
    <x v="15"/>
    <s v=""/>
    <s v=""/>
    <s v=""/>
    <s v="4008543327"/>
    <s v="GNPRP"/>
    <s v="15"/>
  </r>
  <r>
    <x v="0"/>
    <d v="2022-09-27T00:00:00"/>
    <x v="8"/>
    <s v="6822300"/>
    <s v="Coll transp staff"/>
    <s v="MW09C21028"/>
    <s v="Segurança Industrial"/>
    <n v="625.12"/>
    <s v="Recup Transporte Colaboradores  Ago"/>
    <x v="15"/>
    <s v=""/>
    <s v=""/>
    <s v=""/>
    <s v="4008543327"/>
    <s v="GNPRP"/>
    <s v="31"/>
  </r>
  <r>
    <x v="0"/>
    <d v="2022-09-28T00:00:00"/>
    <x v="8"/>
    <s v="6011000"/>
    <s v="Salaries"/>
    <s v="MW09C21028"/>
    <s v="Segurança Industrial"/>
    <n v="100875.55"/>
    <s v="37NA/37U/Salários"/>
    <x v="33"/>
    <s v=""/>
    <s v=""/>
    <s v=""/>
    <s v="4008548587"/>
    <s v="WWCAST1_HR"/>
    <s v="868"/>
  </r>
  <r>
    <x v="0"/>
    <d v="2022-09-28T00:00:00"/>
    <x v="8"/>
    <s v="6011000"/>
    <s v="Salaries"/>
    <s v="MW09C21028"/>
    <s v="Segurança Industrial"/>
    <n v="57546.84"/>
    <s v="37NC/37U/Salarios Outros"/>
    <x v="33"/>
    <s v=""/>
    <s v=""/>
    <s v=""/>
    <s v="4008548587"/>
    <s v="WWCAST1_HR"/>
    <s v="867"/>
  </r>
  <r>
    <x v="0"/>
    <d v="2022-09-28T00:00:00"/>
    <x v="8"/>
    <s v="6020300"/>
    <s v="Soc sec cont-severan"/>
    <s v="MW09C21028"/>
    <s v="Segurança Industrial"/>
    <n v="43757.64"/>
    <s v="37NP/37U/Contribuição Inst.de Previdência"/>
    <x v="33"/>
    <s v=""/>
    <s v=""/>
    <s v=""/>
    <s v="4008548587"/>
    <s v="WWCAST1_HR"/>
    <s v="860"/>
  </r>
  <r>
    <x v="0"/>
    <d v="2022-09-28T00:00:00"/>
    <x v="8"/>
    <s v="6011700"/>
    <s v="Overtime Premium-sal"/>
    <s v="MW09C21028"/>
    <s v="Segurança Industrial"/>
    <n v="27049.119999999999"/>
    <s v="37NF/37U/Horas Extras"/>
    <x v="33"/>
    <s v=""/>
    <s v=""/>
    <s v=""/>
    <s v="4008548587"/>
    <s v="WWCAST1_HR"/>
    <s v="791"/>
  </r>
  <r>
    <x v="0"/>
    <d v="2022-09-28T00:00:00"/>
    <x v="8"/>
    <s v="6011100"/>
    <s v="Vacation Comp-Sal"/>
    <s v="MW09C21028"/>
    <s v="Segurança Industrial"/>
    <n v="25858.49"/>
    <s v="37NN/37U/Provisão Pagto Férias DL 1730/79"/>
    <x v="33"/>
    <s v=""/>
    <s v=""/>
    <s v=""/>
    <s v="4008548587"/>
    <s v="WWCAST1_HR"/>
    <s v="865"/>
  </r>
  <r>
    <x v="0"/>
    <d v="2022-09-28T00:00:00"/>
    <x v="8"/>
    <s v="6011530"/>
    <s v="13th month rem sal"/>
    <s v="MW09C21028"/>
    <s v="Segurança Industrial"/>
    <n v="20652.669999999998"/>
    <s v="37NI/37U/13º Salário"/>
    <x v="33"/>
    <s v=""/>
    <s v=""/>
    <s v=""/>
    <s v="4008548587"/>
    <s v="WWCAST1_HR"/>
    <s v="863"/>
  </r>
  <r>
    <x v="0"/>
    <d v="2022-09-28T00:00:00"/>
    <x v="8"/>
    <s v="6020220"/>
    <s v="Unemployment fund"/>
    <s v="MW09C21028"/>
    <s v="Segurança Industrial"/>
    <n v="15421.2"/>
    <s v="37OF/37U/Desp.FGTS Diferença 10% C/Liminar"/>
    <x v="33"/>
    <s v=""/>
    <s v=""/>
    <s v=""/>
    <s v="4008548587"/>
    <s v="WWCAST1_HR"/>
    <s v="790"/>
  </r>
  <r>
    <x v="0"/>
    <d v="2022-09-28T00:00:00"/>
    <x v="8"/>
    <s v="6020350"/>
    <s v="Accr soc-sec. contr."/>
    <s v="MW09C21028"/>
    <s v="Segurança Industrial"/>
    <n v="8996.68"/>
    <s v="37OD/37U/Provisão Encargos Sociais S/Férias DL 173"/>
    <x v="33"/>
    <s v=""/>
    <s v=""/>
    <s v=""/>
    <s v="4008548587"/>
    <s v="WWCAST1_HR"/>
    <s v="866"/>
  </r>
  <r>
    <x v="0"/>
    <d v="2022-09-28T00:00:00"/>
    <x v="8"/>
    <s v="6011700"/>
    <s v="Overtime Premium-sal"/>
    <s v="MW09C21028"/>
    <s v="Segurança Industrial"/>
    <n v="8984.14"/>
    <s v="37NG/37U/Horas Extras Revezamento"/>
    <x v="33"/>
    <s v=""/>
    <s v=""/>
    <s v=""/>
    <s v="4008548587"/>
    <s v="WWCAST1_HR"/>
    <s v="870"/>
  </r>
  <r>
    <x v="0"/>
    <d v="2022-09-28T00:00:00"/>
    <x v="8"/>
    <s v="6042050"/>
    <s v="Rem. limited dur."/>
    <s v="MW09C21028"/>
    <s v="Segurança Industrial"/>
    <n v="8344.1299999999992"/>
    <s v="37NA/37W/Salários"/>
    <x v="33"/>
    <s v=""/>
    <s v=""/>
    <s v=""/>
    <s v="4008548587"/>
    <s v="WWCAST1_HR"/>
    <s v="85"/>
  </r>
  <r>
    <x v="0"/>
    <d v="2022-09-28T00:00:00"/>
    <x v="8"/>
    <s v="6020320"/>
    <s v="Contingency fund"/>
    <s v="MW09C21028"/>
    <s v="Segurança Industrial"/>
    <n v="7585.89"/>
    <s v="37PE/37U/Encargos sobre 13o salário"/>
    <x v="33"/>
    <s v=""/>
    <s v=""/>
    <s v=""/>
    <s v="4008548587"/>
    <s v="WWCAST1_HR"/>
    <s v="864"/>
  </r>
  <r>
    <x v="0"/>
    <d v="2022-09-28T00:00:00"/>
    <x v="8"/>
    <s v="6021130"/>
    <s v="Pay Ins Accid sal"/>
    <s v="MW09C21028"/>
    <s v="Segurança Industrial"/>
    <n v="6917.01"/>
    <s v="37NY/37U/Seguro Contra Acidentes de Trabalho"/>
    <x v="33"/>
    <s v=""/>
    <s v=""/>
    <s v=""/>
    <s v="4008548587"/>
    <s v="WWCAST1_HR"/>
    <s v="861"/>
  </r>
  <r>
    <x v="0"/>
    <d v="2022-09-28T00:00:00"/>
    <x v="8"/>
    <s v="6020300"/>
    <s v="Soc sec cont-severan"/>
    <s v="MW09C21028"/>
    <s v="Segurança Industrial"/>
    <n v="6361.25"/>
    <s v="37NX/37U/Salário Educação LEI 4440/64"/>
    <x v="33"/>
    <s v=""/>
    <s v=""/>
    <s v=""/>
    <s v="4008548587"/>
    <s v="WWCAST1_HR"/>
    <s v="862"/>
  </r>
  <r>
    <x v="0"/>
    <d v="2022-09-28T00:00:00"/>
    <x v="8"/>
    <s v="6032730"/>
    <s v="Exp emp con-ded"/>
    <s v="MW09C21028"/>
    <s v="Segurança Industrial"/>
    <n v="5715.28"/>
    <s v="37PA/37U/Contribuição a Previdencia Privada"/>
    <x v="33"/>
    <s v=""/>
    <s v=""/>
    <s v=""/>
    <s v="4008548587"/>
    <s v="WWCAST1_HR"/>
    <s v="826"/>
  </r>
  <r>
    <x v="0"/>
    <d v="2022-09-28T00:00:00"/>
    <x v="8"/>
    <s v="6061000"/>
    <s v="Allow for prec. Job"/>
    <s v="MW09C21028"/>
    <s v="Segurança Industrial"/>
    <n v="3597.98"/>
    <s v="37NC/37W/Salarios Outros"/>
    <x v="33"/>
    <s v=""/>
    <s v=""/>
    <s v=""/>
    <s v="4008548587"/>
    <s v="WWCAST1_HR"/>
    <s v="84"/>
  </r>
  <r>
    <x v="0"/>
    <d v="2022-09-28T00:00:00"/>
    <x v="8"/>
    <s v="6020360"/>
    <s v="Employer cont pens p"/>
    <s v="MW09C21028"/>
    <s v="Segurança Industrial"/>
    <n v="3178.53"/>
    <s v="37NP/37W/Contribuição Inst.de Previdência"/>
    <x v="33"/>
    <s v=""/>
    <s v=""/>
    <s v=""/>
    <s v="4008548587"/>
    <s v="WWCAST1_HR"/>
    <s v="77"/>
  </r>
  <r>
    <x v="0"/>
    <d v="2022-09-28T00:00:00"/>
    <x v="8"/>
    <s v="6043100"/>
    <s v="Pay apprenticeship"/>
    <s v="MW09C21028"/>
    <s v="Segurança Industrial"/>
    <n v="2000"/>
    <s v="37OU/37W/Serviço de Estagiário-PF"/>
    <x v="33"/>
    <s v=""/>
    <s v=""/>
    <s v=""/>
    <s v="4008548586"/>
    <s v="WWCAST1_HR"/>
    <s v="278"/>
  </r>
  <r>
    <x v="0"/>
    <d v="2022-09-28T00:00:00"/>
    <x v="8"/>
    <s v="6042050"/>
    <s v="Rem. limited dur."/>
    <s v="MW09C21028"/>
    <s v="Segurança Industrial"/>
    <n v="1684.6"/>
    <s v="37NF/37W/Horas Extras"/>
    <x v="33"/>
    <s v=""/>
    <s v=""/>
    <s v=""/>
    <s v="4008548587"/>
    <s v="WWCAST1_HR"/>
    <s v="9"/>
  </r>
  <r>
    <x v="0"/>
    <d v="2022-09-28T00:00:00"/>
    <x v="8"/>
    <s v="6039300"/>
    <s v="Oth emp benefits"/>
    <s v="MW09C21028"/>
    <s v="Segurança Industrial"/>
    <n v="1192.0999999999999"/>
    <s v="37OR/37U/Outras Despesas Sociais"/>
    <x v="33"/>
    <s v=""/>
    <s v=""/>
    <s v=""/>
    <s v="4008548587"/>
    <s v="WWCAST1_HR"/>
    <s v="875"/>
  </r>
  <r>
    <x v="0"/>
    <d v="2022-09-28T00:00:00"/>
    <x v="8"/>
    <s v="6052340"/>
    <s v="Soc. security contr."/>
    <s v="MW09C21028"/>
    <s v="Segurança Industrial"/>
    <n v="1120.18"/>
    <s v="37OF/37W/Desp.FGTS Diferença 10% C/Liminar"/>
    <x v="33"/>
    <s v=""/>
    <s v=""/>
    <s v=""/>
    <s v="4008548587"/>
    <s v="WWCAST1_HR"/>
    <s v="7"/>
  </r>
  <r>
    <x v="0"/>
    <d v="2022-09-28T00:00:00"/>
    <x v="8"/>
    <s v="6042100"/>
    <s v="RemTM yearly premium"/>
    <s v="MW09C21028"/>
    <s v="Segurança Industrial"/>
    <n v="1105.27"/>
    <s v="37NI/37W/13º Salário"/>
    <x v="33"/>
    <s v=""/>
    <s v=""/>
    <s v=""/>
    <s v="4008548587"/>
    <s v="WWCAST1_HR"/>
    <s v="80"/>
  </r>
  <r>
    <x v="0"/>
    <d v="2022-09-28T00:00:00"/>
    <x v="8"/>
    <s v="6831400"/>
    <s v="Catering"/>
    <s v="MW09C21028"/>
    <s v="Segurança Industrial"/>
    <n v="1051.1500000000001"/>
    <s v="Vr recup Serv Restaur Visitantes - Set"/>
    <x v="15"/>
    <s v=""/>
    <s v=""/>
    <s v=""/>
    <s v="4008548425"/>
    <s v="GNPRP"/>
    <s v="33"/>
  </r>
  <r>
    <x v="0"/>
    <d v="2022-09-28T00:00:00"/>
    <x v="8"/>
    <s v="6052400"/>
    <s v="Soc Contr 'oth'"/>
    <s v="MW09C21028"/>
    <s v="Segurança Industrial"/>
    <n v="462.07"/>
    <s v="37NX/37W/Salário Educação LEI 4440/64"/>
    <x v="33"/>
    <s v=""/>
    <s v=""/>
    <s v=""/>
    <s v="4008548587"/>
    <s v="WWCAST1_HR"/>
    <s v="79"/>
  </r>
  <r>
    <x v="0"/>
    <d v="2022-09-28T00:00:00"/>
    <x v="8"/>
    <s v="6021130"/>
    <s v="Pay Ins Accid sal"/>
    <s v="MW09C21028"/>
    <s v="Segurança Industrial"/>
    <n v="414.87"/>
    <s v="37NY/37W/Seguro Contra Acidentes de Trabalho"/>
    <x v="33"/>
    <s v=""/>
    <s v=""/>
    <s v=""/>
    <s v="4008548587"/>
    <s v="WWCAST1_HR"/>
    <s v="78"/>
  </r>
  <r>
    <x v="0"/>
    <d v="2022-09-28T00:00:00"/>
    <x v="8"/>
    <s v="6052400"/>
    <s v="Soc Contr 'oth'"/>
    <s v="MW09C21028"/>
    <s v="Segurança Industrial"/>
    <n v="405.97"/>
    <s v="37PE/37W/Encargos sobre 13o salário"/>
    <x v="33"/>
    <s v=""/>
    <s v=""/>
    <s v=""/>
    <s v="4008548587"/>
    <s v="WWCAST1_HR"/>
    <s v="81"/>
  </r>
  <r>
    <x v="0"/>
    <d v="2022-09-28T00:00:00"/>
    <x v="8"/>
    <s v="6042050"/>
    <s v="Rem. limited dur."/>
    <s v="MW09C21028"/>
    <s v="Segurança Industrial"/>
    <n v="375.62"/>
    <s v="37NG/37W/Horas Extras Revezamento"/>
    <x v="33"/>
    <s v=""/>
    <s v=""/>
    <s v=""/>
    <s v="4008548587"/>
    <s v="WWCAST1_HR"/>
    <s v="88"/>
  </r>
  <r>
    <x v="0"/>
    <d v="2022-09-28T00:00:00"/>
    <x v="8"/>
    <s v="6831400"/>
    <s v="Catering"/>
    <s v="MW09C21028"/>
    <s v="Segurança Industrial"/>
    <n v="233.28"/>
    <s v="Vr recup Refeições Estagiários - Set"/>
    <x v="15"/>
    <s v=""/>
    <s v=""/>
    <s v=""/>
    <s v="4008548425"/>
    <s v="GNPRP"/>
    <s v="9"/>
  </r>
  <r>
    <x v="0"/>
    <d v="2022-09-28T00:00:00"/>
    <x v="8"/>
    <s v="6032730"/>
    <s v="Exp emp con-ded"/>
    <s v="MW09C21028"/>
    <s v="Segurança Industrial"/>
    <n v="152.18"/>
    <s v="37PA/37W/Contribuição a Previdencia Privada"/>
    <x v="33"/>
    <s v=""/>
    <s v=""/>
    <s v=""/>
    <s v="4008548587"/>
    <s v="WWCAST1_HR"/>
    <s v="76"/>
  </r>
  <r>
    <x v="0"/>
    <d v="2022-09-28T00:00:00"/>
    <x v="8"/>
    <s v="6280000"/>
    <s v="Technic. spare parts"/>
    <s v="MW09C21028"/>
    <s v="Segurança Industrial"/>
    <n v="27.5"/>
    <s v="LIMPA CONTATOS LC-150 SPRAY 300ML"/>
    <x v="8"/>
    <s v=""/>
    <s v=""/>
    <s v=""/>
    <s v="4008548000"/>
    <s v="ERUCD"/>
    <s v="1"/>
  </r>
  <r>
    <x v="0"/>
    <d v="2022-09-28T00:00:00"/>
    <x v="8"/>
    <s v="6031130"/>
    <s v="Group ins salaries"/>
    <s v="MW09C21028"/>
    <s v="Segurança Industrial"/>
    <n v="-46.49"/>
    <s v="37OG/37W/Seguro de Vida Acidentes Pessoais em Grup"/>
    <x v="34"/>
    <s v=""/>
    <s v=""/>
    <s v=""/>
    <s v="4008548587"/>
    <s v="WWCAST1_HR"/>
    <s v="43"/>
  </r>
  <r>
    <x v="0"/>
    <d v="2022-09-28T00:00:00"/>
    <x v="8"/>
    <s v="6039300"/>
    <s v="Oth emp benefits"/>
    <s v="MW09C21028"/>
    <s v="Segurança Industrial"/>
    <n v="-59.9"/>
    <s v="37OR/37W/Outras Despesas Sociais"/>
    <x v="34"/>
    <s v=""/>
    <s v=""/>
    <s v=""/>
    <s v="4008548586"/>
    <s v="WWCAST1_HR"/>
    <s v="279"/>
  </r>
  <r>
    <x v="0"/>
    <d v="2022-09-28T00:00:00"/>
    <x v="8"/>
    <s v="6021550"/>
    <s v="Health ben sal"/>
    <s v="MW09C21028"/>
    <s v="Segurança Industrial"/>
    <n v="-73.8"/>
    <s v="37OS/37W/Reembolso Co-Participação Assistência Méd"/>
    <x v="34"/>
    <s v=""/>
    <s v=""/>
    <s v=""/>
    <s v="4008548587"/>
    <s v="WWCAST1_HR"/>
    <s v="86"/>
  </r>
  <r>
    <x v="0"/>
    <d v="2022-09-28T00:00:00"/>
    <x v="8"/>
    <s v="6716000"/>
    <s v="Food f. Empl."/>
    <s v="MW09C21028"/>
    <s v="Segurança Industrial"/>
    <n v="-107.69"/>
    <s v="37OV/37W/Recuperação por Refeições Fornecidas"/>
    <x v="34"/>
    <s v=""/>
    <s v=""/>
    <s v=""/>
    <s v="4008548587"/>
    <s v="WWCAST1_HR"/>
    <s v="87"/>
  </r>
  <r>
    <x v="0"/>
    <d v="2022-09-28T00:00:00"/>
    <x v="8"/>
    <s v="6052340"/>
    <s v="Soc. security contr."/>
    <s v="MW09C21028"/>
    <s v="Segurança Industrial"/>
    <n v="-141.28"/>
    <s v="37OD/37W/Provisão Encargos Sociais S/Férias DL 173"/>
    <x v="34"/>
    <s v=""/>
    <s v=""/>
    <s v=""/>
    <s v="4008548587"/>
    <s v="WWCAST1_HR"/>
    <s v="83"/>
  </r>
  <r>
    <x v="0"/>
    <d v="2022-09-28T00:00:00"/>
    <x v="8"/>
    <s v="6021550"/>
    <s v="Health ben sal"/>
    <s v="MW09C21028"/>
    <s v="Segurança Industrial"/>
    <n v="-141.33000000000001"/>
    <s v="37OJ/37W/Assistência Odontológica  -   Ativos"/>
    <x v="34"/>
    <s v=""/>
    <s v=""/>
    <s v=""/>
    <s v="4008548586"/>
    <s v="WWCAST1_HR"/>
    <s v="452"/>
  </r>
  <r>
    <x v="0"/>
    <d v="2022-09-28T00:00:00"/>
    <x v="8"/>
    <s v="6822300"/>
    <s v="Coll transp staff"/>
    <s v="MW09C21028"/>
    <s v="Segurança Industrial"/>
    <n v="-219.27"/>
    <s v="37OK/37W/Transportes Colaboradores PJ"/>
    <x v="34"/>
    <s v=""/>
    <s v=""/>
    <s v=""/>
    <s v="4008548587"/>
    <s v="WWCAST1_HR"/>
    <s v="8"/>
  </r>
  <r>
    <x v="0"/>
    <d v="2022-09-28T00:00:00"/>
    <x v="8"/>
    <s v="6052340"/>
    <s v="Soc. security contr."/>
    <s v="MW09C21028"/>
    <s v="Segurança Industrial"/>
    <n v="-384.69"/>
    <s v="37NN/37W/Provisão Pagto Férias DL 1730/79"/>
    <x v="34"/>
    <s v=""/>
    <s v=""/>
    <s v=""/>
    <s v="4008548587"/>
    <s v="WWCAST1_HR"/>
    <s v="82"/>
  </r>
  <r>
    <x v="0"/>
    <d v="2022-09-28T00:00:00"/>
    <x v="8"/>
    <s v="6021550"/>
    <s v="Health ben sal"/>
    <s v="MW09C21028"/>
    <s v="Segurança Industrial"/>
    <n v="-473.46"/>
    <s v="37OI/37U/Assistência Médica/Hospitalar PJ"/>
    <x v="34"/>
    <s v=""/>
    <s v=""/>
    <s v=""/>
    <s v="4008548587"/>
    <s v="WWCAST1_HR"/>
    <s v="876"/>
  </r>
  <r>
    <x v="0"/>
    <d v="2022-09-28T00:00:00"/>
    <x v="8"/>
    <s v="6031130"/>
    <s v="Group ins salaries"/>
    <s v="MW09C21028"/>
    <s v="Segurança Industrial"/>
    <n v="-487.78"/>
    <s v="37OG/37U/Seguro de Vida Acidentes Pessoais em Grup"/>
    <x v="34"/>
    <s v=""/>
    <s v=""/>
    <s v=""/>
    <s v="4008548587"/>
    <s v="WWCAST1_HR"/>
    <s v="792"/>
  </r>
  <r>
    <x v="0"/>
    <d v="2022-09-28T00:00:00"/>
    <x v="8"/>
    <s v="6021550"/>
    <s v="Health ben sal"/>
    <s v="MW09C21028"/>
    <s v="Segurança Industrial"/>
    <n v="-612.42999999999995"/>
    <s v="37OJ/37U/Assistência Odontológica  -   Ativos"/>
    <x v="34"/>
    <s v=""/>
    <s v=""/>
    <s v=""/>
    <s v="4008548587"/>
    <s v="WWCAST1_HR"/>
    <s v="855"/>
  </r>
  <r>
    <x v="0"/>
    <d v="2022-09-28T00:00:00"/>
    <x v="8"/>
    <s v="6021550"/>
    <s v="Health ben sal"/>
    <s v="MW09C21028"/>
    <s v="Segurança Industrial"/>
    <n v="-819.23"/>
    <s v="37OS/37U/Reembolso Co-Participação Assistência Méd"/>
    <x v="34"/>
    <s v=""/>
    <s v=""/>
    <s v=""/>
    <s v="4008548587"/>
    <s v="WWCAST1_HR"/>
    <s v="869"/>
  </r>
  <r>
    <x v="0"/>
    <d v="2022-09-28T00:00:00"/>
    <x v="8"/>
    <s v="6716000"/>
    <s v="Food f. Empl."/>
    <s v="MW09C21028"/>
    <s v="Segurança Industrial"/>
    <n v="-853.97"/>
    <s v="37OV/37U/Recuperação por Refeições Fornecidas"/>
    <x v="34"/>
    <s v=""/>
    <s v=""/>
    <s v=""/>
    <s v="4008548587"/>
    <s v="WWCAST1_HR"/>
    <s v="872"/>
  </r>
  <r>
    <x v="0"/>
    <d v="2022-09-28T00:00:00"/>
    <x v="8"/>
    <s v="6822300"/>
    <s v="Coll transp staff"/>
    <s v="MW09C21028"/>
    <s v="Segurança Industrial"/>
    <n v="-1085.03"/>
    <s v="37OK/37U/Transportes Colaboradores PJ"/>
    <x v="34"/>
    <s v=""/>
    <s v=""/>
    <s v=""/>
    <s v="4008548587"/>
    <s v="WWCAST1_HR"/>
    <s v="874"/>
  </r>
  <r>
    <x v="0"/>
    <d v="2022-09-29T00:00:00"/>
    <x v="8"/>
    <s v="8261000"/>
    <s v="FAM Settl Prim Mat"/>
    <s v="MW09C21028"/>
    <s v="Segurança Industrial"/>
    <n v="22278.37"/>
    <s v="CTR H353/MW09C21028"/>
    <x v="41"/>
    <s v="IE MW09C21028 SEG INDUSTRIAL - 2022"/>
    <s v=""/>
    <s v="Order"/>
    <s v="4600139966"/>
    <s v="SXFTM000"/>
    <s v="2"/>
  </r>
  <r>
    <x v="0"/>
    <d v="2022-09-29T00:00:00"/>
    <x v="8"/>
    <s v="8261000"/>
    <s v="FAM Settl Prim Mat"/>
    <s v="MW09C21028"/>
    <s v="Segurança Industrial"/>
    <n v="21888.35"/>
    <s v="CTR H353/MW09C21028"/>
    <x v="41"/>
    <s v="Reparos acidene tubul Incendio"/>
    <s v=""/>
    <s v="Order"/>
    <s v="4600139968"/>
    <s v="SXFTM000"/>
    <s v="2"/>
  </r>
  <r>
    <x v="0"/>
    <d v="2022-09-29T00:00:00"/>
    <x v="8"/>
    <s v="6890000"/>
    <s v="3d party pers"/>
    <s v="MW09C21028"/>
    <s v="Segurança Industrial"/>
    <n v="5251.73"/>
    <s v="Valor 3d party pers ref  Docto Nr  44945"/>
    <x v="37"/>
    <s v=""/>
    <s v="660543966"/>
    <s v=""/>
    <s v="4008555869"/>
    <s v="GEMKD"/>
    <s v="3"/>
  </r>
  <r>
    <x v="0"/>
    <d v="2022-09-29T00:00:00"/>
    <x v="8"/>
    <s v="8261000"/>
    <s v="FAM Settl Prim Mat"/>
    <s v="MW09C21028"/>
    <s v="Segurança Industrial"/>
    <n v="2236.21"/>
    <s v="CTR H353/MW09C21028"/>
    <x v="41"/>
    <s v="2022 SERVIÇOS DE LUBRIFICAÇÃO SEGURANÇA"/>
    <s v=""/>
    <s v="Order"/>
    <s v="4600139965"/>
    <s v="SXFTM000"/>
    <s v="2"/>
  </r>
  <r>
    <x v="0"/>
    <d v="2022-09-29T00:00:00"/>
    <x v="8"/>
    <s v="8261000"/>
    <s v="FAM Settl Prim Mat"/>
    <s v="MW09C21028"/>
    <s v="Segurança Industrial"/>
    <n v="1661.97"/>
    <s v="CTR H353/MW09C21028"/>
    <x v="41"/>
    <s v="IE MAN REDE DE INCÊNDIO 2022 (21028)"/>
    <s v=""/>
    <s v="Order"/>
    <s v="4600139967"/>
    <s v="SXFTM000"/>
    <s v="2"/>
  </r>
  <r>
    <x v="0"/>
    <d v="2022-09-29T00:00:00"/>
    <x v="8"/>
    <s v="8262000"/>
    <s v="FAM Settl Serv (Ext)"/>
    <s v="MW09C21028"/>
    <s v="Segurança Industrial"/>
    <n v="1564.21"/>
    <s v="CTR H353/MW09C21028"/>
    <x v="41"/>
    <s v="IE SERV ELÉTRICA ADMINISTRATIVO 2022"/>
    <s v=""/>
    <s v="Order"/>
    <s v="4600139423"/>
    <s v="SXFTM000"/>
    <s v="4"/>
  </r>
  <r>
    <x v="0"/>
    <d v="2022-09-29T00:00:00"/>
    <x v="8"/>
    <s v="8262000"/>
    <s v="FAM Settl Serv (Ext)"/>
    <s v="MW09C21028"/>
    <s v="Segurança Industrial"/>
    <n v="1211.31"/>
    <s v="CTR H353/MW09C21028"/>
    <x v="41"/>
    <s v="IE SERV HIDRAULICA ADMINISTRATIVO 2022"/>
    <s v=""/>
    <s v="Order"/>
    <s v="4600139422"/>
    <s v="SXFTM000"/>
    <s v="10"/>
  </r>
  <r>
    <x v="0"/>
    <d v="2022-09-29T00:00:00"/>
    <x v="8"/>
    <s v="8262000"/>
    <s v="FAM Settl Serv (Ext)"/>
    <s v="MW09C21028"/>
    <s v="Segurança Industrial"/>
    <n v="1136.58"/>
    <s v="CTR H353/MW09C21028"/>
    <x v="41"/>
    <s v="MAN 2022 SÓ ACUMULADORES"/>
    <s v=""/>
    <s v="Order"/>
    <s v="4600139971"/>
    <s v="SXFTM000"/>
    <s v="4"/>
  </r>
  <r>
    <x v="0"/>
    <d v="2022-09-29T00:00:00"/>
    <x v="8"/>
    <s v="8261000"/>
    <s v="FAM Settl Prim Mat"/>
    <s v="MW09C21028"/>
    <s v="Segurança Industrial"/>
    <n v="896.03"/>
    <s v="CTR H353/MW09C21028"/>
    <x v="41"/>
    <s v="Locação de plataforma 2022"/>
    <s v=""/>
    <s v="Order"/>
    <s v="4600139470"/>
    <s v="SXFTM000"/>
    <s v="6"/>
  </r>
  <r>
    <x v="0"/>
    <d v="2022-09-29T00:00:00"/>
    <x v="8"/>
    <s v="8262000"/>
    <s v="FAM Settl Serv (Ext)"/>
    <s v="MW09C21028"/>
    <s v="Segurança Industrial"/>
    <n v="547.85"/>
    <s v="CTR H353/MW09C21028"/>
    <x v="41"/>
    <s v="IE SERV MARCENARIA ADMINISTRATIVO 2022"/>
    <s v=""/>
    <s v="Order"/>
    <s v="4600139402"/>
    <s v="SXFTM000"/>
    <s v="8"/>
  </r>
  <r>
    <x v="0"/>
    <d v="2022-09-29T00:00:00"/>
    <x v="8"/>
    <s v="8262000"/>
    <s v="FAM Settl Serv (Ext)"/>
    <s v="MW09C21028"/>
    <s v="Segurança Industrial"/>
    <n v="-2236.21"/>
    <s v="CTR H353/MW09C21028"/>
    <x v="41"/>
    <s v="2022 SERVIÇOS DE LUBRIFICAÇÃO SEGURANÇA"/>
    <s v=""/>
    <s v="Order"/>
    <s v="4600139965"/>
    <s v="SXFTM000"/>
    <s v="4"/>
  </r>
  <r>
    <x v="0"/>
    <d v="2022-09-29T00:00:00"/>
    <x v="8"/>
    <s v="8262000"/>
    <s v="FAM Settl Serv (Ext)"/>
    <s v="MW09C21028"/>
    <s v="Segurança Industrial"/>
    <n v="-11820.04"/>
    <s v="CTR H353/MW09C21028"/>
    <x v="41"/>
    <s v="IE MW09C21028 SEG INDUSTRIAL - 2022"/>
    <s v=""/>
    <s v="Order"/>
    <s v="4600139966"/>
    <s v="SXFTM000"/>
    <s v="4"/>
  </r>
  <r>
    <x v="0"/>
    <d v="2022-09-29T00:00:00"/>
    <x v="8"/>
    <s v="8262000"/>
    <s v="FAM Settl Serv (Ext)"/>
    <s v="MW09C21028"/>
    <s v="Segurança Industrial"/>
    <n v="-15069.6"/>
    <s v="CTR H353/MW09C21028"/>
    <x v="41"/>
    <s v="Reparos acidene tubul Incendio"/>
    <s v=""/>
    <s v="Order"/>
    <s v="4600139968"/>
    <s v="SXFTM000"/>
    <s v="4"/>
  </r>
  <r>
    <x v="0"/>
    <d v="2022-09-30T00:00:00"/>
    <x v="8"/>
    <s v="6622400"/>
    <s v="Depr Infrastructure"/>
    <s v="MW09C21028"/>
    <s v="Segurança Industrial"/>
    <n v="97364.81"/>
    <s v="AFB30202200901 0000000072"/>
    <x v="35"/>
    <s v=""/>
    <s v=""/>
    <s v=""/>
    <s v="4008556460"/>
    <s v="SXFTMRB0"/>
    <s v="9"/>
  </r>
  <r>
    <x v="0"/>
    <d v="2022-09-30T00:00:00"/>
    <x v="8"/>
    <s v="6021550"/>
    <s v="Health ben sal"/>
    <s v="MW09C21028"/>
    <s v="Segurança Industrial"/>
    <n v="67842.05"/>
    <s v="Lancamento Amil   Setembro"/>
    <x v="44"/>
    <s v=""/>
    <s v=""/>
    <s v=""/>
    <s v="4008559273"/>
    <s v="GMEYG"/>
    <s v="320"/>
  </r>
  <r>
    <x v="0"/>
    <d v="2022-09-30T00:00:00"/>
    <x v="8"/>
    <s v="6622000"/>
    <s v="Depr Buildings"/>
    <s v="MW09C21028"/>
    <s v="Segurança Industrial"/>
    <n v="28230.5"/>
    <s v="AFB30202200901 0000000071"/>
    <x v="36"/>
    <s v=""/>
    <s v=""/>
    <s v=""/>
    <s v="4008556459"/>
    <s v="SXFTMRB0"/>
    <s v="32"/>
  </r>
  <r>
    <x v="0"/>
    <d v="2022-09-30T00:00:00"/>
    <x v="8"/>
    <s v="6624030"/>
    <s v="Depr Transp."/>
    <s v="MW09C21028"/>
    <s v="Segurança Industrial"/>
    <n v="23411.97"/>
    <s v="AFB30202200901 0000000074"/>
    <x v="61"/>
    <s v=""/>
    <s v=""/>
    <s v=""/>
    <s v="4008556462"/>
    <s v="SXFTMRB0"/>
    <s v="12"/>
  </r>
  <r>
    <x v="0"/>
    <d v="2022-09-30T00:00:00"/>
    <x v="8"/>
    <s v="6012500"/>
    <s v="Bonuses workers"/>
    <s v="MW09C21028"/>
    <s v="Segurança Industrial"/>
    <n v="22438.94"/>
    <s v="Lancto RH Bonuses workers"/>
    <x v="45"/>
    <s v=""/>
    <s v=""/>
    <s v=""/>
    <s v="4008557745"/>
    <s v="BRZFX_HR"/>
    <s v="151"/>
  </r>
  <r>
    <x v="0"/>
    <d v="2022-09-30T00:00:00"/>
    <x v="8"/>
    <s v="6624010"/>
    <s v="Depr IT-Hardware"/>
    <s v="MW09C21028"/>
    <s v="Segurança Industrial"/>
    <n v="14459.13"/>
    <s v="AFB30202200901 0000000073"/>
    <x v="38"/>
    <s v=""/>
    <s v=""/>
    <s v=""/>
    <s v="4008556461"/>
    <s v="SXFTMRB0"/>
    <s v="40"/>
  </r>
  <r>
    <x v="0"/>
    <d v="2022-09-30T00:00:00"/>
    <x v="8"/>
    <s v="6011500"/>
    <s v="Bonuses"/>
    <s v="MW09C21028"/>
    <s v="Segurança Industrial"/>
    <n v="3396.14"/>
    <s v="Lancto RH Bonuses"/>
    <x v="45"/>
    <s v=""/>
    <s v=""/>
    <s v=""/>
    <s v="4008557745"/>
    <s v="BRZFX_HR"/>
    <s v="157"/>
  </r>
  <r>
    <x v="0"/>
    <d v="2022-09-30T00:00:00"/>
    <x v="8"/>
    <s v="6200000"/>
    <s v="Maint &amp; Leg/Co.Compl"/>
    <s v="MW09C21028"/>
    <s v="Segurança Industrial"/>
    <n v="3211.57"/>
    <s v="SISTEMA TRONCALIZADO TETRA DAMM (2 repet"/>
    <x v="62"/>
    <s v=""/>
    <s v="660540809"/>
    <s v=""/>
    <s v="4008557949"/>
    <s v="GNEPP"/>
    <s v="1"/>
  </r>
  <r>
    <x v="0"/>
    <d v="2022-09-30T00:00:00"/>
    <x v="8"/>
    <s v="6039300"/>
    <s v="Oth emp benefits"/>
    <s v="MW09C21028"/>
    <s v="Segurança Industrial"/>
    <n v="2497.4699999999998"/>
    <s v="Lancamento Outros Beneficios   Setembro"/>
    <x v="44"/>
    <s v=""/>
    <s v=""/>
    <s v=""/>
    <s v="4008559273"/>
    <s v="GMEYG"/>
    <s v="136"/>
  </r>
  <r>
    <x v="0"/>
    <d v="2022-09-30T00:00:00"/>
    <x v="8"/>
    <s v="6623000"/>
    <s v="Depr Mach/tech Prod"/>
    <s v="MW09C21028"/>
    <s v="Segurança Industrial"/>
    <n v="1793.55"/>
    <s v="AFB30202200901 0000000072"/>
    <x v="35"/>
    <s v=""/>
    <s v=""/>
    <s v=""/>
    <s v="4008556460"/>
    <s v="SXFTMRB0"/>
    <s v="51"/>
  </r>
  <r>
    <x v="0"/>
    <d v="2022-09-30T00:00:00"/>
    <x v="8"/>
    <s v="6021550"/>
    <s v="Health ben sal"/>
    <s v="MW09C21028"/>
    <s v="Segurança Industrial"/>
    <n v="1377.42"/>
    <s v="Lancamento Odontoprev   Setembro"/>
    <x v="44"/>
    <s v=""/>
    <s v=""/>
    <s v=""/>
    <s v="4008559273"/>
    <s v="GMEYG"/>
    <s v="507"/>
  </r>
  <r>
    <x v="0"/>
    <d v="2022-09-30T00:00:00"/>
    <x v="8"/>
    <s v="6031130"/>
    <s v="Group ins salaries"/>
    <s v="MW09C21028"/>
    <s v="Segurança Industrial"/>
    <n v="1143.9100000000001"/>
    <s v="Lancamento Seguro de Vida   Setembro"/>
    <x v="44"/>
    <s v=""/>
    <s v=""/>
    <s v=""/>
    <s v="4008559273"/>
    <s v="GMEYG"/>
    <s v="729"/>
  </r>
  <r>
    <x v="0"/>
    <d v="2022-09-30T00:00:00"/>
    <x v="8"/>
    <s v="6624000"/>
    <s v="Depr F/Fix"/>
    <s v="MW09C21028"/>
    <s v="Segurança Industrial"/>
    <n v="152.91"/>
    <s v="AFB30202200901 0000000073"/>
    <x v="38"/>
    <s v=""/>
    <s v=""/>
    <s v=""/>
    <s v="4008556461"/>
    <s v="SXFTMRB0"/>
    <s v="7"/>
  </r>
  <r>
    <x v="0"/>
    <d v="2022-09-30T00:00:00"/>
    <x v="8"/>
    <s v="6831400"/>
    <s v="Catering"/>
    <s v="MW09C21028"/>
    <s v="Segurança Industrial"/>
    <n v="51.28"/>
    <s v="Lancamento Ticket   Setembro"/>
    <x v="42"/>
    <s v=""/>
    <s v=""/>
    <s v=""/>
    <s v="4008559274"/>
    <s v="GMEYG"/>
    <s v="48"/>
  </r>
  <r>
    <x v="0"/>
    <d v="2022-09-30T00:00:00"/>
    <x v="8"/>
    <s v="6876100"/>
    <s v="Nondeductible VAT"/>
    <s v="MW09C21028"/>
    <s v="Segurança Industrial"/>
    <n v="-16.04"/>
    <s v="Estorno 4610009015 lancamento indevido"/>
    <x v="91"/>
    <s v=""/>
    <s v=""/>
    <s v=""/>
    <s v="4008559006"/>
    <s v="GNROO"/>
    <s v="71"/>
  </r>
  <r>
    <x v="0"/>
    <d v="2022-09-30T00:00:00"/>
    <x v="8"/>
    <s v="6879990"/>
    <s v="Other taxes"/>
    <s v="MW09C21028"/>
    <s v="Segurança Industrial"/>
    <n v="-10242.73"/>
    <s v="Credito de PIS e COFINS sobre a depreciacao SET 20"/>
    <x v="49"/>
    <s v=""/>
    <s v=""/>
    <s v=""/>
    <s v="4008558100"/>
    <s v="GMGLN"/>
    <s v="31"/>
  </r>
  <r>
    <x v="0"/>
    <d v="2022-10-01T00:00:00"/>
    <x v="8"/>
    <s v="8262000"/>
    <s v="FAM Settl Serv (Ext)"/>
    <s v="MW09C21028"/>
    <s v="Segurança Industrial"/>
    <n v="1550.68"/>
    <s v="CTR H353/MW09C21028"/>
    <x v="41"/>
    <s v="IE SERV ELÉTRICA ADMINISTRATIVO 2022"/>
    <s v=""/>
    <s v="Order"/>
    <s v="4600139337"/>
    <s v="SXFTMRB0"/>
    <s v="4"/>
  </r>
  <r>
    <x v="0"/>
    <d v="2022-10-01T00:00:00"/>
    <x v="8"/>
    <s v="8262000"/>
    <s v="FAM Settl Serv (Ext)"/>
    <s v="MW09C21028"/>
    <s v="Segurança Industrial"/>
    <n v="1200.83"/>
    <s v="CTR H353/MW09C21028"/>
    <x v="41"/>
    <s v="IE SERV HIDRAULICA ADMINISTRATIVO 2022"/>
    <s v=""/>
    <s v="Order"/>
    <s v="4600139336"/>
    <s v="SXFTMRB0"/>
    <s v="10"/>
  </r>
  <r>
    <x v="0"/>
    <d v="2022-10-01T00:00:00"/>
    <x v="8"/>
    <s v="8262000"/>
    <s v="FAM Settl Serv (Ext)"/>
    <s v="MW09C21028"/>
    <s v="Segurança Industrial"/>
    <n v="543.11"/>
    <s v="CTR H353/MW09C21028"/>
    <x v="41"/>
    <s v="IE SERV MARCENARIA ADMINISTRATIVO 2022"/>
    <s v=""/>
    <s v="Order"/>
    <s v="4600139334"/>
    <s v="SXFTMRB0"/>
    <s v="8"/>
  </r>
  <r>
    <x v="0"/>
    <d v="2022-10-01T00:00:00"/>
    <x v="8"/>
    <s v="8261000"/>
    <s v="FAM Settl Prim Mat"/>
    <s v="MW09C21028"/>
    <s v="Segurança Industrial"/>
    <n v="144.41"/>
    <s v="CTR H353/MW09C21028"/>
    <x v="41"/>
    <s v="IE MW09C21028 SEG INDUSTRIAL - 2022"/>
    <s v=""/>
    <s v="Order"/>
    <s v="4600139345"/>
    <s v="SXFTMRB0"/>
    <s v="2"/>
  </r>
  <r>
    <x v="0"/>
    <d v="2022-10-03T00:00:00"/>
    <x v="9"/>
    <s v="6200000"/>
    <s v="Maint &amp; Leg/Co.Compl"/>
    <s v="MW09C21028"/>
    <s v="Segurança Industrial"/>
    <n v="6626.76"/>
    <s v="Valor do documento Nr  3630 1"/>
    <x v="92"/>
    <s v=""/>
    <s v="660524016"/>
    <s v=""/>
    <s v="4008563461"/>
    <s v="GMGNT"/>
    <s v="1"/>
  </r>
  <r>
    <x v="0"/>
    <d v="2022-10-03T00:00:00"/>
    <x v="9"/>
    <s v="6200000"/>
    <s v="Maint &amp; Leg/Co.Compl"/>
    <s v="MW09C21028"/>
    <s v="Segurança Industrial"/>
    <n v="5281.45"/>
    <s v="Valor do documento Nr  3630 1"/>
    <x v="92"/>
    <s v=""/>
    <s v="660524016"/>
    <s v=""/>
    <s v="4008563461"/>
    <s v="GMGNT"/>
    <s v="3"/>
  </r>
  <r>
    <x v="0"/>
    <d v="2022-10-03T00:00:00"/>
    <x v="9"/>
    <s v="6200000"/>
    <s v="Maint &amp; Leg/Co.Compl"/>
    <s v="MW09C21028"/>
    <s v="Segurança Industrial"/>
    <n v="3650.46"/>
    <s v="Valor do documento Nr  3630 1"/>
    <x v="92"/>
    <s v=""/>
    <s v="660524016"/>
    <s v=""/>
    <s v="4008563461"/>
    <s v="GMGNT"/>
    <s v="2"/>
  </r>
  <r>
    <x v="0"/>
    <d v="2022-10-04T00:00:00"/>
    <x v="8"/>
    <s v="6121000"/>
    <s v="Electricity var"/>
    <s v="MW09C21028"/>
    <s v="Segurança Industrial"/>
    <n v="10281.84"/>
    <s v="MW4A010010MW09C21027 Energia Eletrica Va"/>
    <x v="41"/>
    <s v="Alocações Periódicas"/>
    <s v=""/>
    <s v="Cost center"/>
    <s v="4400017800"/>
    <s v="SXFTMRB0"/>
    <s v="139"/>
  </r>
  <r>
    <x v="0"/>
    <d v="2022-10-04T00:00:00"/>
    <x v="8"/>
    <s v="6121001"/>
    <s v="Electricity fix"/>
    <s v="MW09C21028"/>
    <s v="Segurança Industrial"/>
    <n v="7813.92"/>
    <s v="MW4A010014MW09C21027 Energia Eletrica Fi"/>
    <x v="41"/>
    <s v="Alocações Periódicas"/>
    <s v=""/>
    <s v="Cost center"/>
    <s v="4400017800"/>
    <s v="SXFTMRB0"/>
    <s v="239"/>
  </r>
  <r>
    <x v="0"/>
    <d v="2022-10-04T00:00:00"/>
    <x v="8"/>
    <s v="6321000"/>
    <s v="General supplies"/>
    <s v="MW09C21028"/>
    <s v="Segurança Industrial"/>
    <n v="2325.6799999999998"/>
    <s v="MW4A010015MW09C21027 Energia Eletrica Fi"/>
    <x v="41"/>
    <s v="Alocações Periódicas"/>
    <s v=""/>
    <s v="Cost center"/>
    <s v="4400017800"/>
    <s v="SXFTMRB0"/>
    <s v="277"/>
  </r>
  <r>
    <x v="0"/>
    <d v="2022-10-04T00:00:00"/>
    <x v="8"/>
    <s v="6101000"/>
    <s v="Water var"/>
    <s v="MW09C21028"/>
    <s v="Segurança Industrial"/>
    <n v="1591.55"/>
    <s v="MW4A010008MW09C21027 Ág. Processo"/>
    <x v="41"/>
    <s v="Alocações Periódicas"/>
    <s v=""/>
    <s v="Cost center"/>
    <s v="4400017800"/>
    <s v="SXFTMRB0"/>
    <s v="37"/>
  </r>
  <r>
    <x v="0"/>
    <d v="2022-10-04T00:00:00"/>
    <x v="8"/>
    <s v="6109990"/>
    <s v="Water - Other"/>
    <s v="MW09C21028"/>
    <s v="Segurança Industrial"/>
    <n v="-821.84"/>
    <s v="MW4A010009MW09C21027 Ág. Potavel"/>
    <x v="41"/>
    <s v="Alocações Periódicas"/>
    <s v=""/>
    <s v="Cost center"/>
    <s v="4400017800"/>
    <s v="SXFTMRB0"/>
    <s v="83"/>
  </r>
  <r>
    <x v="0"/>
    <d v="2022-10-04T00:00:00"/>
    <x v="8"/>
    <s v="7711010"/>
    <s v="Security Service ASS"/>
    <s v="MW09C21028"/>
    <s v="Segurança Industrial"/>
    <n v="-730167.06"/>
    <s v="MW5B02_017MW09C21028"/>
    <x v="41"/>
    <s v="Prédio 6201"/>
    <s v=""/>
    <s v="Cost center"/>
    <s v="4400017901"/>
    <s v="SXFTMRB0"/>
    <s v="298"/>
  </r>
  <r>
    <x v="0"/>
    <d v="2022-10-05T00:00:00"/>
    <x v="9"/>
    <s v="6711000"/>
    <s v="Security Service"/>
    <s v="MW09C21028"/>
    <s v="Segurança Industrial"/>
    <n v="322580.15000000002"/>
    <s v="Valor Security Service ref  Docto Nr  9266"/>
    <x v="17"/>
    <s v=""/>
    <s v="660515314"/>
    <s v=""/>
    <s v="4008568255"/>
    <s v="GNLUA"/>
    <s v="1"/>
  </r>
  <r>
    <x v="0"/>
    <d v="2022-10-05T00:00:00"/>
    <x v="9"/>
    <s v="6711000"/>
    <s v="Security Service"/>
    <s v="MW09C21028"/>
    <s v="Segurança Industrial"/>
    <n v="322580.15000000002"/>
    <s v="Valor Security Service ref  Docto Nr  9439"/>
    <x v="17"/>
    <s v=""/>
    <s v="660531592"/>
    <s v=""/>
    <s v="4008568302"/>
    <s v="GNLUA"/>
    <s v="1"/>
  </r>
  <r>
    <x v="0"/>
    <d v="2022-10-05T00:00:00"/>
    <x v="9"/>
    <s v="6711000"/>
    <s v="Security Service"/>
    <s v="MW09C21028"/>
    <s v="Segurança Industrial"/>
    <n v="5424.48"/>
    <s v="Valor Security Service ref  Docto Nr  1069"/>
    <x v="18"/>
    <s v=""/>
    <s v=""/>
    <s v=""/>
    <s v="4008568046"/>
    <s v="GNEPP"/>
    <s v="1"/>
  </r>
  <r>
    <x v="0"/>
    <d v="2022-10-05T00:00:00"/>
    <x v="9"/>
    <s v="6711000"/>
    <s v="Security Service"/>
    <s v="MW09C21028"/>
    <s v="Segurança Industrial"/>
    <n v="5424.48"/>
    <s v="Valor Security Service ref  Docto Nr  1009"/>
    <x v="18"/>
    <s v=""/>
    <s v=""/>
    <s v=""/>
    <s v="4008568426"/>
    <s v="GNEPP"/>
    <s v="1"/>
  </r>
  <r>
    <x v="0"/>
    <d v="2022-10-05T00:00:00"/>
    <x v="9"/>
    <s v="6542000"/>
    <s v="Environmental serv"/>
    <s v="MW09C21028"/>
    <s v="Segurança Industrial"/>
    <n v="159.6"/>
    <s v="Valor Environmental serv ref  Docto Nr  50884"/>
    <x v="6"/>
    <s v=""/>
    <s v="660546700"/>
    <s v=""/>
    <s v="4008568043"/>
    <s v="GNEPP"/>
    <s v="4"/>
  </r>
  <r>
    <x v="0"/>
    <d v="2022-10-05T00:00:00"/>
    <x v="9"/>
    <s v="6542000"/>
    <s v="Environmental serv"/>
    <s v="MW09C21028"/>
    <s v="Segurança Industrial"/>
    <n v="157.54"/>
    <s v="Valor Environmental serv ref  Docto Nr  50885"/>
    <x v="6"/>
    <s v=""/>
    <s v="660546714"/>
    <s v=""/>
    <s v="4008568038"/>
    <s v="GNEPP"/>
    <s v="4"/>
  </r>
  <r>
    <x v="0"/>
    <d v="2022-10-07T00:00:00"/>
    <x v="9"/>
    <s v="6711000"/>
    <s v="Security Service"/>
    <s v="MW09C21028"/>
    <s v="Segurança Industrial"/>
    <n v="322580.15000000002"/>
    <s v="Valor Security Service ref  Docto Nr  9175"/>
    <x v="17"/>
    <s v=""/>
    <s v="660500530"/>
    <s v=""/>
    <s v="4008574907"/>
    <s v="GLRPZ"/>
    <s v="1"/>
  </r>
  <r>
    <x v="0"/>
    <d v="2022-10-07T00:00:00"/>
    <x v="9"/>
    <s v="6711000"/>
    <s v="Security Service"/>
    <s v="MW09C21028"/>
    <s v="Segurança Industrial"/>
    <n v="5424.48"/>
    <s v="Valor Security Service ref  Docto Nr  972"/>
    <x v="18"/>
    <s v=""/>
    <s v=""/>
    <s v=""/>
    <s v="4008573306"/>
    <s v="GNEPP"/>
    <s v="1"/>
  </r>
  <r>
    <x v="0"/>
    <d v="2022-10-07T00:00:00"/>
    <x v="9"/>
    <s v="6280000"/>
    <s v="Technic. spare parts"/>
    <s v="MW09C21028"/>
    <s v="Segurança Industrial"/>
    <n v="1784.7"/>
    <s v="Valor Technic  spare parts ref  Docto Nr  26500"/>
    <x v="12"/>
    <s v=""/>
    <s v="660540275"/>
    <s v=""/>
    <s v="4008574568"/>
    <s v="GNEPP"/>
    <s v="1"/>
  </r>
  <r>
    <x v="0"/>
    <d v="2022-10-07T00:00:00"/>
    <x v="9"/>
    <s v="6629004"/>
    <s v="LVA Tangible Exp"/>
    <s v="MW09C21028"/>
    <s v="Segurança Industrial"/>
    <n v="438.9"/>
    <s v="Valor LVA Tangible Exp ref  Docto Nr  1997"/>
    <x v="5"/>
    <s v=""/>
    <s v="660540273"/>
    <s v=""/>
    <s v="4008572778"/>
    <s v="GEMKD"/>
    <s v="1"/>
  </r>
  <r>
    <x v="0"/>
    <d v="2022-10-08T00:00:00"/>
    <x v="9"/>
    <s v="6829990"/>
    <s v="Other travel cost"/>
    <s v="MW09C21028"/>
    <s v="Segurança Industrial"/>
    <n v="215.9"/>
    <s v="Abastecimento Veículo Emergencial Segurança Indust"/>
    <x v="24"/>
    <s v=""/>
    <s v=""/>
    <s v=""/>
    <s v="4008576747"/>
    <s v="SXIDOCXI"/>
    <s v="1"/>
  </r>
  <r>
    <x v="0"/>
    <d v="2022-10-09T00:00:00"/>
    <x v="9"/>
    <s v="6451000"/>
    <s v="Carrier Fees Voice"/>
    <s v="MW09C21028"/>
    <s v="Segurança Industrial"/>
    <n v="4108.99"/>
    <s v="Politica Bayphone/07615008/A0350EAD9C5A44EBB43C/Re"/>
    <x v="93"/>
    <s v=""/>
    <s v=""/>
    <s v=""/>
    <s v="4008577739"/>
    <s v="SXIDOCXI"/>
    <s v="1"/>
  </r>
  <r>
    <x v="0"/>
    <d v="2022-10-10T00:00:00"/>
    <x v="9"/>
    <s v="6711000"/>
    <s v="Security Service"/>
    <s v="MW09C21028"/>
    <s v="Segurança Industrial"/>
    <n v="9557.0499999999993"/>
    <s v="SEGURANÇA PATRIMONIAL - BELFORD ROXO"/>
    <x v="11"/>
    <s v=""/>
    <s v="660540609"/>
    <s v=""/>
    <s v="4008579599"/>
    <s v="GMGNH"/>
    <s v="1"/>
  </r>
  <r>
    <x v="0"/>
    <d v="2022-10-10T00:00:00"/>
    <x v="9"/>
    <s v="6542000"/>
    <s v="Environmental serv"/>
    <s v="MW09C21028"/>
    <s v="Segurança Industrial"/>
    <n v="4780.07"/>
    <s v="MANUT.PREVENTIVA COMPRESSORES AR"/>
    <x v="0"/>
    <s v=""/>
    <s v="660540608"/>
    <s v=""/>
    <s v="4008579440"/>
    <s v="GMGNH"/>
    <s v="1"/>
  </r>
  <r>
    <x v="0"/>
    <d v="2022-10-10T00:00:00"/>
    <x v="9"/>
    <s v="6715000"/>
    <s v="Fire prevent serv."/>
    <s v="MW09C21028"/>
    <s v="Segurança Industrial"/>
    <n v="10193.99"/>
    <s v="Inspeção e Manutenção de Rede Incêndio"/>
    <x v="10"/>
    <s v=""/>
    <s v="660540611"/>
    <s v=""/>
    <s v="4008579510"/>
    <s v="GMGNH"/>
    <s v="1"/>
  </r>
  <r>
    <x v="0"/>
    <d v="2022-10-11T00:00:00"/>
    <x v="9"/>
    <s v="6829990"/>
    <s v="Other travel cost"/>
    <s v="MW09C21028"/>
    <s v="Segurança Industrial"/>
    <n v="3681.09"/>
    <s v="Abastecimento/06169225/4F949979E14345D3A5B5/RDVV F"/>
    <x v="20"/>
    <s v=""/>
    <s v=""/>
    <s v=""/>
    <s v="4008581059"/>
    <s v="SXIDOCXI"/>
    <s v="3"/>
  </r>
  <r>
    <x v="0"/>
    <d v="2022-10-11T00:00:00"/>
    <x v="9"/>
    <s v="6821400"/>
    <s v="Lodging"/>
    <s v="MW09C21028"/>
    <s v="Segurança Industrial"/>
    <n v="2619.75"/>
    <s v="Reunião Corporate Security/06169225/14751A63FB4D4C"/>
    <x v="20"/>
    <s v=""/>
    <s v=""/>
    <s v=""/>
    <s v="4008581060"/>
    <s v="SXIDOCXI"/>
    <s v="6"/>
  </r>
  <r>
    <x v="0"/>
    <d v="2022-10-11T00:00:00"/>
    <x v="9"/>
    <s v="6829990"/>
    <s v="Other travel cost"/>
    <s v="MW09C21028"/>
    <s v="Segurança Industrial"/>
    <n v="1657.88"/>
    <s v="Abastecimento/06169225/14751A63FB4D4CCBA676/RDVV F"/>
    <x v="20"/>
    <s v=""/>
    <s v=""/>
    <s v=""/>
    <s v="4008581060"/>
    <s v="SXIDOCXI"/>
    <s v="1"/>
  </r>
  <r>
    <x v="0"/>
    <d v="2022-10-11T00:00:00"/>
    <x v="9"/>
    <s v="6821200"/>
    <s v="Food allowance"/>
    <s v="MW09C21028"/>
    <s v="Segurança Industrial"/>
    <n v="409.6"/>
    <s v="Missão Executiva/06169225/4F949979E14345D3A5B5/RDV"/>
    <x v="20"/>
    <s v=""/>
    <s v=""/>
    <s v=""/>
    <s v="4008581059"/>
    <s v="SXIDOCXI"/>
    <s v="10"/>
  </r>
  <r>
    <x v="0"/>
    <d v="2022-10-11T00:00:00"/>
    <x v="9"/>
    <s v="6829990"/>
    <s v="Other travel cost"/>
    <s v="MW09C21028"/>
    <s v="Segurança Industrial"/>
    <n v="331.57"/>
    <s v="/06169225/4F949979E14345D3A5B5/RDVV FARIAS/Weverso"/>
    <x v="20"/>
    <s v=""/>
    <s v=""/>
    <s v=""/>
    <s v="4008581059"/>
    <s v="SXIDOCXI"/>
    <s v="1"/>
  </r>
  <r>
    <x v="0"/>
    <d v="2022-10-11T00:00:00"/>
    <x v="9"/>
    <s v="6831100"/>
    <s v="Bus meals"/>
    <s v="MW09C21028"/>
    <s v="Segurança Industrial"/>
    <n v="240.24"/>
    <s v="Viagem para São Paulo./06169225/14751A63FB4D4CCBA6"/>
    <x v="20"/>
    <s v=""/>
    <s v=""/>
    <s v=""/>
    <s v="4008581060"/>
    <s v="SXIDOCXI"/>
    <s v="8"/>
  </r>
  <r>
    <x v="0"/>
    <d v="2022-10-11T00:00:00"/>
    <x v="9"/>
    <s v="6829990"/>
    <s v="Other travel cost"/>
    <s v="MW09C21028"/>
    <s v="Segurança Industrial"/>
    <n v="210.2"/>
    <s v="Mensalidade/Pedágios/Estacionamento/06169225/4F949"/>
    <x v="20"/>
    <s v=""/>
    <s v=""/>
    <s v=""/>
    <s v="4008581059"/>
    <s v="SXIDOCXI"/>
    <s v="7"/>
  </r>
  <r>
    <x v="0"/>
    <d v="2022-10-11T00:00:00"/>
    <x v="9"/>
    <s v="6829990"/>
    <s v="Other travel cost"/>
    <s v="MW09C21028"/>
    <s v="Segurança Industrial"/>
    <n v="170.32"/>
    <s v="Mensalidade/Pedagio/Estacionamento/06169225/14751A"/>
    <x v="20"/>
    <s v=""/>
    <s v=""/>
    <s v=""/>
    <s v="4008581060"/>
    <s v="SXIDOCXI"/>
    <s v="2"/>
  </r>
  <r>
    <x v="0"/>
    <d v="2022-10-11T00:00:00"/>
    <x v="9"/>
    <s v="6822100"/>
    <s v="Transp cost staff"/>
    <s v="MW09C21028"/>
    <s v="Segurança Industrial"/>
    <n v="146"/>
    <s v="Viagem para São Paulo./06169225/14751A63FB4D4CCBA6"/>
    <x v="20"/>
    <s v=""/>
    <s v=""/>
    <s v=""/>
    <s v="4008581060"/>
    <s v="SXIDOCXI"/>
    <s v="3"/>
  </r>
  <r>
    <x v="0"/>
    <d v="2022-10-11T00:00:00"/>
    <x v="9"/>
    <s v="6821200"/>
    <s v="Food allowance"/>
    <s v="MW09C21028"/>
    <s v="Segurança Industrial"/>
    <n v="107.59"/>
    <s v="Viagem para São Paulo./06169225/14751A63FB4D4CCBA6"/>
    <x v="20"/>
    <s v=""/>
    <s v=""/>
    <s v=""/>
    <s v="4008581060"/>
    <s v="SXIDOCXI"/>
    <s v="12"/>
  </r>
  <r>
    <x v="0"/>
    <d v="2022-10-11T00:00:00"/>
    <x v="9"/>
    <s v="6829990"/>
    <s v="Other travel cost"/>
    <s v="MW09C21028"/>
    <s v="Segurança Industrial"/>
    <n v="58.2"/>
    <s v="Autenticação de Documentos/06169225/4F949979E14345"/>
    <x v="20"/>
    <s v=""/>
    <s v=""/>
    <s v=""/>
    <s v="4008581059"/>
    <s v="SXIDOCXI"/>
    <s v="4"/>
  </r>
  <r>
    <x v="0"/>
    <d v="2022-10-11T00:00:00"/>
    <x v="9"/>
    <s v="6822100"/>
    <s v="Transp cost staff"/>
    <s v="MW09C21028"/>
    <s v="Segurança Industrial"/>
    <n v="57"/>
    <s v="Viagem para São Paulo/06169225/14751A63FB4D4CCBA67"/>
    <x v="20"/>
    <s v=""/>
    <s v=""/>
    <s v=""/>
    <s v="4008581060"/>
    <s v="SXIDOCXI"/>
    <s v="5"/>
  </r>
  <r>
    <x v="0"/>
    <d v="2022-10-11T00:00:00"/>
    <x v="9"/>
    <s v="6821400"/>
    <s v="Lodging"/>
    <s v="MW09C21028"/>
    <s v="Segurança Industrial"/>
    <n v="54"/>
    <s v="Viagem para São Paulo./06169225/14751A63FB4D4CCBA6"/>
    <x v="20"/>
    <s v=""/>
    <s v=""/>
    <s v=""/>
    <s v="4008581060"/>
    <s v="SXIDOCXI"/>
    <s v="7"/>
  </r>
  <r>
    <x v="0"/>
    <d v="2022-10-11T00:00:00"/>
    <x v="9"/>
    <s v="6821200"/>
    <s v="Food allowance"/>
    <s v="MW09C21028"/>
    <s v="Segurança Industrial"/>
    <n v="47.9"/>
    <s v="Viagem São Paulo/06169225/14751A63FB4D4CCBA676/RDV"/>
    <x v="20"/>
    <s v=""/>
    <s v=""/>
    <s v=""/>
    <s v="4008581060"/>
    <s v="SXIDOCXI"/>
    <s v="10"/>
  </r>
  <r>
    <x v="0"/>
    <d v="2022-10-11T00:00:00"/>
    <x v="9"/>
    <s v="6822100"/>
    <s v="Transp cost staff"/>
    <s v="MW09C21028"/>
    <s v="Segurança Industrial"/>
    <n v="40.5"/>
    <s v="Viagem para São Paulo./06169225/14751A63FB4D4CCBA6"/>
    <x v="20"/>
    <s v=""/>
    <s v=""/>
    <s v=""/>
    <s v="4008581060"/>
    <s v="SXIDOCXI"/>
    <s v="4"/>
  </r>
  <r>
    <x v="0"/>
    <d v="2022-10-11T00:00:00"/>
    <x v="9"/>
    <s v="6821200"/>
    <s v="Food allowance"/>
    <s v="MW09C21028"/>
    <s v="Segurança Industrial"/>
    <n v="31"/>
    <s v="Missão Executiva/06169225/14751A63FB4D4CCBA676/RDV"/>
    <x v="20"/>
    <s v=""/>
    <s v=""/>
    <s v=""/>
    <s v="4008581060"/>
    <s v="SXIDOCXI"/>
    <s v="9"/>
  </r>
  <r>
    <x v="0"/>
    <d v="2022-10-11T00:00:00"/>
    <x v="9"/>
    <s v="6821200"/>
    <s v="Food allowance"/>
    <s v="MW09C21028"/>
    <s v="Segurança Industrial"/>
    <n v="26"/>
    <s v="Viagem a São Paulo/06169225/14751A63FB4D4CCBA676/R"/>
    <x v="20"/>
    <s v=""/>
    <s v=""/>
    <s v=""/>
    <s v="4008581060"/>
    <s v="SXIDOCXI"/>
    <s v="11"/>
  </r>
  <r>
    <x v="0"/>
    <d v="2022-10-11T00:00:00"/>
    <x v="9"/>
    <s v="6829990"/>
    <s v="Other travel cost"/>
    <s v="MW09C21028"/>
    <s v="Segurança Industrial"/>
    <n v="25.65"/>
    <s v="Missão Executiva/06169225/4F949979E14345D3A5B5/RDV"/>
    <x v="20"/>
    <s v=""/>
    <s v=""/>
    <s v=""/>
    <s v="4008581059"/>
    <s v="SXIDOCXI"/>
    <s v="8"/>
  </r>
  <r>
    <x v="0"/>
    <d v="2022-10-11T00:00:00"/>
    <x v="9"/>
    <s v="6829990"/>
    <s v="Other travel cost"/>
    <s v="MW09C21028"/>
    <s v="Segurança Industrial"/>
    <n v="6"/>
    <s v="Serviço Administrativo/06169225/4F949979E14345D3A5"/>
    <x v="20"/>
    <s v=""/>
    <s v=""/>
    <s v=""/>
    <s v="4008581059"/>
    <s v="SXIDOCXI"/>
    <s v="9"/>
  </r>
  <r>
    <x v="0"/>
    <d v="2022-10-12T00:00:00"/>
    <x v="9"/>
    <s v="6772000"/>
    <s v="MGT Consultancy"/>
    <s v="MW09C21028"/>
    <s v="Segurança Industrial"/>
    <n v="900"/>
    <s v="Valor MGT Consultancy ref  Docto Nr  1055"/>
    <x v="78"/>
    <s v=""/>
    <s v=""/>
    <s v=""/>
    <s v="4008583709"/>
    <s v="GNEPP"/>
    <s v="1"/>
  </r>
  <r>
    <x v="0"/>
    <d v="2022-10-12T00:00:00"/>
    <x v="9"/>
    <s v="6471200"/>
    <s v="Product literature"/>
    <s v="MW09C21028"/>
    <s v="Segurança Industrial"/>
    <n v="819"/>
    <s v="Valor Product literature ref  Docto Nr  2686"/>
    <x v="60"/>
    <s v=""/>
    <s v="660530443"/>
    <s v=""/>
    <s v="4008584313"/>
    <s v="GNEPP"/>
    <s v="1"/>
  </r>
  <r>
    <x v="0"/>
    <d v="2022-10-12T00:00:00"/>
    <x v="9"/>
    <s v="6711000"/>
    <s v="Security Service"/>
    <s v="MW09C21028"/>
    <s v="Segurança Industrial"/>
    <n v="400"/>
    <s v="Valor Security Service ref  Docto Nr  118850"/>
    <x v="29"/>
    <s v=""/>
    <s v="660550257"/>
    <s v=""/>
    <s v="4008583708"/>
    <s v="GNEPP"/>
    <s v="1"/>
  </r>
  <r>
    <x v="0"/>
    <d v="2022-10-13T00:00:00"/>
    <x v="9"/>
    <s v="6280000"/>
    <s v="Technic. spare parts"/>
    <s v="MW09C21028"/>
    <s v="Segurança Industrial"/>
    <n v="87.92"/>
    <s v="Saida de Material por Consumo"/>
    <x v="8"/>
    <s v=""/>
    <s v=""/>
    <s v=""/>
    <s v="4008585853"/>
    <s v="ERUCD"/>
    <s v="1"/>
  </r>
  <r>
    <x v="0"/>
    <d v="2022-10-14T00:00:00"/>
    <x v="9"/>
    <s v="6711000"/>
    <s v="Security Service"/>
    <s v="MW09C21028"/>
    <s v="Segurança Industrial"/>
    <n v="9380.1299999999992"/>
    <s v="MAN.PREVENTIVA CONTROLE ACESSO BELFORD R"/>
    <x v="19"/>
    <s v=""/>
    <s v="660540610"/>
    <s v=""/>
    <s v="4008588880"/>
    <s v="GNEPP"/>
    <s v="1"/>
  </r>
  <r>
    <x v="0"/>
    <d v="2022-10-14T00:00:00"/>
    <x v="9"/>
    <s v="6829990"/>
    <s v="Other travel cost"/>
    <s v="MW09C21028"/>
    <s v="Segurança Industrial"/>
    <n v="2617.7600000000002"/>
    <s v="Abastecimento Veículo Emergencial Segurança Indust"/>
    <x v="7"/>
    <s v=""/>
    <s v=""/>
    <s v=""/>
    <s v="4008588989"/>
    <s v="SXIDOCXI"/>
    <s v="2"/>
  </r>
  <r>
    <x v="0"/>
    <d v="2022-10-14T00:00:00"/>
    <x v="9"/>
    <s v="6822200"/>
    <s v="Milage allowance"/>
    <s v="MW09C21028"/>
    <s v="Segurança Industrial"/>
    <n v="161.25"/>
    <s v="Utilização de Veículo Particular/06169241/1D8E0029"/>
    <x v="7"/>
    <s v=""/>
    <s v=""/>
    <s v=""/>
    <s v="4008588989"/>
    <s v="SXIDOCXI"/>
    <s v="3"/>
  </r>
  <r>
    <x v="0"/>
    <d v="2022-10-15T00:00:00"/>
    <x v="9"/>
    <s v="6829990"/>
    <s v="Other travel cost"/>
    <s v="MW09C21028"/>
    <s v="Segurança Industrial"/>
    <n v="475.82"/>
    <s v="Abastecimento Veículo Emergencial Segurança Indust"/>
    <x v="23"/>
    <s v=""/>
    <s v=""/>
    <s v=""/>
    <s v="4008591405"/>
    <s v="SXIDOCXI"/>
    <s v="1"/>
  </r>
  <r>
    <x v="0"/>
    <d v="2022-10-15T00:00:00"/>
    <x v="9"/>
    <s v="6829990"/>
    <s v="Other travel cost"/>
    <s v="MW09C21028"/>
    <s v="Segurança Industrial"/>
    <n v="457.07"/>
    <s v="Abastecimento Veículo Emergencial Segurança Indust"/>
    <x v="52"/>
    <s v=""/>
    <s v=""/>
    <s v=""/>
    <s v="4008591404"/>
    <s v="SXIDOCXI"/>
    <s v="1"/>
  </r>
  <r>
    <x v="0"/>
    <d v="2022-10-15T00:00:00"/>
    <x v="9"/>
    <s v="6829990"/>
    <s v="Other travel cost"/>
    <s v="MW09C21028"/>
    <s v="Segurança Industrial"/>
    <n v="377.12"/>
    <s v="Abastecimento Veículo Executivo Segurança Industri"/>
    <x v="22"/>
    <s v=""/>
    <s v=""/>
    <s v=""/>
    <s v="4008591406"/>
    <s v="SXIDOCXI"/>
    <s v="2"/>
  </r>
  <r>
    <x v="0"/>
    <d v="2022-10-15T00:00:00"/>
    <x v="9"/>
    <s v="6829990"/>
    <s v="Other travel cost"/>
    <s v="MW09C21028"/>
    <s v="Segurança Industrial"/>
    <n v="230"/>
    <s v="Renovação de CNH/06168407/69C85EF4BA3A447A8418/RDV"/>
    <x v="22"/>
    <s v=""/>
    <s v=""/>
    <s v=""/>
    <s v="4008591406"/>
    <s v="SXIDOCXI"/>
    <s v="4"/>
  </r>
  <r>
    <x v="0"/>
    <d v="2022-10-15T00:00:00"/>
    <x v="9"/>
    <s v="6829990"/>
    <s v="Other travel cost"/>
    <s v="MW09C21028"/>
    <s v="Segurança Industrial"/>
    <n v="150"/>
    <s v="Compra de Carimbo Segurança Industrial/06168407/69"/>
    <x v="22"/>
    <s v=""/>
    <s v=""/>
    <s v=""/>
    <s v="4008591406"/>
    <s v="SXIDOCXI"/>
    <s v="3"/>
  </r>
  <r>
    <x v="0"/>
    <d v="2022-10-15T00:00:00"/>
    <x v="9"/>
    <s v="6822200"/>
    <s v="Milage allowance"/>
    <s v="MW09C21028"/>
    <s v="Segurança Industrial"/>
    <n v="94.6"/>
    <s v="Utilização de Veículo Particular/06168326/008A69C5"/>
    <x v="23"/>
    <s v=""/>
    <s v=""/>
    <s v=""/>
    <s v="4008591405"/>
    <s v="SXIDOCXI"/>
    <s v="3"/>
  </r>
  <r>
    <x v="0"/>
    <d v="2022-10-15T00:00:00"/>
    <x v="9"/>
    <s v="6829990"/>
    <s v="Other travel cost"/>
    <s v="MW09C21028"/>
    <s v="Segurança Industrial"/>
    <n v="37.86"/>
    <s v="Utilização Veículo Executivo Segurança Industrial/"/>
    <x v="23"/>
    <s v=""/>
    <s v=""/>
    <s v=""/>
    <s v="4008591405"/>
    <s v="SXIDOCXI"/>
    <s v="2"/>
  </r>
  <r>
    <x v="0"/>
    <d v="2022-10-15T00:00:00"/>
    <x v="9"/>
    <s v="6829990"/>
    <s v="Other travel cost"/>
    <s v="MW09C21028"/>
    <s v="Segurança Industrial"/>
    <n v="37.86"/>
    <s v="Utilização Veículo Executivo Segurança Industrial/"/>
    <x v="22"/>
    <s v=""/>
    <s v=""/>
    <s v=""/>
    <s v="4008591406"/>
    <s v="SXIDOCXI"/>
    <s v="5"/>
  </r>
  <r>
    <x v="0"/>
    <d v="2022-10-17T00:00:00"/>
    <x v="9"/>
    <s v="6711000"/>
    <s v="Security Service"/>
    <s v="MW09C21028"/>
    <s v="Segurança Industrial"/>
    <n v="322580.15000000002"/>
    <s v="SERV. VIGILÂNCIA- Site BFR"/>
    <x v="17"/>
    <s v=""/>
    <s v="660540019"/>
    <s v=""/>
    <s v="4008595319"/>
    <s v="GNLUA"/>
    <s v="1"/>
  </r>
  <r>
    <x v="0"/>
    <d v="2022-10-17T00:00:00"/>
    <x v="9"/>
    <s v="6876000"/>
    <s v="Municip+regional tax"/>
    <s v="MW09C21028"/>
    <s v="Segurança Industrial"/>
    <n v="833.94"/>
    <s v="Segurança Industrial"/>
    <x v="69"/>
    <s v=""/>
    <s v=""/>
    <s v=""/>
    <s v="4008593867"/>
    <s v="EUPNO_FF"/>
    <s v="13"/>
  </r>
  <r>
    <x v="0"/>
    <d v="2022-10-17T00:00:00"/>
    <x v="9"/>
    <s v="6822200"/>
    <s v="Milage allowance"/>
    <s v="MW09C21028"/>
    <s v="Segurança Industrial"/>
    <n v="189.2"/>
    <s v="Utilização de Veículo Particular/10356972/57223A63"/>
    <x v="58"/>
    <s v=""/>
    <s v=""/>
    <s v=""/>
    <s v="4008594171"/>
    <s v="SXIDOCXI"/>
    <s v="1"/>
  </r>
  <r>
    <x v="0"/>
    <d v="2022-10-17T00:00:00"/>
    <x v="9"/>
    <s v="6822200"/>
    <s v="Milage allowance"/>
    <s v="MW09C21028"/>
    <s v="Segurança Industrial"/>
    <n v="172"/>
    <s v="Utilização de Veículo Particular/08547685/256265A4"/>
    <x v="21"/>
    <s v=""/>
    <s v=""/>
    <s v=""/>
    <s v="4008594151"/>
    <s v="SXIDOCXI"/>
    <s v="1"/>
  </r>
  <r>
    <x v="0"/>
    <d v="2022-10-17T00:00:00"/>
    <x v="9"/>
    <s v="6822200"/>
    <s v="Milage allowance"/>
    <s v="MW09C21028"/>
    <s v="Segurança Industrial"/>
    <n v="120.4"/>
    <s v="Utilização de Veículo Particular/06164223/258BF97E"/>
    <x v="25"/>
    <s v=""/>
    <s v=""/>
    <s v=""/>
    <s v="4008594143"/>
    <s v="SXIDOCXI"/>
    <s v="1"/>
  </r>
  <r>
    <x v="0"/>
    <d v="2022-10-18T00:00:00"/>
    <x v="9"/>
    <s v="6711000"/>
    <s v="Security Service"/>
    <s v="MW09C21028"/>
    <s v="Segurança Industrial"/>
    <n v="5424.48"/>
    <s v="Valor do documento Nr  1137"/>
    <x v="18"/>
    <s v=""/>
    <s v=""/>
    <s v=""/>
    <s v="4008597875"/>
    <s v="GNLUA"/>
    <s v="1"/>
  </r>
  <r>
    <x v="0"/>
    <d v="2022-10-18T00:00:00"/>
    <x v="9"/>
    <s v="6320000"/>
    <s v="Supplies"/>
    <s v="MW09C21028"/>
    <s v="Segurança Industrial"/>
    <n v="123.12"/>
    <s v="Valor do documento Nr  481 1"/>
    <x v="4"/>
    <s v=""/>
    <s v="660551088"/>
    <s v=""/>
    <s v="4008598994"/>
    <s v="GNEDC"/>
    <s v="1"/>
  </r>
  <r>
    <x v="0"/>
    <d v="2022-10-19T00:00:00"/>
    <x v="9"/>
    <s v="6719990"/>
    <s v="Other site services"/>
    <s v="MW09C21028"/>
    <s v="Segurança Industrial"/>
    <n v="8135.89"/>
    <s v="Locação Uniformes e Toalhas"/>
    <x v="2"/>
    <s v=""/>
    <s v="660551829"/>
    <s v=""/>
    <s v="4008602432"/>
    <s v="GNEPP"/>
    <s v="2"/>
  </r>
  <r>
    <x v="0"/>
    <d v="2022-10-19T00:00:00"/>
    <x v="9"/>
    <s v="6719990"/>
    <s v="Other site services"/>
    <s v="MW09C21028"/>
    <s v="Segurança Industrial"/>
    <n v="3483.6"/>
    <s v="Serv. Administração Rouparia"/>
    <x v="2"/>
    <s v=""/>
    <s v="660551876"/>
    <s v=""/>
    <s v="4008602085"/>
    <s v="GNEPP"/>
    <s v="2"/>
  </r>
  <r>
    <x v="0"/>
    <d v="2022-10-19T00:00:00"/>
    <x v="9"/>
    <s v="6572000"/>
    <s v="Occup. safety serv"/>
    <s v="MW09C21028"/>
    <s v="Segurança Industrial"/>
    <n v="151.47999999999999"/>
    <s v="Audiometria Ocupacional- Timpanometria"/>
    <x v="65"/>
    <s v=""/>
    <s v="660553033"/>
    <s v=""/>
    <s v="4008602422"/>
    <s v="GNEPP"/>
    <s v="13"/>
  </r>
  <r>
    <x v="0"/>
    <d v="2022-10-19T00:00:00"/>
    <x v="9"/>
    <s v="6572000"/>
    <s v="Occup. safety serv"/>
    <s v="MW09C21028"/>
    <s v="Segurança Industrial"/>
    <n v="69.25"/>
    <s v="Exames médicos colaboradores"/>
    <x v="59"/>
    <s v=""/>
    <s v="660552486"/>
    <s v=""/>
    <s v="4008602411"/>
    <s v="GNEPP"/>
    <s v="7"/>
  </r>
  <r>
    <x v="0"/>
    <d v="2022-10-21T00:00:00"/>
    <x v="9"/>
    <s v="6420000"/>
    <s v="Transports"/>
    <s v="MW09C21028"/>
    <s v="Segurança Industrial"/>
    <n v="135"/>
    <s v="Valor Transports ref  Docto Nr  12152"/>
    <x v="85"/>
    <s v=""/>
    <s v="660551889"/>
    <s v=""/>
    <s v="4008608513"/>
    <s v="EGNJH"/>
    <s v="29"/>
  </r>
  <r>
    <x v="0"/>
    <d v="2022-10-24T00:00:00"/>
    <x v="9"/>
    <s v="6726000"/>
    <s v="Industry cleaning"/>
    <s v="MW09C21028"/>
    <s v="Segurança Industrial"/>
    <n v="1550"/>
    <s v="LIMPEZA CAIXAS E FOSSAS - PÁTIO DE CARGA"/>
    <x v="28"/>
    <s v=""/>
    <s v="660556810"/>
    <s v=""/>
    <s v="4008612751"/>
    <s v="GNEPP"/>
    <s v="6"/>
  </r>
  <r>
    <x v="0"/>
    <d v="2022-10-24T00:00:00"/>
    <x v="9"/>
    <s v="6200000"/>
    <s v="Maint &amp; Leg/Co.Compl"/>
    <s v="MW09C21028"/>
    <s v="Segurança Industrial"/>
    <n v="152"/>
    <s v="SERV DESCARTE RESÍDUO ETE-CAJÚ"/>
    <x v="28"/>
    <s v=""/>
    <s v="660556810"/>
    <s v=""/>
    <s v="4008612751"/>
    <s v="GNEPP"/>
    <s v="11"/>
  </r>
  <r>
    <x v="0"/>
    <d v="2022-10-26T00:00:00"/>
    <x v="9"/>
    <s v="6741000"/>
    <s v="Chemical Analysis"/>
    <s v="MW09C21028"/>
    <s v="Segurança Industrial"/>
    <n v="165"/>
    <s v="Valor Chemical Analysis ref  Docto Nr  22044"/>
    <x v="94"/>
    <s v=""/>
    <s v="660507914"/>
    <s v=""/>
    <s v="4008620137"/>
    <s v="GNEPP"/>
    <s v="5"/>
  </r>
  <r>
    <x v="0"/>
    <d v="2022-10-26T00:00:00"/>
    <x v="9"/>
    <s v="6741000"/>
    <s v="Chemical Analysis"/>
    <s v="MW09C21028"/>
    <s v="Segurança Industrial"/>
    <n v="165"/>
    <s v="Valor Chemical Analysis ref  Docto Nr  22044"/>
    <x v="94"/>
    <s v=""/>
    <s v="660507914"/>
    <s v=""/>
    <s v="4008620137"/>
    <s v="GNEPP"/>
    <s v="6"/>
  </r>
  <r>
    <x v="0"/>
    <d v="2022-10-27T00:00:00"/>
    <x v="9"/>
    <s v="6121001"/>
    <s v="Electricity fix"/>
    <s v="MW09C21028"/>
    <s v="Segurança Industrial"/>
    <n v="7794.45"/>
    <s v="MW4A010014MW09C21027 Energia Eletrica Fi"/>
    <x v="41"/>
    <s v="Alocações Periódicas"/>
    <s v=""/>
    <s v="Cost center"/>
    <s v="4400018100"/>
    <s v="SXFTMRB0"/>
    <s v="61"/>
  </r>
  <r>
    <x v="0"/>
    <d v="2022-10-27T00:00:00"/>
    <x v="9"/>
    <s v="6321000"/>
    <s v="General supplies"/>
    <s v="MW09C21028"/>
    <s v="Segurança Industrial"/>
    <n v="1899.82"/>
    <s v="MW4A010015MW09C21027 Energia Eletrica Fi"/>
    <x v="41"/>
    <s v="Alocações Periódicas"/>
    <s v=""/>
    <s v="Cost center"/>
    <s v="4400018100"/>
    <s v="SXFTMRB0"/>
    <s v="99"/>
  </r>
  <r>
    <x v="0"/>
    <d v="2022-10-27T00:00:00"/>
    <x v="9"/>
    <s v="6829990"/>
    <s v="Other travel cost"/>
    <s v="MW09C21028"/>
    <s v="Segurança Industrial"/>
    <n v="750"/>
    <s v="Retirada de Cães Complexo Industrial Belford Roxo/"/>
    <x v="23"/>
    <s v=""/>
    <s v=""/>
    <s v=""/>
    <s v="4008623313"/>
    <s v="SXIDOCXI"/>
    <s v="1"/>
  </r>
  <r>
    <x v="0"/>
    <d v="2022-10-28T00:00:00"/>
    <x v="9"/>
    <s v="6011000"/>
    <s v="Salaries"/>
    <s v="MW09C21028"/>
    <s v="Segurança Industrial"/>
    <n v="110224.65"/>
    <s v="37NA/37U/Salários"/>
    <x v="81"/>
    <s v=""/>
    <s v=""/>
    <s v=""/>
    <s v="4008624810"/>
    <s v="WWCAST1_HR"/>
    <s v="889"/>
  </r>
  <r>
    <x v="0"/>
    <d v="2022-10-28T00:00:00"/>
    <x v="9"/>
    <s v="6011000"/>
    <s v="Salaries"/>
    <s v="MW09C21028"/>
    <s v="Segurança Industrial"/>
    <n v="60025.71"/>
    <s v="37NC/37U/Salarios Outros"/>
    <x v="81"/>
    <s v=""/>
    <s v=""/>
    <s v=""/>
    <s v="4008624810"/>
    <s v="WWCAST1_HR"/>
    <s v="888"/>
  </r>
  <r>
    <x v="0"/>
    <d v="2022-10-28T00:00:00"/>
    <x v="9"/>
    <s v="6020300"/>
    <s v="Soc sec cont-severan"/>
    <s v="MW09C21028"/>
    <s v="Segurança Industrial"/>
    <n v="46096.03"/>
    <s v="37NP/37U/Contribuição Inst.de Previdência"/>
    <x v="81"/>
    <s v=""/>
    <s v=""/>
    <s v=""/>
    <s v="4008624810"/>
    <s v="WWCAST1_HR"/>
    <s v="848"/>
  </r>
  <r>
    <x v="0"/>
    <d v="2022-10-28T00:00:00"/>
    <x v="9"/>
    <s v="6011100"/>
    <s v="Vacation Comp-Sal"/>
    <s v="MW09C21028"/>
    <s v="Segurança Industrial"/>
    <n v="26228.44"/>
    <s v="37NN/37U/Provisão Pagto Férias DL 1730/79"/>
    <x v="81"/>
    <s v=""/>
    <s v=""/>
    <s v=""/>
    <s v="4008624810"/>
    <s v="WWCAST1_HR"/>
    <s v="886"/>
  </r>
  <r>
    <x v="0"/>
    <d v="2022-10-28T00:00:00"/>
    <x v="9"/>
    <s v="6011700"/>
    <s v="Overtime Premium-sal"/>
    <s v="MW09C21028"/>
    <s v="Segurança Industrial"/>
    <n v="22964.65"/>
    <s v="37NF/37U/Horas Extras"/>
    <x v="81"/>
    <s v=""/>
    <s v=""/>
    <s v=""/>
    <s v="4008624810"/>
    <s v="WWCAST1_HR"/>
    <s v="812"/>
  </r>
  <r>
    <x v="0"/>
    <d v="2022-10-28T00:00:00"/>
    <x v="9"/>
    <s v="6011530"/>
    <s v="13th month rem sal"/>
    <s v="MW09C21028"/>
    <s v="Segurança Industrial"/>
    <n v="22365.18"/>
    <s v="37NI/37U/13º Salário"/>
    <x v="81"/>
    <s v=""/>
    <s v=""/>
    <s v=""/>
    <s v="4008624810"/>
    <s v="WWCAST1_HR"/>
    <s v="884"/>
  </r>
  <r>
    <x v="0"/>
    <d v="2022-10-28T00:00:00"/>
    <x v="9"/>
    <s v="6020220"/>
    <s v="Unemployment fund"/>
    <s v="MW09C21028"/>
    <s v="Segurança Industrial"/>
    <n v="16245.26"/>
    <s v="37OF/37U/Desp.FGTS Diferença 10% C/Liminar"/>
    <x v="81"/>
    <s v=""/>
    <s v=""/>
    <s v=""/>
    <s v="4008624810"/>
    <s v="WWCAST1_HR"/>
    <s v="811"/>
  </r>
  <r>
    <x v="0"/>
    <d v="2022-10-28T00:00:00"/>
    <x v="9"/>
    <s v="6011700"/>
    <s v="Overtime Premium-sal"/>
    <s v="MW09C21028"/>
    <s v="Segurança Industrial"/>
    <n v="9650.92"/>
    <s v="37NG/37U/Horas Extras Revezamento"/>
    <x v="81"/>
    <s v=""/>
    <s v=""/>
    <s v=""/>
    <s v="4008624810"/>
    <s v="WWCAST1_HR"/>
    <s v="891"/>
  </r>
  <r>
    <x v="0"/>
    <d v="2022-10-28T00:00:00"/>
    <x v="9"/>
    <s v="6042050"/>
    <s v="Rem. limited dur."/>
    <s v="MW09C21028"/>
    <s v="Segurança Industrial"/>
    <n v="8884.6200000000008"/>
    <s v="37NA/37W/Salários"/>
    <x v="81"/>
    <s v=""/>
    <s v=""/>
    <s v=""/>
    <s v="4008624809"/>
    <s v="WWCAST1_HR"/>
    <s v="102"/>
  </r>
  <r>
    <x v="0"/>
    <d v="2022-10-28T00:00:00"/>
    <x v="9"/>
    <s v="6020350"/>
    <s v="Accr soc-sec. contr."/>
    <s v="MW09C21028"/>
    <s v="Segurança Industrial"/>
    <n v="8781.44"/>
    <s v="37OD/37U/Provisão Encargos Sociais S/Férias DL 173"/>
    <x v="81"/>
    <s v=""/>
    <s v=""/>
    <s v=""/>
    <s v="4008624810"/>
    <s v="WWCAST1_HR"/>
    <s v="887"/>
  </r>
  <r>
    <x v="0"/>
    <d v="2022-10-28T00:00:00"/>
    <x v="9"/>
    <s v="6020320"/>
    <s v="Contingency fund"/>
    <s v="MW09C21028"/>
    <s v="Segurança Industrial"/>
    <n v="8214.7099999999991"/>
    <s v="37PE/37U/Encargos sobre 13o salário"/>
    <x v="81"/>
    <s v=""/>
    <s v=""/>
    <s v=""/>
    <s v="4008624810"/>
    <s v="WWCAST1_HR"/>
    <s v="885"/>
  </r>
  <r>
    <x v="0"/>
    <d v="2022-10-28T00:00:00"/>
    <x v="9"/>
    <s v="6021130"/>
    <s v="Pay Ins Accid sal"/>
    <s v="MW09C21028"/>
    <s v="Segurança Industrial"/>
    <n v="6858.86"/>
    <s v="37NY/37U/Seguro Contra Acidentes de Trabalho"/>
    <x v="81"/>
    <s v=""/>
    <s v=""/>
    <s v=""/>
    <s v="4008624810"/>
    <s v="WWCAST1_HR"/>
    <s v="882"/>
  </r>
  <r>
    <x v="0"/>
    <d v="2022-10-28T00:00:00"/>
    <x v="9"/>
    <s v="6020300"/>
    <s v="Soc sec cont-severan"/>
    <s v="MW09C21028"/>
    <s v="Segurança Industrial"/>
    <n v="6701.18"/>
    <s v="37NX/37U/Salário Educação LEI 4440/64"/>
    <x v="81"/>
    <s v=""/>
    <s v=""/>
    <s v=""/>
    <s v="4008624810"/>
    <s v="WWCAST1_HR"/>
    <s v="883"/>
  </r>
  <r>
    <x v="0"/>
    <d v="2022-10-28T00:00:00"/>
    <x v="9"/>
    <s v="6890000"/>
    <s v="3d party pers"/>
    <s v="MW09C21028"/>
    <s v="Segurança Industrial"/>
    <n v="6150.84"/>
    <s v="Folha Temporarios BCS-BFR-META 10/2022"/>
    <x v="37"/>
    <s v=""/>
    <s v="660561103"/>
    <s v=""/>
    <s v="4008627328"/>
    <s v="GNEPP"/>
    <s v="3"/>
  </r>
  <r>
    <x v="0"/>
    <d v="2022-10-28T00:00:00"/>
    <x v="9"/>
    <s v="8261000"/>
    <s v="FAM Settl Prim Mat"/>
    <s v="MW09C21028"/>
    <s v="Segurança Industrial"/>
    <n v="5767.95"/>
    <s v="CTR H353/MW09C21028"/>
    <x v="41"/>
    <s v="IE MW09C21028 SEG INDUSTRIAL - 2022"/>
    <s v=""/>
    <s v="Order"/>
    <s v="4600141364"/>
    <s v="SXFTM000"/>
    <s v="2"/>
  </r>
  <r>
    <x v="0"/>
    <d v="2022-10-28T00:00:00"/>
    <x v="9"/>
    <s v="6032730"/>
    <s v="Exp emp con-ded"/>
    <s v="MW09C21028"/>
    <s v="Segurança Industrial"/>
    <n v="5759.1"/>
    <s v="37PA/37U/Contribuição a Previdencia Privada"/>
    <x v="81"/>
    <s v=""/>
    <s v=""/>
    <s v=""/>
    <s v="4008624810"/>
    <s v="WWCAST1_HR"/>
    <s v="814"/>
  </r>
  <r>
    <x v="0"/>
    <d v="2022-10-28T00:00:00"/>
    <x v="9"/>
    <s v="6061000"/>
    <s v="Allow for prec. Job"/>
    <s v="MW09C21028"/>
    <s v="Segurança Industrial"/>
    <n v="2779.27"/>
    <s v="37NC/37W/Salarios Outros"/>
    <x v="81"/>
    <s v=""/>
    <s v=""/>
    <s v=""/>
    <s v="4008624809"/>
    <s v="WWCAST1_HR"/>
    <s v="101"/>
  </r>
  <r>
    <x v="0"/>
    <d v="2022-10-28T00:00:00"/>
    <x v="9"/>
    <s v="6020360"/>
    <s v="Employer cont pens p"/>
    <s v="MW09C21028"/>
    <s v="Segurança Industrial"/>
    <n v="2759.36"/>
    <s v="37NP/37W/Contribuição Inst.de Previdência"/>
    <x v="81"/>
    <s v=""/>
    <s v=""/>
    <s v=""/>
    <s v="4008624809"/>
    <s v="WWCAST1_HR"/>
    <s v="294"/>
  </r>
  <r>
    <x v="0"/>
    <d v="2022-10-28T00:00:00"/>
    <x v="9"/>
    <s v="6043100"/>
    <s v="Pay apprenticeship"/>
    <s v="MW09C21028"/>
    <s v="Segurança Industrial"/>
    <n v="2000"/>
    <s v="37OU/37W/Serviço de Estagiário-PF"/>
    <x v="81"/>
    <s v=""/>
    <s v=""/>
    <s v=""/>
    <s v="4008624809"/>
    <s v="WWCAST1_HR"/>
    <s v="305"/>
  </r>
  <r>
    <x v="0"/>
    <d v="2022-10-28T00:00:00"/>
    <x v="9"/>
    <s v="8261000"/>
    <s v="FAM Settl Prim Mat"/>
    <s v="MW09C21028"/>
    <s v="Segurança Industrial"/>
    <n v="1948.2"/>
    <s v="CTR H353/MW09C21028"/>
    <x v="41"/>
    <s v="Reparos acidene tubul Incendio"/>
    <s v=""/>
    <s v="Order"/>
    <s v="4600141365"/>
    <s v="SXFTM000"/>
    <s v="2"/>
  </r>
  <r>
    <x v="0"/>
    <d v="2022-10-28T00:00:00"/>
    <x v="9"/>
    <s v="8262000"/>
    <s v="FAM Settl Serv (Ext)"/>
    <s v="MW09C21028"/>
    <s v="Segurança Industrial"/>
    <n v="1564.21"/>
    <s v="CTR H353/MW09C21028"/>
    <x v="41"/>
    <s v="IE SERV ELÉTRICA ADMINISTRATIVO 2022"/>
    <s v=""/>
    <s v="Order"/>
    <s v="4600140790"/>
    <s v="SXFTM000"/>
    <s v="4"/>
  </r>
  <r>
    <x v="0"/>
    <d v="2022-10-28T00:00:00"/>
    <x v="9"/>
    <s v="6052340"/>
    <s v="Soc. security contr."/>
    <s v="MW09C21028"/>
    <s v="Segurança Industrial"/>
    <n v="1418.81"/>
    <s v="37NN/37W/Provisão Pagto Férias DL 1730/79"/>
    <x v="81"/>
    <s v=""/>
    <s v=""/>
    <s v=""/>
    <s v="4008624809"/>
    <s v="WWCAST1_HR"/>
    <s v="99"/>
  </r>
  <r>
    <x v="0"/>
    <d v="2022-10-28T00:00:00"/>
    <x v="9"/>
    <s v="6039300"/>
    <s v="Oth emp benefits"/>
    <s v="MW09C21028"/>
    <s v="Segurança Industrial"/>
    <n v="1221.0999999999999"/>
    <s v="37OR/37U/Outras Despesas Sociais"/>
    <x v="81"/>
    <s v=""/>
    <s v=""/>
    <s v=""/>
    <s v="4008624810"/>
    <s v="WWCAST1_HR"/>
    <s v="896"/>
  </r>
  <r>
    <x v="0"/>
    <d v="2022-10-28T00:00:00"/>
    <x v="9"/>
    <s v="8262000"/>
    <s v="FAM Settl Serv (Ext)"/>
    <s v="MW09C21028"/>
    <s v="Segurança Industrial"/>
    <n v="1211.31"/>
    <s v="CTR H353/MW09C21028"/>
    <x v="41"/>
    <s v="IE SERV HIDRAULICA ADMINISTRATIVO 2022"/>
    <s v=""/>
    <s v="Order"/>
    <s v="4600140789"/>
    <s v="SXFTM000"/>
    <s v="10"/>
  </r>
  <r>
    <x v="0"/>
    <d v="2022-10-28T00:00:00"/>
    <x v="9"/>
    <s v="8262000"/>
    <s v="FAM Settl Serv (Ext)"/>
    <s v="MW09C21028"/>
    <s v="Segurança Industrial"/>
    <n v="1136.58"/>
    <s v="CTR H353/MW09C21028"/>
    <x v="41"/>
    <s v="MAN 2022 SÓ ACUMULADORES"/>
    <s v=""/>
    <s v="Order"/>
    <s v="4600141370"/>
    <s v="SXFTM000"/>
    <s v="4"/>
  </r>
  <r>
    <x v="0"/>
    <d v="2022-10-28T00:00:00"/>
    <x v="9"/>
    <s v="6042100"/>
    <s v="RemTM yearly premium"/>
    <s v="MW09C21028"/>
    <s v="Segurança Industrial"/>
    <n v="1064.08"/>
    <s v="37NI/37W/13º Salário"/>
    <x v="81"/>
    <s v=""/>
    <s v=""/>
    <s v=""/>
    <s v="4008624809"/>
    <s v="WWCAST1_HR"/>
    <s v="297"/>
  </r>
  <r>
    <x v="0"/>
    <d v="2022-10-28T00:00:00"/>
    <x v="9"/>
    <s v="6052340"/>
    <s v="Soc. security contr."/>
    <s v="MW09C21028"/>
    <s v="Segurança Industrial"/>
    <n v="972.46"/>
    <s v="37OF/37W/Desp.FGTS Diferença 10% C/Liminar"/>
    <x v="81"/>
    <s v=""/>
    <s v=""/>
    <s v=""/>
    <s v="4008624809"/>
    <s v="WWCAST1_HR"/>
    <s v="289"/>
  </r>
  <r>
    <x v="0"/>
    <d v="2022-10-28T00:00:00"/>
    <x v="9"/>
    <s v="8261000"/>
    <s v="FAM Settl Prim Mat"/>
    <s v="MW09C21028"/>
    <s v="Segurança Industrial"/>
    <n v="670.63"/>
    <s v="CTR H353/MW09C21028"/>
    <x v="41"/>
    <s v="2022 SERVIÇOS DE LUBRIFICAÇÃO SEGURANÇA"/>
    <s v=""/>
    <s v="Order"/>
    <s v="4600141363"/>
    <s v="SXFTM000"/>
    <s v="2"/>
  </r>
  <r>
    <x v="0"/>
    <d v="2022-10-28T00:00:00"/>
    <x v="9"/>
    <s v="8262000"/>
    <s v="FAM Settl Serv (Ext)"/>
    <s v="MW09C21028"/>
    <s v="Segurança Industrial"/>
    <n v="547.85"/>
    <s v="CTR H353/MW09C21028"/>
    <x v="41"/>
    <s v="IE SERV MARCENARIA ADMINISTRATIVO 2022"/>
    <s v=""/>
    <s v="Order"/>
    <s v="4600140775"/>
    <s v="SXFTM000"/>
    <s v="8"/>
  </r>
  <r>
    <x v="0"/>
    <d v="2022-10-28T00:00:00"/>
    <x v="9"/>
    <s v="6052340"/>
    <s v="Soc. security contr."/>
    <s v="MW09C21028"/>
    <s v="Segurança Industrial"/>
    <n v="521.13"/>
    <s v="37OD/37W/Provisão Encargos Sociais S/Férias DL 173"/>
    <x v="81"/>
    <s v=""/>
    <s v=""/>
    <s v=""/>
    <s v="4008624809"/>
    <s v="WWCAST1_HR"/>
    <s v="100"/>
  </r>
  <r>
    <x v="0"/>
    <d v="2022-10-28T00:00:00"/>
    <x v="9"/>
    <s v="6042050"/>
    <s v="Rem. limited dur."/>
    <s v="MW09C21028"/>
    <s v="Segurança Industrial"/>
    <n v="491.91"/>
    <s v="37NF/37W/Horas Extras"/>
    <x v="81"/>
    <s v=""/>
    <s v=""/>
    <s v=""/>
    <s v="4008624809"/>
    <s v="WWCAST1_HR"/>
    <s v="290"/>
  </r>
  <r>
    <x v="0"/>
    <d v="2022-10-28T00:00:00"/>
    <x v="9"/>
    <s v="6052400"/>
    <s v="Soc Contr 'oth'"/>
    <s v="MW09C21028"/>
    <s v="Segurança Industrial"/>
    <n v="401.14"/>
    <s v="37NX/37W/Salário Educação LEI 4440/64"/>
    <x v="81"/>
    <s v=""/>
    <s v=""/>
    <s v=""/>
    <s v="4008624809"/>
    <s v="WWCAST1_HR"/>
    <s v="296"/>
  </r>
  <r>
    <x v="0"/>
    <d v="2022-10-28T00:00:00"/>
    <x v="9"/>
    <s v="6052400"/>
    <s v="Soc Contr 'oth'"/>
    <s v="MW09C21028"/>
    <s v="Segurança Industrial"/>
    <n v="390.86"/>
    <s v="37PE/37W/Encargos sobre 13o salário"/>
    <x v="81"/>
    <s v=""/>
    <s v=""/>
    <s v=""/>
    <s v="4008624809"/>
    <s v="WWCAST1_HR"/>
    <s v="98"/>
  </r>
  <r>
    <x v="0"/>
    <d v="2022-10-28T00:00:00"/>
    <x v="9"/>
    <s v="6021130"/>
    <s v="Pay Ins Accid sal"/>
    <s v="MW09C21028"/>
    <s v="Segurança Industrial"/>
    <n v="360.16"/>
    <s v="37NY/37W/Seguro Contra Acidentes de Trabalho"/>
    <x v="81"/>
    <s v=""/>
    <s v=""/>
    <s v=""/>
    <s v="4008624809"/>
    <s v="WWCAST1_HR"/>
    <s v="295"/>
  </r>
  <r>
    <x v="0"/>
    <d v="2022-10-28T00:00:00"/>
    <x v="9"/>
    <s v="6011540"/>
    <s v="Oth premium sal"/>
    <s v="MW09C21028"/>
    <s v="Segurança Industrial"/>
    <n v="200"/>
    <s v="37NM/37U/Gratificação Ajustada Espontânea"/>
    <x v="81"/>
    <s v=""/>
    <s v=""/>
    <s v=""/>
    <s v="4008624810"/>
    <s v="WWCAST1_HR"/>
    <s v="879"/>
  </r>
  <r>
    <x v="0"/>
    <d v="2022-10-28T00:00:00"/>
    <x v="9"/>
    <s v="8261000"/>
    <s v="FAM Settl Prim Mat"/>
    <s v="MW09C21028"/>
    <s v="Segurança Industrial"/>
    <n v="160.93"/>
    <s v="CTR H353/MW09C21028"/>
    <x v="41"/>
    <s v="IE MW09C21028 SEG INDUSTRIAL - 2022"/>
    <s v=""/>
    <s v="Order"/>
    <s v="4600141395"/>
    <s v="SXFTMRB0"/>
    <s v="2"/>
  </r>
  <r>
    <x v="0"/>
    <d v="2022-10-28T00:00:00"/>
    <x v="9"/>
    <s v="6032730"/>
    <s v="Exp emp con-ded"/>
    <s v="MW09C21028"/>
    <s v="Segurança Industrial"/>
    <n v="114.72"/>
    <s v="37PA/37W/Contribuição a Previdencia Privada"/>
    <x v="81"/>
    <s v=""/>
    <s v=""/>
    <s v=""/>
    <s v="4008624809"/>
    <s v="WWCAST1_HR"/>
    <s v="292"/>
  </r>
  <r>
    <x v="0"/>
    <d v="2022-10-28T00:00:00"/>
    <x v="9"/>
    <s v="8261000"/>
    <s v="FAM Settl Prim Mat"/>
    <s v="MW09C21028"/>
    <s v="Segurança Industrial"/>
    <n v="108.87"/>
    <s v="CTR H353/MW09C21028"/>
    <x v="41"/>
    <s v="UTIL-Sanar vazamento  na bb diesel"/>
    <s v=""/>
    <s v="Order"/>
    <s v="4600141366"/>
    <s v="SXFTM000"/>
    <s v="2"/>
  </r>
  <r>
    <x v="0"/>
    <d v="2022-10-28T00:00:00"/>
    <x v="9"/>
    <s v="6200000"/>
    <s v="Maint &amp; Leg/Co.Compl"/>
    <s v="MW09C21028"/>
    <s v="Segurança Industrial"/>
    <n v="69.03"/>
    <s v="KIT DE TERMINAL FIXO (MESA) - MTM5400"/>
    <x v="62"/>
    <s v=""/>
    <s v="660557363"/>
    <s v=""/>
    <s v="4008627926"/>
    <s v="GNEPP"/>
    <s v="13"/>
  </r>
  <r>
    <x v="0"/>
    <d v="2022-10-28T00:00:00"/>
    <x v="9"/>
    <s v="6031130"/>
    <s v="Group ins salaries"/>
    <s v="MW09C21028"/>
    <s v="Segurança Industrial"/>
    <n v="-36.799999999999997"/>
    <s v="37OG/37W/Seguro de Vida Acidentes Pessoais em Grup"/>
    <x v="34"/>
    <s v=""/>
    <s v=""/>
    <s v=""/>
    <s v="4008624809"/>
    <s v="WWCAST1_HR"/>
    <s v="291"/>
  </r>
  <r>
    <x v="0"/>
    <d v="2022-10-28T00:00:00"/>
    <x v="9"/>
    <s v="6021550"/>
    <s v="Health ben sal"/>
    <s v="MW09C21028"/>
    <s v="Segurança Industrial"/>
    <n v="-52.63"/>
    <s v="37OS/37W/Reembolso Co-Participação Assistência Méd"/>
    <x v="34"/>
    <s v=""/>
    <s v=""/>
    <s v=""/>
    <s v="4008624809"/>
    <s v="WWCAST1_HR"/>
    <s v="103"/>
  </r>
  <r>
    <x v="0"/>
    <d v="2022-10-28T00:00:00"/>
    <x v="9"/>
    <s v="6039300"/>
    <s v="Oth emp benefits"/>
    <s v="MW09C21028"/>
    <s v="Segurança Industrial"/>
    <n v="-59.9"/>
    <s v="37OR/37W/Outras Despesas Sociais"/>
    <x v="34"/>
    <s v=""/>
    <s v=""/>
    <s v=""/>
    <s v="4008624809"/>
    <s v="WWCAST1_HR"/>
    <s v="306"/>
  </r>
  <r>
    <x v="0"/>
    <d v="2022-10-28T00:00:00"/>
    <x v="9"/>
    <s v="6716000"/>
    <s v="Food f. Empl."/>
    <s v="MW09C21028"/>
    <s v="Segurança Industrial"/>
    <n v="-100.17"/>
    <s v="37OV/37W/Recuperação por Refeições Fornecidas"/>
    <x v="34"/>
    <s v=""/>
    <s v=""/>
    <s v=""/>
    <s v="4008624809"/>
    <s v="WWCAST1_HR"/>
    <s v="104"/>
  </r>
  <r>
    <x v="0"/>
    <d v="2022-10-28T00:00:00"/>
    <x v="9"/>
    <s v="6021550"/>
    <s v="Health ben sal"/>
    <s v="MW09C21028"/>
    <s v="Segurança Industrial"/>
    <n v="-141.33000000000001"/>
    <s v="37OJ/37W/Assistência Odontológica  -   Ativos"/>
    <x v="34"/>
    <s v=""/>
    <s v=""/>
    <s v=""/>
    <s v="4008624809"/>
    <s v="WWCAST1_HR"/>
    <s v="331"/>
  </r>
  <r>
    <x v="0"/>
    <d v="2022-10-28T00:00:00"/>
    <x v="9"/>
    <s v="6822300"/>
    <s v="Coll transp staff"/>
    <s v="MW09C21028"/>
    <s v="Segurança Industrial"/>
    <n v="-222.9"/>
    <s v="37OK/37W/Transportes Colaboradores PJ"/>
    <x v="34"/>
    <s v=""/>
    <s v=""/>
    <s v=""/>
    <s v="4008624809"/>
    <s v="WWCAST1_HR"/>
    <s v="293"/>
  </r>
  <r>
    <x v="0"/>
    <d v="2022-10-28T00:00:00"/>
    <x v="9"/>
    <s v="6021550"/>
    <s v="Health ben sal"/>
    <s v="MW09C21028"/>
    <s v="Segurança Industrial"/>
    <n v="-414.28"/>
    <s v="37OS/37U/Reembolso Co-Participação Assistência Méd"/>
    <x v="34"/>
    <s v=""/>
    <s v=""/>
    <s v=""/>
    <s v="4008624810"/>
    <s v="WWCAST1_HR"/>
    <s v="893"/>
  </r>
  <r>
    <x v="0"/>
    <d v="2022-10-28T00:00:00"/>
    <x v="9"/>
    <s v="6021550"/>
    <s v="Health ben sal"/>
    <s v="MW09C21028"/>
    <s v="Segurança Industrial"/>
    <n v="-473.46"/>
    <s v="37OI/37U/Assistência Médica/Hospitalar PJ"/>
    <x v="34"/>
    <s v=""/>
    <s v=""/>
    <s v=""/>
    <s v="4008624810"/>
    <s v="WWCAST1_HR"/>
    <s v="897"/>
  </r>
  <r>
    <x v="0"/>
    <d v="2022-10-28T00:00:00"/>
    <x v="9"/>
    <s v="6031130"/>
    <s v="Group ins salaries"/>
    <s v="MW09C21028"/>
    <s v="Segurança Industrial"/>
    <n v="-498.48"/>
    <s v="37OG/37U/Seguro de Vida Acidentes Pessoais em Grup"/>
    <x v="34"/>
    <s v=""/>
    <s v=""/>
    <s v=""/>
    <s v="4008624810"/>
    <s v="WWCAST1_HR"/>
    <s v="813"/>
  </r>
  <r>
    <x v="0"/>
    <d v="2022-10-28T00:00:00"/>
    <x v="9"/>
    <s v="6021550"/>
    <s v="Health ben sal"/>
    <s v="MW09C21028"/>
    <s v="Segurança Industrial"/>
    <n v="-659.54"/>
    <s v="37OJ/37U/Assistência Odontológica  -   Ativos"/>
    <x v="34"/>
    <s v=""/>
    <s v=""/>
    <s v=""/>
    <s v="4008624810"/>
    <s v="WWCAST1_HR"/>
    <s v="877"/>
  </r>
  <r>
    <x v="0"/>
    <d v="2022-10-28T00:00:00"/>
    <x v="9"/>
    <s v="6716000"/>
    <s v="Food f. Empl."/>
    <s v="MW09C21028"/>
    <s v="Segurança Industrial"/>
    <n v="-813.92"/>
    <s v="37OV/37U/Recuperação por Refeições Fornecidas"/>
    <x v="34"/>
    <s v=""/>
    <s v=""/>
    <s v=""/>
    <s v="4008624810"/>
    <s v="WWCAST1_HR"/>
    <s v="890"/>
  </r>
  <r>
    <x v="0"/>
    <d v="2022-10-28T00:00:00"/>
    <x v="9"/>
    <s v="6822300"/>
    <s v="Coll transp staff"/>
    <s v="MW09C21028"/>
    <s v="Segurança Industrial"/>
    <n v="-1232.77"/>
    <s v="37OK/37U/Transportes Colaboradores PJ"/>
    <x v="34"/>
    <s v=""/>
    <s v=""/>
    <s v=""/>
    <s v="4008624810"/>
    <s v="WWCAST1_HR"/>
    <s v="895"/>
  </r>
  <r>
    <x v="0"/>
    <d v="2022-10-31T00:00:00"/>
    <x v="9"/>
    <s v="6622400"/>
    <s v="Depr Infrastructure"/>
    <s v="MW09C21028"/>
    <s v="Segurança Industrial"/>
    <n v="97364.79"/>
    <s v="AFB30202201001 0000000082"/>
    <x v="35"/>
    <s v=""/>
    <s v=""/>
    <s v=""/>
    <s v="4008634955"/>
    <s v="SXFTMRB0"/>
    <s v="9"/>
  </r>
  <r>
    <x v="0"/>
    <d v="2022-10-31T00:00:00"/>
    <x v="9"/>
    <s v="6622000"/>
    <s v="Depr Buildings"/>
    <s v="MW09C21028"/>
    <s v="Segurança Industrial"/>
    <n v="28230.48"/>
    <s v="AFB30202201001 0000000081"/>
    <x v="36"/>
    <s v=""/>
    <s v=""/>
    <s v=""/>
    <s v="4008634954"/>
    <s v="SXFTMRB0"/>
    <s v="32"/>
  </r>
  <r>
    <x v="0"/>
    <d v="2022-10-31T00:00:00"/>
    <x v="9"/>
    <s v="6624030"/>
    <s v="Depr Transp."/>
    <s v="MW09C21028"/>
    <s v="Segurança Industrial"/>
    <n v="23411.97"/>
    <s v="AFB30202201001 0000000083"/>
    <x v="38"/>
    <s v=""/>
    <s v=""/>
    <s v=""/>
    <s v="4008634956"/>
    <s v="SXFTMRB0"/>
    <s v="75"/>
  </r>
  <r>
    <x v="0"/>
    <d v="2022-10-31T00:00:00"/>
    <x v="9"/>
    <s v="6012500"/>
    <s v="Bonuses workers"/>
    <s v="MW09C21028"/>
    <s v="Segurança Industrial"/>
    <n v="23185.22"/>
    <s v="GL_STI_100"/>
    <x v="45"/>
    <s v=""/>
    <s v=""/>
    <s v=""/>
    <s v="4008634854"/>
    <s v="BRZFX_HR"/>
    <s v="147"/>
  </r>
  <r>
    <x v="0"/>
    <d v="2022-10-31T00:00:00"/>
    <x v="9"/>
    <s v="6624010"/>
    <s v="Depr IT-Hardware"/>
    <s v="MW09C21028"/>
    <s v="Segurança Industrial"/>
    <n v="14459.14"/>
    <s v="AFB30202201001 0000000083"/>
    <x v="38"/>
    <s v=""/>
    <s v=""/>
    <s v=""/>
    <s v="4008634956"/>
    <s v="SXFTMRB0"/>
    <s v="39"/>
  </r>
  <r>
    <x v="0"/>
    <d v="2022-10-31T00:00:00"/>
    <x v="9"/>
    <s v="6121000"/>
    <s v="Electricity var"/>
    <s v="MW09C21028"/>
    <s v="Segurança Industrial"/>
    <n v="5774.59"/>
    <s v="E. Elétrica variável"/>
    <x v="95"/>
    <s v=""/>
    <s v=""/>
    <s v=""/>
    <s v="4008635700"/>
    <s v="GNZIM"/>
    <s v="26"/>
  </r>
  <r>
    <x v="0"/>
    <d v="2022-10-31T00:00:00"/>
    <x v="9"/>
    <s v="6711000"/>
    <s v="Security Service"/>
    <s v="MW09C21028"/>
    <s v="Segurança Industrial"/>
    <n v="3885.83"/>
    <s v="Valor Security Service ref  Docto Nr  454"/>
    <x v="11"/>
    <s v=""/>
    <s v=""/>
    <s v=""/>
    <s v="4008633962"/>
    <s v="GMGNH"/>
    <s v="1"/>
  </r>
  <r>
    <x v="0"/>
    <d v="2022-10-31T00:00:00"/>
    <x v="9"/>
    <s v="6011500"/>
    <s v="Bonuses"/>
    <s v="MW09C21028"/>
    <s v="Segurança Industrial"/>
    <n v="3396.12"/>
    <s v="GL_STI_100"/>
    <x v="45"/>
    <s v=""/>
    <s v=""/>
    <s v=""/>
    <s v="4008634854"/>
    <s v="BRZFX_HR"/>
    <s v="153"/>
  </r>
  <r>
    <x v="0"/>
    <d v="2022-10-31T00:00:00"/>
    <x v="9"/>
    <s v="6623000"/>
    <s v="Depr Mach/tech Prod"/>
    <s v="MW09C21028"/>
    <s v="Segurança Industrial"/>
    <n v="1793.56"/>
    <s v="AFB30202201001 0000000082"/>
    <x v="35"/>
    <s v=""/>
    <s v=""/>
    <s v=""/>
    <s v="4008634955"/>
    <s v="SXFTMRB0"/>
    <s v="51"/>
  </r>
  <r>
    <x v="0"/>
    <d v="2022-10-31T00:00:00"/>
    <x v="9"/>
    <s v="6821110"/>
    <s v="Train Tickets"/>
    <s v="MW09C21028"/>
    <s v="Segurança Industrial"/>
    <n v="1585.88"/>
    <s v="FARIAS/WEVERSON"/>
    <x v="42"/>
    <s v=""/>
    <s v=""/>
    <s v=""/>
    <s v="4008635649"/>
    <s v="GMDWF"/>
    <s v="11"/>
  </r>
  <r>
    <x v="0"/>
    <d v="2022-10-31T00:00:00"/>
    <x v="9"/>
    <s v="6831400"/>
    <s v="Catering"/>
    <s v="MW09C21028"/>
    <s v="Segurança Industrial"/>
    <n v="840.86"/>
    <s v="Vr recup Refeições Colaboradores - Set"/>
    <x v="15"/>
    <s v=""/>
    <s v=""/>
    <s v=""/>
    <s v="4008634418"/>
    <s v="GNZIM"/>
    <s v="15"/>
  </r>
  <r>
    <x v="0"/>
    <d v="2022-10-31T00:00:00"/>
    <x v="9"/>
    <s v="6831400"/>
    <s v="Catering"/>
    <s v="MW09C21028"/>
    <s v="Segurança Industrial"/>
    <n v="651.39"/>
    <s v="Vr recup Serv Restaur Visitantes - Out"/>
    <x v="15"/>
    <s v=""/>
    <s v=""/>
    <s v=""/>
    <s v="4008635697"/>
    <s v="GNPRP"/>
    <s v="19"/>
  </r>
  <r>
    <x v="0"/>
    <d v="2022-10-31T00:00:00"/>
    <x v="9"/>
    <s v="6822300"/>
    <s v="Coll transp staff"/>
    <s v="MW09C21028"/>
    <s v="Segurança Industrial"/>
    <n v="583.58000000000004"/>
    <s v="Recup Transporte Colaboradores -Set"/>
    <x v="15"/>
    <s v=""/>
    <s v=""/>
    <s v=""/>
    <s v="4008634418"/>
    <s v="GNZIM"/>
    <s v="31"/>
  </r>
  <r>
    <x v="0"/>
    <d v="2022-10-31T00:00:00"/>
    <x v="9"/>
    <s v="6779000"/>
    <s v="Serv. cust. &amp; excise"/>
    <s v="MW09C21028"/>
    <s v="Segurança Industrial"/>
    <n v="569.25"/>
    <s v="Reclassif. Manutenção 369515"/>
    <x v="63"/>
    <s v=""/>
    <s v=""/>
    <s v=""/>
    <s v="4008634435"/>
    <s v="GNZIM"/>
    <s v="43"/>
  </r>
  <r>
    <x v="0"/>
    <d v="2022-10-31T00:00:00"/>
    <x v="9"/>
    <s v="6779000"/>
    <s v="Serv. cust. &amp; excise"/>
    <s v="MW09C21028"/>
    <s v="Segurança Industrial"/>
    <n v="549.25"/>
    <s v="Reclassif. FEE 370264"/>
    <x v="63"/>
    <s v=""/>
    <s v=""/>
    <s v=""/>
    <s v="4008634439"/>
    <s v="GNZIM"/>
    <s v="44"/>
  </r>
  <r>
    <x v="0"/>
    <d v="2022-10-31T00:00:00"/>
    <x v="9"/>
    <s v="6831400"/>
    <s v="Catering"/>
    <s v="MW09C21028"/>
    <s v="Segurança Industrial"/>
    <n v="155.52000000000001"/>
    <s v="Vr recup Refeições Estagiários - Out"/>
    <x v="15"/>
    <s v=""/>
    <s v=""/>
    <s v=""/>
    <s v="4008635697"/>
    <s v="GNPRP"/>
    <s v="32"/>
  </r>
  <r>
    <x v="0"/>
    <d v="2022-10-31T00:00:00"/>
    <x v="9"/>
    <s v="6624000"/>
    <s v="Depr F/Fix"/>
    <s v="MW09C21028"/>
    <s v="Segurança Industrial"/>
    <n v="152.9"/>
    <s v="AFB30202201001 0000000083"/>
    <x v="38"/>
    <s v=""/>
    <s v=""/>
    <s v=""/>
    <s v="4008634956"/>
    <s v="SXFTMRB0"/>
    <s v="7"/>
  </r>
  <r>
    <x v="0"/>
    <d v="2022-10-31T00:00:00"/>
    <x v="9"/>
    <s v="6879990"/>
    <s v="Other taxes"/>
    <s v="MW09C21028"/>
    <s v="Segurança Industrial"/>
    <n v="-10242.73"/>
    <s v="Credito de PIS e COFINS sobre a depreciação OUT/20"/>
    <x v="49"/>
    <s v=""/>
    <s v=""/>
    <s v=""/>
    <s v="4008634469"/>
    <s v="GMGLN"/>
    <s v="31"/>
  </r>
  <r>
    <x v="0"/>
    <d v="2022-10-31T00:00:00"/>
    <x v="9"/>
    <s v="6121001"/>
    <s v="Electricity fix"/>
    <s v="MW09C21028"/>
    <s v="Segurança Industrial"/>
    <n v="-79654.66"/>
    <s v="E. Elétrica fixa"/>
    <x v="96"/>
    <s v=""/>
    <s v=""/>
    <s v=""/>
    <s v="4008635700"/>
    <s v="GNZIM"/>
    <s v="57"/>
  </r>
  <r>
    <x v="0"/>
    <d v="2022-11-01T00:00:00"/>
    <x v="9"/>
    <s v="6021550"/>
    <s v="Health ben sal"/>
    <s v="MW09C21028"/>
    <s v="Segurança Industrial"/>
    <n v="86128.46"/>
    <s v="Lancamento Amil   Outubro"/>
    <x v="44"/>
    <s v=""/>
    <s v=""/>
    <s v=""/>
    <s v="4008636189"/>
    <s v="GMEYG"/>
    <s v="318"/>
  </r>
  <r>
    <x v="0"/>
    <d v="2022-11-01T00:00:00"/>
    <x v="9"/>
    <s v="6831400"/>
    <s v="Catering"/>
    <s v="MW09C21028"/>
    <s v="Segurança Industrial"/>
    <n v="16878.86"/>
    <s v="Lancamento Ticket   Outubro"/>
    <x v="42"/>
    <s v=""/>
    <s v=""/>
    <s v=""/>
    <s v="4008636191"/>
    <s v="GMEYG"/>
    <s v="48"/>
  </r>
  <r>
    <x v="0"/>
    <d v="2022-11-01T00:00:00"/>
    <x v="9"/>
    <s v="6039300"/>
    <s v="Oth emp benefits"/>
    <s v="MW09C21028"/>
    <s v="Segurança Industrial"/>
    <n v="1855.06"/>
    <s v="Lancamento Outros Beneficios   Outubro"/>
    <x v="44"/>
    <s v=""/>
    <s v=""/>
    <s v=""/>
    <s v="4008636189"/>
    <s v="GMEYG"/>
    <s v="134"/>
  </r>
  <r>
    <x v="0"/>
    <d v="2022-11-01T00:00:00"/>
    <x v="9"/>
    <s v="6021550"/>
    <s v="Health ben sal"/>
    <s v="MW09C21028"/>
    <s v="Segurança Industrial"/>
    <n v="1329.57"/>
    <s v="Lancamento Odontoprev   Outubro"/>
    <x v="44"/>
    <s v=""/>
    <s v=""/>
    <s v=""/>
    <s v="4008636189"/>
    <s v="GMEYG"/>
    <s v="505"/>
  </r>
  <r>
    <x v="0"/>
    <d v="2022-11-01T00:00:00"/>
    <x v="9"/>
    <s v="6031130"/>
    <s v="Group ins salaries"/>
    <s v="MW09C21028"/>
    <s v="Segurança Industrial"/>
    <n v="1072.8499999999999"/>
    <s v="Lancamento Seguro de Vida   Outubro"/>
    <x v="44"/>
    <s v=""/>
    <s v=""/>
    <s v=""/>
    <s v="4008636189"/>
    <s v="GMEYG"/>
    <s v="727"/>
  </r>
  <r>
    <x v="0"/>
    <d v="2022-11-02T00:00:00"/>
    <x v="9"/>
    <s v="6121001"/>
    <s v="Electricity fix"/>
    <s v="MW09C21028"/>
    <s v="Segurança Industrial"/>
    <n v="7794.45"/>
    <s v="MW4A010014MW09C21027 Energia Eletrica Fi"/>
    <x v="41"/>
    <s v="Alocações Periódicas"/>
    <s v=""/>
    <s v="Cost center"/>
    <s v="4400018201"/>
    <s v="SXFTMRB0"/>
    <s v="213"/>
  </r>
  <r>
    <x v="0"/>
    <d v="2022-11-02T00:00:00"/>
    <x v="9"/>
    <s v="6121000"/>
    <s v="Electricity var"/>
    <s v="MW09C21028"/>
    <s v="Segurança Industrial"/>
    <n v="7047.66"/>
    <s v="MW4A010010MW09C21027 Energia Eletrica Va"/>
    <x v="41"/>
    <s v="Alocações Periódicas"/>
    <s v=""/>
    <s v="Cost center"/>
    <s v="4400018201"/>
    <s v="SXFTMRB0"/>
    <s v="139"/>
  </r>
  <r>
    <x v="0"/>
    <d v="2022-11-02T00:00:00"/>
    <x v="9"/>
    <s v="6101000"/>
    <s v="Water var"/>
    <s v="MW09C21028"/>
    <s v="Segurança Industrial"/>
    <n v="2880.56"/>
    <s v="MW4A010008MW09C21027 Ág. Processo"/>
    <x v="41"/>
    <s v="Alocações Periódicas"/>
    <s v=""/>
    <s v="Cost center"/>
    <s v="4400018201"/>
    <s v="SXFTMRB0"/>
    <s v="37"/>
  </r>
  <r>
    <x v="0"/>
    <d v="2022-11-02T00:00:00"/>
    <x v="9"/>
    <s v="6321000"/>
    <s v="General supplies"/>
    <s v="MW09C21028"/>
    <s v="Segurança Industrial"/>
    <n v="1899.82"/>
    <s v="MW4A010015MW09C21027 Energia Eletrica Fi"/>
    <x v="41"/>
    <s v="Alocações Periódicas"/>
    <s v=""/>
    <s v="Cost center"/>
    <s v="4400018201"/>
    <s v="SXFTMRB0"/>
    <s v="251"/>
  </r>
  <r>
    <x v="0"/>
    <d v="2022-11-02T00:00:00"/>
    <x v="9"/>
    <s v="6109990"/>
    <s v="Water - Other"/>
    <s v="MW09C21028"/>
    <s v="Segurança Industrial"/>
    <n v="901.26"/>
    <s v="MW4A010009MW09C21027 Ág. Potavel"/>
    <x v="41"/>
    <s v="Alocações Periódicas"/>
    <s v=""/>
    <s v="Cost center"/>
    <s v="4400018201"/>
    <s v="SXFTMRB0"/>
    <s v="83"/>
  </r>
  <r>
    <x v="0"/>
    <d v="2022-11-02T00:00:00"/>
    <x v="9"/>
    <s v="6321000"/>
    <s v="General supplies"/>
    <s v="MW09C21028"/>
    <s v="Segurança Industrial"/>
    <n v="-1899.82"/>
    <s v="MW4A010015MW09C21027 Energia Eletrica Fi"/>
    <x v="41"/>
    <s v="Alocações Periódicas"/>
    <s v=""/>
    <s v="Cost center"/>
    <s v="4400018200"/>
    <s v="SXFTMRB0"/>
    <s v="99"/>
  </r>
  <r>
    <x v="0"/>
    <d v="2022-11-02T00:00:00"/>
    <x v="9"/>
    <s v="6121001"/>
    <s v="Electricity fix"/>
    <s v="MW09C21028"/>
    <s v="Segurança Industrial"/>
    <n v="-7794.45"/>
    <s v="MW4A010014MW09C21027 Energia Eletrica Fi"/>
    <x v="41"/>
    <s v="Alocações Periódicas"/>
    <s v=""/>
    <s v="Cost center"/>
    <s v="4400018200"/>
    <s v="SXFTMRB0"/>
    <s v="61"/>
  </r>
  <r>
    <x v="0"/>
    <d v="2022-11-02T00:00:00"/>
    <x v="9"/>
    <s v="7711010"/>
    <s v="Security Service ASS"/>
    <s v="MW09C21028"/>
    <s v="Segurança Industrial"/>
    <n v="-2034124.15"/>
    <s v="MW5B02_017MW09C21028"/>
    <x v="41"/>
    <s v="Prédio 6201"/>
    <s v=""/>
    <s v="Cost center"/>
    <s v="4400018203"/>
    <s v="SXFTMRB0"/>
    <s v="298"/>
  </r>
  <r>
    <x v="0"/>
    <d v="2022-11-07T00:00:00"/>
    <x v="10"/>
    <s v="6542000"/>
    <s v="Environmental serv"/>
    <s v="MW09C21028"/>
    <s v="Segurança Industrial"/>
    <n v="4780.07"/>
    <s v="Valor Environmental serv ref  Docto Nr  418"/>
    <x v="0"/>
    <s v=""/>
    <s v="660564443"/>
    <s v=""/>
    <s v="4008652566"/>
    <s v="GNEPP"/>
    <s v="1"/>
  </r>
  <r>
    <x v="0"/>
    <d v="2022-11-07T00:00:00"/>
    <x v="10"/>
    <s v="6471200"/>
    <s v="Product literature"/>
    <s v="MW09C21028"/>
    <s v="Segurança Industrial"/>
    <n v="2633"/>
    <s v="Valor Product literature ref  Docto Nr  16515"/>
    <x v="97"/>
    <s v=""/>
    <s v="660564174"/>
    <s v=""/>
    <s v="4008652813"/>
    <s v="GNEPP"/>
    <s v="1"/>
  </r>
  <r>
    <x v="0"/>
    <d v="2022-11-07T00:00:00"/>
    <x v="10"/>
    <s v="6280000"/>
    <s v="Technic. spare parts"/>
    <s v="MW09C21028"/>
    <s v="Segurança Industrial"/>
    <n v="1784.7"/>
    <s v="Valor Technic  spare parts ref  Docto Nr  26636"/>
    <x v="12"/>
    <s v=""/>
    <s v="660564441"/>
    <s v=""/>
    <s v="4008652811"/>
    <s v="GNEPP"/>
    <s v="1"/>
  </r>
  <r>
    <x v="0"/>
    <d v="2022-11-08T00:00:00"/>
    <x v="10"/>
    <s v="6715000"/>
    <s v="Fire prevent serv."/>
    <s v="MW09C21028"/>
    <s v="Segurança Industrial"/>
    <n v="10193.99"/>
    <s v="Valor Fire prevent serv  ref  Docto Nr  38154"/>
    <x v="10"/>
    <s v=""/>
    <s v="660564473"/>
    <s v=""/>
    <s v="4008655760"/>
    <s v="GNEPP"/>
    <s v="1"/>
  </r>
  <r>
    <x v="0"/>
    <d v="2022-11-11T00:00:00"/>
    <x v="10"/>
    <s v="6711000"/>
    <s v="Security Service"/>
    <s v="MW09C21028"/>
    <s v="Segurança Industrial"/>
    <n v="9557.0499999999993"/>
    <s v="Valor Security Service ref  Docto Nr  464"/>
    <x v="11"/>
    <s v=""/>
    <s v="660564444"/>
    <s v=""/>
    <s v="4008664168"/>
    <s v="GNEDA"/>
    <s v="1"/>
  </r>
  <r>
    <x v="0"/>
    <d v="2022-11-11T00:00:00"/>
    <x v="10"/>
    <s v="6772000"/>
    <s v="MGT Consultancy"/>
    <s v="MW09C21028"/>
    <s v="Segurança Industrial"/>
    <n v="900"/>
    <s v="Valor MGT Consultancy ref  Docto Nr  1090"/>
    <x v="78"/>
    <s v=""/>
    <s v=""/>
    <s v=""/>
    <s v="4008663647"/>
    <s v="GNEPP"/>
    <s v="1"/>
  </r>
  <r>
    <x v="0"/>
    <d v="2022-11-12T00:00:00"/>
    <x v="10"/>
    <s v="6451000"/>
    <s v="Carrier Fees Voice"/>
    <s v="MW09C21028"/>
    <s v="Segurança Industrial"/>
    <n v="74.7"/>
    <s v="Devolução do Celular/07615008/41561EEABC5346779EB7"/>
    <x v="93"/>
    <s v=""/>
    <s v=""/>
    <s v=""/>
    <s v="4008666796"/>
    <s v="SXIDOCXI"/>
    <s v="1"/>
  </r>
  <r>
    <x v="0"/>
    <d v="2022-11-12T00:00:00"/>
    <x v="10"/>
    <s v="6451000"/>
    <s v="Carrier Fees Voice"/>
    <s v="MW09C21028"/>
    <s v="Segurança Industrial"/>
    <n v="36"/>
    <s v="Troca de aparelho/07615008/41561EEABC5346779EB7/Re"/>
    <x v="93"/>
    <s v=""/>
    <s v=""/>
    <s v=""/>
    <s v="4008666796"/>
    <s v="SXIDOCXI"/>
    <s v="2"/>
  </r>
  <r>
    <x v="0"/>
    <d v="2022-11-15T00:00:00"/>
    <x v="10"/>
    <s v="6032003"/>
    <s v="Pension Accrual."/>
    <s v="MW09C21028"/>
    <s v="Segurança Industrial"/>
    <n v="1882.92"/>
    <s v="Prov Pl  Pensao Ativos BCS 2022"/>
    <x v="47"/>
    <s v=""/>
    <s v=""/>
    <s v=""/>
    <s v="4008672731"/>
    <s v="EHKHM_FF"/>
    <s v="40"/>
  </r>
  <r>
    <x v="0"/>
    <d v="2022-11-15T00:00:00"/>
    <x v="10"/>
    <s v="6876000"/>
    <s v="Municip+regional tax"/>
    <s v="MW09C21028"/>
    <s v="Segurança Industrial"/>
    <n v="833.94"/>
    <s v="Seguranca Industrial"/>
    <x v="69"/>
    <s v=""/>
    <s v=""/>
    <s v=""/>
    <s v="4008672729"/>
    <s v="EHKHM_FF"/>
    <s v="13"/>
  </r>
  <r>
    <x v="0"/>
    <d v="2022-11-15T00:00:00"/>
    <x v="10"/>
    <s v="6829990"/>
    <s v="Other travel cost"/>
    <s v="MW09C21028"/>
    <s v="Segurança Industrial"/>
    <n v="546.85"/>
    <s v="Abastecimento Veículo Emergencial Segurança Indust"/>
    <x v="22"/>
    <s v=""/>
    <s v=""/>
    <s v=""/>
    <s v="4008672307"/>
    <s v="SXIDOCXI"/>
    <s v="1"/>
  </r>
  <r>
    <x v="0"/>
    <d v="2022-11-15T00:00:00"/>
    <x v="10"/>
    <s v="6032003"/>
    <s v="Pension Accrual."/>
    <s v="MW09C21028"/>
    <s v="Segurança Industrial"/>
    <n v="420.36"/>
    <s v="Prov Pl  Medico Efeito Ebit BCS 2022"/>
    <x v="48"/>
    <s v=""/>
    <s v=""/>
    <s v=""/>
    <s v="4008672732"/>
    <s v="EHKHM_FF"/>
    <s v="1"/>
  </r>
  <r>
    <x v="0"/>
    <d v="2022-11-15T00:00:00"/>
    <x v="10"/>
    <s v="6829990"/>
    <s v="Other travel cost"/>
    <s v="MW09C21028"/>
    <s v="Segurança Industrial"/>
    <n v="268.3"/>
    <s v="Abastecimento Veículo Emergencial Segurança Indust"/>
    <x v="23"/>
    <s v=""/>
    <s v=""/>
    <s v=""/>
    <s v="4008672306"/>
    <s v="SXIDOCXI"/>
    <s v="1"/>
  </r>
  <r>
    <x v="0"/>
    <d v="2022-11-15T00:00:00"/>
    <x v="10"/>
    <s v="6829990"/>
    <s v="Other travel cost"/>
    <s v="MW09C21028"/>
    <s v="Segurança Industrial"/>
    <n v="207.4"/>
    <s v="Itens Uniforme Segurança Industrial/06168407/B903B"/>
    <x v="22"/>
    <s v=""/>
    <s v=""/>
    <s v=""/>
    <s v="4008672307"/>
    <s v="SXIDOCXI"/>
    <s v="4"/>
  </r>
  <r>
    <x v="0"/>
    <d v="2022-11-15T00:00:00"/>
    <x v="10"/>
    <s v="6829990"/>
    <s v="Other travel cost"/>
    <s v="MW09C21028"/>
    <s v="Segurança Industrial"/>
    <n v="179"/>
    <s v="Manutenção Veículo Emergencial Segurança Industria"/>
    <x v="23"/>
    <s v=""/>
    <s v=""/>
    <s v=""/>
    <s v="4008672306"/>
    <s v="SXIDOCXI"/>
    <s v="2"/>
  </r>
  <r>
    <x v="0"/>
    <d v="2022-11-15T00:00:00"/>
    <x v="10"/>
    <s v="6829990"/>
    <s v="Other travel cost"/>
    <s v="MW09C21028"/>
    <s v="Segurança Industrial"/>
    <n v="115.8"/>
    <s v="Compra de Materiais Emergenciais/06168407/B903B432"/>
    <x v="22"/>
    <s v=""/>
    <s v=""/>
    <s v=""/>
    <s v="4008672307"/>
    <s v="SXIDOCXI"/>
    <s v="2"/>
  </r>
  <r>
    <x v="0"/>
    <d v="2022-11-15T00:00:00"/>
    <x v="10"/>
    <s v="6829990"/>
    <s v="Other travel cost"/>
    <s v="MW09C21028"/>
    <s v="Segurança Industrial"/>
    <n v="106.96"/>
    <s v="Manutenção Veículo Emergencial Segurança Industria"/>
    <x v="22"/>
    <s v=""/>
    <s v=""/>
    <s v=""/>
    <s v="4008672307"/>
    <s v="SXIDOCXI"/>
    <s v="5"/>
  </r>
  <r>
    <x v="0"/>
    <d v="2022-11-15T00:00:00"/>
    <x v="10"/>
    <s v="6829990"/>
    <s v="Other travel cost"/>
    <s v="MW09C21028"/>
    <s v="Segurança Industrial"/>
    <n v="91.9"/>
    <s v="Material de Conservação e Limpeza Veículos Emergen"/>
    <x v="22"/>
    <s v=""/>
    <s v=""/>
    <s v=""/>
    <s v="4008672307"/>
    <s v="SXIDOCXI"/>
    <s v="7"/>
  </r>
  <r>
    <x v="0"/>
    <d v="2022-11-15T00:00:00"/>
    <x v="10"/>
    <s v="6829990"/>
    <s v="Other travel cost"/>
    <s v="MW09C21028"/>
    <s v="Segurança Industrial"/>
    <n v="72.900000000000006"/>
    <s v="Compra de Ração para Cães Capturados no Complexo I"/>
    <x v="22"/>
    <s v=""/>
    <s v=""/>
    <s v=""/>
    <s v="4008672307"/>
    <s v="SXIDOCXI"/>
    <s v="3"/>
  </r>
  <r>
    <x v="0"/>
    <d v="2022-11-15T00:00:00"/>
    <x v="10"/>
    <s v="6829990"/>
    <s v="Other travel cost"/>
    <s v="MW09C21028"/>
    <s v="Segurança Industrial"/>
    <n v="37.86"/>
    <s v="Utilização Veículo Executivo Segurança Industrial/"/>
    <x v="23"/>
    <s v=""/>
    <s v=""/>
    <s v=""/>
    <s v="4008672306"/>
    <s v="SXIDOCXI"/>
    <s v="3"/>
  </r>
  <r>
    <x v="0"/>
    <d v="2022-11-15T00:00:00"/>
    <x v="10"/>
    <s v="6829990"/>
    <s v="Other travel cost"/>
    <s v="MW09C21028"/>
    <s v="Segurança Industrial"/>
    <n v="37.86"/>
    <s v="Utilização Veículo Executivo Segurança Industrial/"/>
    <x v="22"/>
    <s v=""/>
    <s v=""/>
    <s v=""/>
    <s v="4008672307"/>
    <s v="SXIDOCXI"/>
    <s v="8"/>
  </r>
  <r>
    <x v="0"/>
    <d v="2022-11-15T00:00:00"/>
    <x v="10"/>
    <s v="6829990"/>
    <s v="Other travel cost"/>
    <s v="MW09C21028"/>
    <s v="Segurança Industrial"/>
    <n v="37.5"/>
    <s v="Material Conservação e Limpeza Veículos Emergencia"/>
    <x v="22"/>
    <s v=""/>
    <s v=""/>
    <s v=""/>
    <s v="4008672307"/>
    <s v="SXIDOCXI"/>
    <s v="6"/>
  </r>
  <r>
    <x v="0"/>
    <d v="2022-11-16T00:00:00"/>
    <x v="10"/>
    <s v="6829990"/>
    <s v="Other travel cost"/>
    <s v="MW09C21028"/>
    <s v="Segurança Industrial"/>
    <n v="649.25"/>
    <s v="Abastecimento Veículo Emergencial Segurança Indust"/>
    <x v="52"/>
    <s v=""/>
    <s v=""/>
    <s v=""/>
    <s v="4008673416"/>
    <s v="SXIDOCXI"/>
    <s v="1"/>
  </r>
  <r>
    <x v="0"/>
    <d v="2022-11-16T00:00:00"/>
    <x v="10"/>
    <s v="6829990"/>
    <s v="Other travel cost"/>
    <s v="MW09C21028"/>
    <s v="Segurança Industrial"/>
    <n v="513.64"/>
    <s v="Abastecimento Veículo Emergencial Segurança Indust"/>
    <x v="24"/>
    <s v=""/>
    <s v=""/>
    <s v=""/>
    <s v="4008673417"/>
    <s v="SXIDOCXI"/>
    <s v="1"/>
  </r>
  <r>
    <x v="0"/>
    <d v="2022-11-16T00:00:00"/>
    <x v="10"/>
    <s v="6822200"/>
    <s v="Milage allowance"/>
    <s v="MW09C21028"/>
    <s v="Segurança Industrial"/>
    <n v="430"/>
    <s v="Utilização de Veículo Particular/11050737/573A5FCE"/>
    <x v="98"/>
    <s v=""/>
    <s v=""/>
    <s v=""/>
    <s v="4008673468"/>
    <s v="SXIDOCXI"/>
    <s v="1"/>
  </r>
  <r>
    <x v="0"/>
    <d v="2022-11-16T00:00:00"/>
    <x v="10"/>
    <s v="6701000"/>
    <s v="Training"/>
    <s v="MW09C21028"/>
    <s v="Segurança Industrial"/>
    <n v="390"/>
    <s v="Resolução 789 - Curso Transporte Veículo de Emergê"/>
    <x v="98"/>
    <s v=""/>
    <s v=""/>
    <s v=""/>
    <s v="4008673468"/>
    <s v="SXIDOCXI"/>
    <s v="2"/>
  </r>
  <r>
    <x v="0"/>
    <d v="2022-11-16T00:00:00"/>
    <x v="10"/>
    <s v="6711000"/>
    <s v="Security Service"/>
    <s v="MW09C21028"/>
    <s v="Segurança Industrial"/>
    <n v="320"/>
    <s v="Comunicação mensal"/>
    <x v="29"/>
    <s v=""/>
    <s v="660569420"/>
    <s v=""/>
    <s v="4008673943"/>
    <s v="GNEPP"/>
    <s v="1"/>
  </r>
  <r>
    <x v="0"/>
    <d v="2022-11-16T00:00:00"/>
    <x v="10"/>
    <s v="6829990"/>
    <s v="Other travel cost"/>
    <s v="MW09C21028"/>
    <s v="Segurança Industrial"/>
    <n v="250"/>
    <s v="Retirada de Cão Complexo Industrial Belford Roxo/0"/>
    <x v="7"/>
    <s v=""/>
    <s v=""/>
    <s v=""/>
    <s v="4008673418"/>
    <s v="SXIDOCXI"/>
    <s v="2"/>
  </r>
  <r>
    <x v="0"/>
    <d v="2022-12-13T00:00:00"/>
    <x v="11"/>
    <s v="6715000"/>
    <s v="Fire prevent serv."/>
    <s v="MW09C21028"/>
    <s v="Segurança Industrial"/>
    <n v="10193.99"/>
    <s v="Valor Fire prevent serv  ref  Docto Nr  38403"/>
    <x v="10"/>
    <s v="660581614"/>
    <s v="4008758394"/>
    <s v="GNEPP"/>
    <s v="1"/>
    <n v="44900"/>
    <s v="5107898053"/>
  </r>
  <r>
    <x v="0"/>
    <d v="2022-12-26T00:00:00"/>
    <x v="11"/>
    <s v="6715000"/>
    <s v="Fire prevent serv."/>
    <s v="MW09C21028"/>
    <s v="Segurança Industrial"/>
    <n v="5976.06"/>
    <s v="Valor Fire prevent serv  ref  Docto Nr  38512"/>
    <x v="10"/>
    <s v="660591443"/>
    <s v="4008774533"/>
    <s v="GEMKD"/>
    <s v="1"/>
    <n v="44915"/>
    <s v="5107950118"/>
  </r>
  <r>
    <x v="0"/>
    <d v="2022-12-26T00:00:00"/>
    <x v="11"/>
    <s v="6715000"/>
    <s v="Fire prevent serv."/>
    <s v="MW09C21028"/>
    <s v="Segurança Industrial"/>
    <n v="4516.32"/>
    <s v="Valor Fire prevent serv  ref  Docto Nr  38512"/>
    <x v="10"/>
    <s v="660591443"/>
    <s v="4008774533"/>
    <s v="GEMKD"/>
    <s v="5"/>
    <n v="44915"/>
    <s v="5107950118"/>
  </r>
  <r>
    <x v="0"/>
    <d v="2022-12-26T00:00:00"/>
    <x v="11"/>
    <s v="6715000"/>
    <s v="Fire prevent serv."/>
    <s v="MW09C21028"/>
    <s v="Segurança Industrial"/>
    <n v="1411.5"/>
    <s v="Valor Fire prevent serv  ref  Docto Nr  38512"/>
    <x v="10"/>
    <s v="660591443"/>
    <s v="4008774533"/>
    <s v="GEMKD"/>
    <s v="4"/>
    <n v="44915"/>
    <s v="5107950118"/>
  </r>
  <r>
    <x v="0"/>
    <d v="2022-12-26T00:00:00"/>
    <x v="11"/>
    <s v="6715000"/>
    <s v="Fire prevent serv."/>
    <s v="MW09C21028"/>
    <s v="Segurança Industrial"/>
    <n v="636.72"/>
    <s v="Valor Fire prevent serv  ref  Docto Nr  38512"/>
    <x v="10"/>
    <s v="660591443"/>
    <s v="4008774533"/>
    <s v="GEMKD"/>
    <s v="2"/>
    <n v="44915"/>
    <s v="5107950118"/>
  </r>
  <r>
    <x v="0"/>
    <d v="2022-12-26T00:00:00"/>
    <x v="11"/>
    <s v="6715000"/>
    <s v="Fire prevent serv."/>
    <s v="MW09C21028"/>
    <s v="Segurança Industrial"/>
    <n v="423.44"/>
    <s v="Valor Fire prevent serv  ref  Docto Nr  38512"/>
    <x v="10"/>
    <s v="660591443"/>
    <s v="4008774533"/>
    <s v="GEMKD"/>
    <s v="6"/>
    <n v="44915"/>
    <s v="5107950118"/>
  </r>
  <r>
    <x v="0"/>
    <d v="2022-12-26T00:00:00"/>
    <x v="11"/>
    <s v="6715000"/>
    <s v="Fire prevent serv."/>
    <s v="MW09C21028"/>
    <s v="Segurança Industrial"/>
    <n v="50.19"/>
    <s v="Valor Fire prevent serv  ref  Docto Nr  38512"/>
    <x v="10"/>
    <s v="660591443"/>
    <s v="4008774533"/>
    <s v="GEMKD"/>
    <s v="3"/>
    <n v="44915"/>
    <s v="5107950118"/>
  </r>
  <r>
    <x v="1"/>
    <d v="2023-01-06T00:00:00"/>
    <x v="0"/>
    <s v="6715000"/>
    <s v="Fire prevent serv."/>
    <s v="MW09C21028"/>
    <s v="Segurança Industrial"/>
    <n v="10193.99"/>
    <s v="Valor Fire prevent serv  ref  Docto Nr  38538"/>
    <x v="10"/>
    <s v="660595083"/>
    <s v="4008790144"/>
    <s v="GNEPP"/>
    <s v="1"/>
    <n v="44930"/>
    <s v="5107982698"/>
  </r>
  <r>
    <x v="1"/>
    <d v="2023-01-06T00:00:00"/>
    <x v="0"/>
    <s v="6701000"/>
    <s v="Training"/>
    <s v="MW09C21028"/>
    <s v="Segurança Industrial"/>
    <n v="1552.2"/>
    <s v="Valor Training ref  Docto Nr  38539"/>
    <x v="10"/>
    <s v=""/>
    <s v="4008790136"/>
    <s v="GNEPP"/>
    <s v="1"/>
    <n v="44930"/>
    <s v="4640000170"/>
  </r>
  <r>
    <x v="1"/>
    <d v="2023-02-06T00:00:00"/>
    <x v="1"/>
    <m/>
    <m/>
    <m/>
    <m/>
    <n v="0"/>
    <m/>
    <x v="10"/>
    <m/>
    <m/>
    <m/>
    <m/>
    <m/>
    <m/>
  </r>
  <r>
    <x v="1"/>
    <d v="2023-03-14T00:00:00"/>
    <x v="2"/>
    <s v="6715000"/>
    <s v="Fire prevent serv."/>
    <s v="MW09C21028"/>
    <s v="Segurança Industrial"/>
    <n v="10193.99"/>
    <s v="Valor Fire prevent serv  ref  Docto Nr  38877"/>
    <x v="10"/>
    <s v="660628807"/>
    <s v="4008925549"/>
    <s v="GEMKD"/>
    <s v="1"/>
    <d v="2023-03-06T00:00:00"/>
    <s v="5108260966"/>
  </r>
  <r>
    <x v="1"/>
    <d v="2023-04-14T00:00:00"/>
    <x v="3"/>
    <s v="6715000"/>
    <s v="Fire prevent serv."/>
    <s v="MW09C21028"/>
    <s v="Segurança Industrial"/>
    <n v="10193.99"/>
    <s v="Valor Fire prevent serv  ref  Docto Nr  39146"/>
    <x v="10"/>
    <s v="660646395"/>
    <s v="4008967908"/>
    <s v="GEMKD"/>
    <s v="1"/>
    <d v="2023-04-06T00:00:00"/>
    <s v="5108379700"/>
  </r>
  <r>
    <x v="1"/>
    <d v="2023-05-19T00:00:00"/>
    <x v="4"/>
    <s v="6715000"/>
    <s v="Fire prevent serv."/>
    <s v="MW09C21028"/>
    <s v="Segurança Industrial"/>
    <n v="11035"/>
    <s v="Valor Fire prevent serv  ref  Docto Nr  39398"/>
    <x v="10"/>
    <s v="660665280"/>
    <s v="4009003617"/>
    <s v="EFXNJ"/>
    <s v="1"/>
    <d v="2023-05-11T00:00:00"/>
    <s v="5108501095"/>
  </r>
  <r>
    <x v="1"/>
    <d v="2023-05-26T00:00:00"/>
    <x v="4"/>
    <s v="6715000"/>
    <s v="Fire prevent serv."/>
    <s v="MW09C21028"/>
    <s v="Segurança Industrial"/>
    <n v="4710.75"/>
    <s v="Valor Fire prevent serv  ref  Docto Nr  39464"/>
    <x v="10"/>
    <s v="660669041"/>
    <s v="4009006597"/>
    <s v="GEMKD"/>
    <s v="2"/>
    <d v="2023-05-19T00:00:00"/>
    <s v="5108522596"/>
  </r>
  <r>
    <x v="1"/>
    <d v="2023-05-26T00:00:00"/>
    <x v="4"/>
    <s v="6715000"/>
    <s v="Fire prevent serv."/>
    <s v="MW09C21028"/>
    <s v="Segurança Industrial"/>
    <n v="3565.1"/>
    <s v="Valor Fire prevent serv  ref  Docto Nr  39464"/>
    <x v="10"/>
    <s v="660669041"/>
    <s v="4009006597"/>
    <s v="GEMKD"/>
    <s v="3"/>
    <d v="2023-05-19T00:00:00"/>
    <s v="5108522596"/>
  </r>
  <r>
    <x v="1"/>
    <d v="2023-05-29T00:00:00"/>
    <x v="4"/>
    <s v="6715000"/>
    <s v="Fire prevent serv."/>
    <s v="MW09C21028"/>
    <s v="Segurança Industrial"/>
    <n v="3140.5"/>
    <s v="Valor Fire prevent serv  ref  Docto Nr  39467"/>
    <x v="10"/>
    <s v="660669042"/>
    <s v="4009007454"/>
    <s v="GEMKD"/>
    <s v="3"/>
    <d v="2023-05-23T00:00:00"/>
    <s v="5108529302"/>
  </r>
  <r>
    <x v="1"/>
    <d v="2023-05-29T00:00:00"/>
    <x v="4"/>
    <s v="6715000"/>
    <s v="Fire prevent serv."/>
    <s v="MW09C21028"/>
    <s v="Segurança Industrial"/>
    <n v="1018.6"/>
    <s v="Valor Fire prevent serv  ref  Docto Nr  39467"/>
    <x v="10"/>
    <s v="660669042"/>
    <s v="4009007454"/>
    <s v="GEMKD"/>
    <s v="4"/>
    <d v="2023-05-23T00:00:00"/>
    <s v="5108529302"/>
  </r>
  <r>
    <x v="1"/>
    <d v="2023-05-29T00:00:00"/>
    <x v="4"/>
    <s v="6715000"/>
    <s v="Fire prevent serv."/>
    <s v="MW09C21028"/>
    <s v="Segurança Industrial"/>
    <n v="916.8"/>
    <s v="Valor Fire prevent serv  ref  Docto Nr  39467"/>
    <x v="10"/>
    <s v="660669042"/>
    <s v="4009007454"/>
    <s v="GEMKD"/>
    <s v="5"/>
    <d v="2023-05-23T00:00:00"/>
    <s v="5108529302"/>
  </r>
  <r>
    <x v="1"/>
    <d v="2023-05-29T00:00:00"/>
    <x v="4"/>
    <s v="6715000"/>
    <s v="Fire prevent serv."/>
    <s v="MW09C21028"/>
    <s v="Segurança Industrial"/>
    <n v="492.3"/>
    <s v="Valor Fire prevent serv  ref  Docto Nr  39467"/>
    <x v="10"/>
    <s v="660669042"/>
    <s v="4009007454"/>
    <s v="GEMKD"/>
    <s v="1"/>
    <d v="2023-05-23T00:00:00"/>
    <s v="5108529302"/>
  </r>
  <r>
    <x v="1"/>
    <d v="2023-05-26T00:00:00"/>
    <x v="4"/>
    <s v="6715000"/>
    <s v="Fire prevent serv."/>
    <s v="MW09C21028"/>
    <s v="Segurança Industrial"/>
    <n v="443.07"/>
    <s v="Valor Fire prevent serv  ref  Docto Nr  39464"/>
    <x v="10"/>
    <s v="660669041"/>
    <s v="4009006597"/>
    <s v="GEMKD"/>
    <s v="1"/>
    <d v="2023-05-19T00:00:00"/>
    <s v="5108522596"/>
  </r>
  <r>
    <x v="1"/>
    <d v="2023-05-29T00:00:00"/>
    <x v="4"/>
    <s v="6715000"/>
    <s v="Fire prevent serv."/>
    <s v="MW09C21028"/>
    <s v="Segurança Industrial"/>
    <n v="59.41"/>
    <s v="Valor Fire prevent serv  ref  Docto Nr  39467"/>
    <x v="10"/>
    <s v="660669042"/>
    <s v="4009007454"/>
    <s v="GEMKD"/>
    <s v="2"/>
    <d v="2023-05-23T00:00:00"/>
    <s v="5108529302"/>
  </r>
  <r>
    <x v="1"/>
    <d v="2023-06-26T00:00:00"/>
    <x v="5"/>
    <s v="6715000"/>
    <s v="Fire prevent serv."/>
    <s v="MW09C21028"/>
    <s v="Segurança Industrial"/>
    <n v="11035"/>
    <s v="Valor Fire prevent serv  ref  Docto Nr  39638"/>
    <x v="10"/>
    <s v="660683492"/>
    <s v="4009027006"/>
    <s v="GEMKD"/>
    <s v="1"/>
    <d v="2023-06-19T00:00:00"/>
    <s v="5108609482"/>
  </r>
  <r>
    <x v="1"/>
    <d v="2023-06-12T00:00:00"/>
    <x v="5"/>
    <s v="6200000"/>
    <s v="Maint &amp; Leg/Co.Compl"/>
    <s v="MW09C21028"/>
    <s v="Segurança Industrial"/>
    <n v="5046.0600000000004"/>
    <s v="Valor Maint &amp; Leg Co Compl ref  Docto Nr  39513"/>
    <x v="10"/>
    <s v=""/>
    <s v="4009016507"/>
    <s v="GEMKD"/>
    <s v="1"/>
    <d v="2023-06-01T00:00:00"/>
    <s v="4640004602"/>
  </r>
  <r>
    <x v="1"/>
    <d v="2023-06-26T00:00:00"/>
    <x v="5"/>
    <s v="6715000"/>
    <s v="Fire prevent serv."/>
    <s v="MW09C21028"/>
    <s v="Segurança Industrial"/>
    <n v="3259.52"/>
    <s v="Valor Fire prevent serv  ref  Docto Nr  39645"/>
    <x v="10"/>
    <s v="660683491"/>
    <s v="4009027008"/>
    <s v="GEMKD"/>
    <s v="4"/>
    <d v="2023-06-19T00:00:00"/>
    <s v="5108609483"/>
  </r>
  <r>
    <x v="1"/>
    <d v="2023-06-21T00:00:00"/>
    <x v="5"/>
    <s v="6715000"/>
    <s v="Fire prevent serv."/>
    <s v="MW09C21028"/>
    <s v="Segurança Industrial"/>
    <n v="3055.8"/>
    <s v="Valor Fire prevent serv  ref  Docto Nr  39605"/>
    <x v="10"/>
    <s v="660681417"/>
    <s v="4009023863"/>
    <s v="GEMKD"/>
    <s v="4"/>
    <d v="2023-06-13T00:00:00"/>
    <s v="5108598585"/>
  </r>
  <r>
    <x v="1"/>
    <d v="2023-06-07T00:00:00"/>
    <x v="5"/>
    <s v="6715000"/>
    <s v="Fire prevent serv."/>
    <s v="MW09C21028"/>
    <s v="Segurança Industrial"/>
    <n v="2916.79"/>
    <s v="Valor Fire prevent serv  ref  Docto Nr  38511"/>
    <x v="10"/>
    <s v="660591438"/>
    <s v="4009012903"/>
    <s v="GLRPT"/>
    <s v="2"/>
    <d v="2022-12-20T00:00:00"/>
    <s v="5108556859"/>
  </r>
  <r>
    <x v="1"/>
    <d v="2023-06-07T00:00:00"/>
    <x v="5"/>
    <s v="6715000"/>
    <s v="Fire prevent serv."/>
    <s v="MW09C21028"/>
    <s v="Segurança Industrial"/>
    <n v="2842.98"/>
    <s v="Valor Fire prevent serv  ref  Docto Nr  38511"/>
    <x v="10"/>
    <s v="660591438"/>
    <s v="4009012903"/>
    <s v="GLRPT"/>
    <s v="1"/>
    <d v="2022-12-20T00:00:00"/>
    <s v="5108556859"/>
  </r>
  <r>
    <x v="1"/>
    <d v="2023-06-21T00:00:00"/>
    <x v="5"/>
    <s v="6715000"/>
    <s v="Fire prevent serv."/>
    <s v="MW09C21028"/>
    <s v="Segurança Industrial"/>
    <n v="2700.83"/>
    <s v="Valor Fire prevent serv  ref  Docto Nr  39605"/>
    <x v="10"/>
    <s v="660681417"/>
    <s v="4009023863"/>
    <s v="GEMKD"/>
    <s v="2"/>
    <d v="2023-06-13T00:00:00"/>
    <s v="5108598585"/>
  </r>
  <r>
    <x v="1"/>
    <d v="2023-06-07T00:00:00"/>
    <x v="5"/>
    <s v="6715000"/>
    <s v="Fire prevent serv."/>
    <s v="MW09C21028"/>
    <s v="Segurança Industrial"/>
    <n v="2391.81"/>
    <s v="Valor Fire prevent serv  ref  Docto Nr  38513"/>
    <x v="10"/>
    <s v="660591447"/>
    <s v="4009012907"/>
    <s v="GLRPT"/>
    <s v="1"/>
    <d v="2022-12-20T00:00:00"/>
    <s v="5108556862"/>
  </r>
  <r>
    <x v="1"/>
    <d v="2023-06-07T00:00:00"/>
    <x v="5"/>
    <s v="6715000"/>
    <s v="Fire prevent serv."/>
    <s v="MW09C21028"/>
    <s v="Segurança Industrial"/>
    <n v="2078.13"/>
    <s v="Valor Fire prevent serv  ref  Docto Nr  38514"/>
    <x v="10"/>
    <s v="660591435"/>
    <s v="4009012904"/>
    <s v="GLRPT"/>
    <s v="1"/>
    <d v="2022-12-20T00:00:00"/>
    <s v="5108556860"/>
  </r>
  <r>
    <x v="1"/>
    <d v="2023-06-21T00:00:00"/>
    <x v="5"/>
    <s v="6715000"/>
    <s v="Fire prevent serv."/>
    <s v="MW09C21028"/>
    <s v="Segurança Industrial"/>
    <n v="1995.15"/>
    <s v="Valor Fire prevent serv  ref  Docto Nr  39603"/>
    <x v="10"/>
    <s v="660681410"/>
    <s v="4009023862"/>
    <s v="GEMKD"/>
    <s v="1"/>
    <d v="2023-06-13T00:00:00"/>
    <s v="5108598584"/>
  </r>
  <r>
    <x v="1"/>
    <d v="2023-06-07T00:00:00"/>
    <x v="5"/>
    <s v="6715000"/>
    <s v="Fire prevent serv."/>
    <s v="MW09C21028"/>
    <s v="Segurança Industrial"/>
    <n v="1270.32"/>
    <s v="Valor Fire prevent serv  ref  Docto Nr  38511"/>
    <x v="10"/>
    <s v="660591438"/>
    <s v="4009012903"/>
    <s v="GLRPT"/>
    <s v="3"/>
    <d v="2022-12-20T00:00:00"/>
    <s v="5108556859"/>
  </r>
  <r>
    <x v="1"/>
    <d v="2023-06-21T00:00:00"/>
    <x v="5"/>
    <s v="6715000"/>
    <s v="Fire prevent serv."/>
    <s v="MW09C21028"/>
    <s v="Segurança Industrial"/>
    <n v="916.8"/>
    <s v="Valor Fire prevent serv  ref  Docto Nr  39605"/>
    <x v="10"/>
    <s v="660681417"/>
    <s v="4009023863"/>
    <s v="GEMKD"/>
    <s v="5"/>
    <d v="2023-06-13T00:00:00"/>
    <s v="5108598585"/>
  </r>
  <r>
    <x v="1"/>
    <d v="2023-06-26T00:00:00"/>
    <x v="5"/>
    <s v="6715000"/>
    <s v="Fire prevent serv."/>
    <s v="MW09C21028"/>
    <s v="Segurança Industrial"/>
    <n v="916.8"/>
    <s v="Valor Fire prevent serv  ref  Docto Nr  39645"/>
    <x v="10"/>
    <s v="660683491"/>
    <s v="4009027008"/>
    <s v="GEMKD"/>
    <s v="5"/>
    <d v="2023-06-19T00:00:00"/>
    <s v="5108609483"/>
  </r>
  <r>
    <x v="1"/>
    <d v="2023-06-21T00:00:00"/>
    <x v="5"/>
    <s v="6715000"/>
    <s v="Fire prevent serv."/>
    <s v="MW09C21028"/>
    <s v="Segurança Industrial"/>
    <n v="492.3"/>
    <s v="Valor Fire prevent serv  ref  Docto Nr  39605"/>
    <x v="10"/>
    <s v="660681417"/>
    <s v="4009023863"/>
    <s v="GEMKD"/>
    <s v="1"/>
    <d v="2023-06-13T00:00:00"/>
    <s v="5108598585"/>
  </r>
  <r>
    <x v="1"/>
    <d v="2023-06-26T00:00:00"/>
    <x v="5"/>
    <s v="6715000"/>
    <s v="Fire prevent serv."/>
    <s v="MW09C21028"/>
    <s v="Segurança Industrial"/>
    <n v="492.3"/>
    <s v="Valor Fire prevent serv  ref  Docto Nr  39645"/>
    <x v="10"/>
    <s v="660683491"/>
    <s v="4009027008"/>
    <s v="GEMKD"/>
    <s v="1"/>
    <d v="2023-06-19T00:00:00"/>
    <s v="5108609483"/>
  </r>
  <r>
    <x v="1"/>
    <d v="2023-06-21T00:00:00"/>
    <x v="5"/>
    <s v="6715000"/>
    <s v="Fire prevent serv."/>
    <s v="MW09C21028"/>
    <s v="Segurança Industrial"/>
    <n v="458.38"/>
    <s v="Valor Fire prevent serv  ref  Docto Nr  39605"/>
    <x v="10"/>
    <s v="660681417"/>
    <s v="4009023863"/>
    <s v="GEMKD"/>
    <s v="6"/>
    <d v="2023-06-13T00:00:00"/>
    <s v="5108598585"/>
  </r>
  <r>
    <x v="1"/>
    <d v="2023-06-26T00:00:00"/>
    <x v="5"/>
    <s v="6715000"/>
    <s v="Fire prevent serv."/>
    <s v="MW09C21028"/>
    <s v="Segurança Industrial"/>
    <n v="314.05"/>
    <s v="Valor Fire prevent serv  ref  Docto Nr  39645"/>
    <x v="10"/>
    <s v="660683491"/>
    <s v="4009027008"/>
    <s v="GEMKD"/>
    <s v="3"/>
    <d v="2023-06-19T00:00:00"/>
    <s v="5108609483"/>
  </r>
  <r>
    <x v="1"/>
    <d v="2023-06-07T00:00:00"/>
    <x v="5"/>
    <s v="6715000"/>
    <s v="Fire prevent serv."/>
    <s v="MW09C21028"/>
    <s v="Segurança Industrial"/>
    <n v="156.80000000000001"/>
    <s v="Valor Fire prevent serv  ref  Docto Nr  38514"/>
    <x v="10"/>
    <s v="660591435"/>
    <s v="4009012904"/>
    <s v="GLRPT"/>
    <s v="2"/>
    <d v="2022-12-20T00:00:00"/>
    <s v="5108556860"/>
  </r>
  <r>
    <x v="1"/>
    <d v="2023-06-07T00:00:00"/>
    <x v="5"/>
    <s v="6715000"/>
    <s v="Fire prevent serv."/>
    <s v="MW09C21028"/>
    <s v="Segurança Industrial"/>
    <n v="125.44"/>
    <s v="Valor Fire prevent serv  ref  Docto Nr  38513"/>
    <x v="10"/>
    <s v="660591447"/>
    <s v="4009012907"/>
    <s v="GLRPT"/>
    <s v="2"/>
    <d v="2022-12-20T00:00:00"/>
    <s v="5108556862"/>
  </r>
  <r>
    <x v="1"/>
    <d v="2023-06-26T00:00:00"/>
    <x v="5"/>
    <s v="6715000"/>
    <s v="Fire prevent serv."/>
    <s v="MW09C21028"/>
    <s v="Segurança Industrial"/>
    <n v="59.41"/>
    <s v="Valor Fire prevent serv  ref  Docto Nr  39645"/>
    <x v="10"/>
    <s v="660683491"/>
    <s v="4009027008"/>
    <s v="GEMKD"/>
    <s v="2"/>
    <d v="2023-06-19T00:00:00"/>
    <s v="5108609483"/>
  </r>
  <r>
    <x v="1"/>
    <d v="2023-06-21T00:00:00"/>
    <x v="5"/>
    <s v="6715000"/>
    <s v="Fire prevent serv."/>
    <s v="MW09C21028"/>
    <s v="Segurança Industrial"/>
    <n v="54.33"/>
    <s v="Valor Fire prevent serv  ref  Docto Nr  39605"/>
    <x v="10"/>
    <s v="660681417"/>
    <s v="4009023863"/>
    <s v="GEMKD"/>
    <s v="3"/>
    <d v="2023-06-13T00:00:00"/>
    <s v="5108598585"/>
  </r>
  <r>
    <x v="1"/>
    <d v="2023-07-18T00:00:00"/>
    <x v="6"/>
    <s v="6715000"/>
    <s v="Fire prevent serv."/>
    <s v="MW09C21028"/>
    <s v="Segurança Industrial"/>
    <n v="11035"/>
    <s v="Valor Fire prevent serv  ref  Docto Nr  39769"/>
    <x v="10"/>
    <s v="660693371"/>
    <s v="4009048011"/>
    <s v="GEMKD"/>
    <s v="1"/>
    <d v="2023-07-10T00:00:00"/>
    <s v="5108677590"/>
  </r>
  <r>
    <x v="1"/>
    <d v="2023-07-21T00:00:00"/>
    <x v="6"/>
    <s v="6715000"/>
    <s v="Fire prevent serv."/>
    <s v="MW09C21028"/>
    <s v="Segurança Industrial"/>
    <n v="2826.45"/>
    <s v="Valor Fire prevent serv  ref  Docto Nr  39841"/>
    <x v="10"/>
    <s v="660696476"/>
    <s v="4009051028"/>
    <s v="GLRPT"/>
    <s v="2"/>
    <d v="2023-07-18T00:00:00"/>
    <s v="5108687436"/>
  </r>
  <r>
    <x v="1"/>
    <d v="2023-07-21T00:00:00"/>
    <x v="6"/>
    <s v="6715000"/>
    <s v="Fire prevent serv."/>
    <s v="MW09C21028"/>
    <s v="Segurança Industrial"/>
    <n v="2547"/>
    <s v="Valor Fire prevent serv  ref  Docto Nr  39742"/>
    <x v="10"/>
    <s v="660696387"/>
    <s v="4009051031"/>
    <s v="GLRPT"/>
    <s v="1"/>
    <d v="2023-07-18T00:00:00"/>
    <s v="5108687458"/>
  </r>
  <r>
    <x v="1"/>
    <d v="2023-07-21T00:00:00"/>
    <x v="6"/>
    <s v="6715000"/>
    <s v="Fire prevent serv."/>
    <s v="MW09C21028"/>
    <s v="Segurança Industrial"/>
    <n v="1018.6"/>
    <s v="Valor Fire prevent serv  ref  Docto Nr  39841"/>
    <x v="10"/>
    <s v="660696476"/>
    <s v="4009051028"/>
    <s v="GLRPT"/>
    <s v="3"/>
    <d v="2023-07-18T00:00:00"/>
    <s v="5108687436"/>
  </r>
  <r>
    <x v="1"/>
    <d v="2023-07-21T00:00:00"/>
    <x v="6"/>
    <s v="6715000"/>
    <s v="Fire prevent serv."/>
    <s v="MW09C21028"/>
    <s v="Segurança Industrial"/>
    <n v="916.8"/>
    <s v="Valor Fire prevent serv  ref  Docto Nr  39841"/>
    <x v="10"/>
    <s v="660696476"/>
    <s v="4009051028"/>
    <s v="GLRPT"/>
    <s v="4"/>
    <d v="2023-07-18T00:00:00"/>
    <s v="5108687436"/>
  </r>
  <r>
    <x v="1"/>
    <d v="2023-07-21T00:00:00"/>
    <x v="6"/>
    <s v="6715000"/>
    <s v="Fire prevent serv."/>
    <s v="MW09C21028"/>
    <s v="Segurança Industrial"/>
    <n v="492.3"/>
    <s v="Valor Fire prevent serv  ref  Docto Nr  39841"/>
    <x v="10"/>
    <s v="660696476"/>
    <s v="4009051028"/>
    <s v="GLRPT"/>
    <s v="1"/>
    <d v="2023-07-18T00:00:00"/>
    <s v="5108687436"/>
  </r>
  <r>
    <x v="1"/>
    <d v="2023-07-21T00:00:00"/>
    <x v="6"/>
    <s v="6715000"/>
    <s v="Fire prevent serv."/>
    <s v="MW09C21028"/>
    <s v="Segurança Industrial"/>
    <n v="458.38"/>
    <s v="Valor Fire prevent serv  ref  Docto Nr  39841"/>
    <x v="10"/>
    <s v="660696476"/>
    <s v="4009051028"/>
    <s v="GLRPT"/>
    <s v="5"/>
    <d v="2023-07-18T00:00:00"/>
    <s v="5108687436"/>
  </r>
  <r>
    <x v="1"/>
    <d v="2023-07-26T00:00:00"/>
    <x v="6"/>
    <s v="6715000"/>
    <s v="Fire prevent serv."/>
    <s v="MW09C21028"/>
    <s v="Segurança Industrial"/>
    <n v="2547"/>
    <s v="Valor Fire prevent serv  ref  Docto Nr  39842"/>
    <x v="10"/>
    <s v="660696387"/>
    <s v="4009056838"/>
    <s v="GLRPT"/>
    <s v="1"/>
    <d v="2023-07-18T00:00:00"/>
    <s v="5108700093"/>
  </r>
  <r>
    <x v="1"/>
    <d v="2023-07-26T00:00:00"/>
    <x v="6"/>
    <s v="6715000"/>
    <s v="Fire prevent serv."/>
    <s v="MW09C21028"/>
    <s v="Segurança Industrial"/>
    <n v="-2547"/>
    <s v="Teste Hidrostático em mangueira de 2½&quot;"/>
    <x v="10"/>
    <s v="660696387"/>
    <s v="4009056837"/>
    <s v="GLRPT"/>
    <s v="1"/>
    <d v="2023-07-18T00:00:00"/>
    <s v="5108700089"/>
  </r>
  <r>
    <x v="1"/>
    <d v="2023-08-16T00:00:00"/>
    <x v="7"/>
    <s v="6715000"/>
    <s v="Fire prevent serv."/>
    <s v="MW09C21028"/>
    <s v="Segurança Industrial"/>
    <n v="11035"/>
    <s v="Valor Fire prevent serv  ref  Docto Nr  40000"/>
    <x v="10"/>
    <s v="660705114"/>
    <s v="4009081610"/>
    <s v="GEMKD"/>
    <s v="1"/>
    <d v="2023-08-04T00:00:00"/>
    <s v="5108757110"/>
  </r>
  <r>
    <x v="1"/>
    <d v="2023-08-18T00:00:00"/>
    <x v="7"/>
    <s v="6701000"/>
    <s v="Training"/>
    <s v="MW09C21028"/>
    <s v="Segurança Industrial"/>
    <n v="1620.8"/>
    <s v="Valor Training ref  Docto Nr  40064"/>
    <x v="10"/>
    <s v=""/>
    <s v="4009084228"/>
    <s v="GEMKD"/>
    <s v="1"/>
    <d v="2023-08-11T00:00:00"/>
    <s v="4640006855"/>
  </r>
  <r>
    <x v="1"/>
    <d v="2023-09-12T00:00:00"/>
    <x v="8"/>
    <s v="6715000"/>
    <s v="Fire prevent serv."/>
    <s v="MW09C21028"/>
    <s v="Segurança Industrial"/>
    <n v="11035"/>
    <s v="Valor Fire prevent serv  ref  Docto Nr  40224"/>
    <x v="10"/>
    <s v="660718060"/>
    <s v="4009114330"/>
    <s v="GEMKD"/>
    <s v="1"/>
    <d v="2023-09-05T00:00:00"/>
    <s v="5108839794"/>
  </r>
  <r>
    <x v="1"/>
    <d v="2023-09-12T00:00:00"/>
    <x v="8"/>
    <s v="6715000"/>
    <s v="Fire prevent serv."/>
    <s v="MW09C21028"/>
    <s v="Segurança Industrial"/>
    <n v="5907.88"/>
    <s v="Valor Fire prevent serv  ref  Docto Nr  40225"/>
    <x v="10"/>
    <s v="660718065"/>
    <s v="4009114329"/>
    <s v="GEMKD"/>
    <s v="3"/>
    <d v="2023-09-05T00:00:00"/>
    <s v="5108839793"/>
  </r>
  <r>
    <x v="1"/>
    <d v="2023-09-12T00:00:00"/>
    <x v="8"/>
    <s v="6715000"/>
    <s v="Fire prevent serv."/>
    <s v="MW09C21028"/>
    <s v="Segurança Industrial"/>
    <n v="3077.69"/>
    <s v="Valor Fire prevent serv  ref  Docto Nr  40225"/>
    <x v="10"/>
    <s v="660718065"/>
    <s v="4009114329"/>
    <s v="GEMKD"/>
    <s v="4"/>
    <d v="2023-09-05T00:00:00"/>
    <s v="5108839793"/>
  </r>
  <r>
    <x v="1"/>
    <d v="2023-09-12T00:00:00"/>
    <x v="8"/>
    <s v="6715000"/>
    <s v="Fire prevent serv."/>
    <s v="MW09C21028"/>
    <s v="Segurança Industrial"/>
    <n v="916.8"/>
    <s v="Valor Fire prevent serv  ref  Docto Nr  40225"/>
    <x v="10"/>
    <s v="660718065"/>
    <s v="4009114329"/>
    <s v="GEMKD"/>
    <s v="2"/>
    <d v="2023-09-05T00:00:00"/>
    <s v="5108839793"/>
  </r>
  <r>
    <x v="1"/>
    <d v="2023-09-12T00:00:00"/>
    <x v="8"/>
    <s v="6715000"/>
    <s v="Fire prevent serv."/>
    <s v="MW09C21028"/>
    <s v="Segurança Industrial"/>
    <n v="492.3"/>
    <s v="Valor Fire prevent serv  ref  Docto Nr  40225"/>
    <x v="10"/>
    <s v="660718065"/>
    <s v="4009114329"/>
    <s v="GEMKD"/>
    <s v="1"/>
    <d v="2023-09-05T00:00:00"/>
    <s v="5108839793"/>
  </r>
  <r>
    <x v="1"/>
    <d v="2023-09-12T00:00:00"/>
    <x v="8"/>
    <s v="6715000"/>
    <s v="Fire prevent serv."/>
    <s v="MW09C21028"/>
    <s v="Segurança Industrial"/>
    <n v="458.38"/>
    <s v="Valor Fire prevent serv  ref  Docto Nr  40225"/>
    <x v="10"/>
    <s v="660718065"/>
    <s v="4009114329"/>
    <s v="GEMKD"/>
    <s v="5"/>
    <d v="2023-09-05T00:00:00"/>
    <s v="5108839793"/>
  </r>
  <r>
    <x v="1"/>
    <d v="2023-10-10T00:00:00"/>
    <x v="9"/>
    <s v="6715000"/>
    <s v="Fire prevent serv."/>
    <s v="MW09C21028"/>
    <s v="Segurança Industrial"/>
    <n v="11035"/>
    <s v="Valor Fire prevent serv  ref  Docto Nr  40535"/>
    <x v="10"/>
    <s v="660732942"/>
    <s v="4009147415"/>
    <s v="GEMKD"/>
    <s v="1"/>
    <d v="2023-10-05T00:00:00"/>
    <s v="5108941789"/>
  </r>
  <r>
    <x v="1"/>
    <d v="2023-10-10T00:00:00"/>
    <x v="9"/>
    <s v="6715000"/>
    <s v="Fire prevent serv."/>
    <s v="MW09C21028"/>
    <s v="Segurança Industrial"/>
    <n v="4583.7"/>
    <s v="Valor Fire prevent serv  ref  Docto Nr  40538"/>
    <x v="10"/>
    <s v="660732938"/>
    <s v="4009147413"/>
    <s v="GEMKD"/>
    <s v="3"/>
    <d v="2023-10-06T00:00:00"/>
    <s v="5108941756"/>
  </r>
  <r>
    <x v="1"/>
    <d v="2023-10-10T00:00:00"/>
    <x v="9"/>
    <s v="6715000"/>
    <s v="Fire prevent serv."/>
    <s v="MW09C21028"/>
    <s v="Segurança Industrial"/>
    <n v="3328.93"/>
    <s v="Valor Fire prevent serv  ref  Docto Nr  40537"/>
    <x v="10"/>
    <s v="660732939"/>
    <s v="4009147416"/>
    <s v="GEMKD"/>
    <s v="2"/>
    <d v="2023-10-05T00:00:00"/>
    <s v="5108941790"/>
  </r>
  <r>
    <x v="1"/>
    <d v="2023-10-10T00:00:00"/>
    <x v="9"/>
    <s v="6715000"/>
    <s v="Fire prevent serv."/>
    <s v="MW09C21028"/>
    <s v="Segurança Industrial"/>
    <n v="3203.31"/>
    <s v="Valor Fire prevent serv  ref  Docto Nr  40538"/>
    <x v="10"/>
    <s v="660732938"/>
    <s v="4009147413"/>
    <s v="GEMKD"/>
    <s v="2"/>
    <d v="2023-10-06T00:00:00"/>
    <s v="5108941756"/>
  </r>
  <r>
    <x v="1"/>
    <d v="2023-10-10T00:00:00"/>
    <x v="9"/>
    <s v="6715000"/>
    <s v="Fire prevent serv."/>
    <s v="MW09C21028"/>
    <s v="Segurança Industrial"/>
    <n v="2826.45"/>
    <s v="Valor Fire prevent serv  ref  Docto Nr  40536"/>
    <x v="10"/>
    <s v="660732940"/>
    <s v="4009147414"/>
    <s v="GEMKD"/>
    <s v="2"/>
    <d v="2023-10-05T00:00:00"/>
    <s v="5108941787"/>
  </r>
  <r>
    <x v="1"/>
    <d v="2023-10-10T00:00:00"/>
    <x v="9"/>
    <s v="6715000"/>
    <s v="Fire prevent serv."/>
    <s v="MW09C21028"/>
    <s v="Segurança Industrial"/>
    <n v="2546.5"/>
    <s v="Valor Fire prevent serv  ref  Docto Nr  40537"/>
    <x v="10"/>
    <s v="660732939"/>
    <s v="4009147416"/>
    <s v="GEMKD"/>
    <s v="3"/>
    <d v="2023-10-05T00:00:00"/>
    <s v="5108941790"/>
  </r>
  <r>
    <x v="1"/>
    <d v="2023-10-10T00:00:00"/>
    <x v="9"/>
    <s v="6715000"/>
    <s v="Fire prevent serv."/>
    <s v="MW09C21028"/>
    <s v="Segurança Industrial"/>
    <n v="1018.6"/>
    <s v="Valor Fire prevent serv  ref  Docto Nr  40536"/>
    <x v="10"/>
    <s v="660732940"/>
    <s v="4009147414"/>
    <s v="GEMKD"/>
    <s v="3"/>
    <d v="2023-10-05T00:00:00"/>
    <s v="5108941787"/>
  </r>
  <r>
    <x v="1"/>
    <d v="2023-10-10T00:00:00"/>
    <x v="9"/>
    <s v="6715000"/>
    <s v="Fire prevent serv."/>
    <s v="MW09C21028"/>
    <s v="Segurança Industrial"/>
    <n v="916.8"/>
    <s v="Valor Fire prevent serv  ref  Docto Nr  40536"/>
    <x v="10"/>
    <s v="660732940"/>
    <s v="4009147414"/>
    <s v="GEMKD"/>
    <s v="4"/>
    <d v="2023-10-05T00:00:00"/>
    <s v="5108941787"/>
  </r>
  <r>
    <x v="1"/>
    <d v="2023-10-10T00:00:00"/>
    <x v="9"/>
    <s v="6715000"/>
    <s v="Fire prevent serv."/>
    <s v="MW09C21028"/>
    <s v="Segurança Industrial"/>
    <n v="492.3"/>
    <s v="Valor Fire prevent serv  ref  Docto Nr  40538"/>
    <x v="10"/>
    <s v="660732938"/>
    <s v="4009147413"/>
    <s v="GEMKD"/>
    <s v="1"/>
    <d v="2023-10-06T00:00:00"/>
    <s v="5108941756"/>
  </r>
  <r>
    <x v="1"/>
    <d v="2023-10-10T00:00:00"/>
    <x v="9"/>
    <s v="6715000"/>
    <s v="Fire prevent serv."/>
    <s v="MW09C21028"/>
    <s v="Segurança Industrial"/>
    <n v="492.3"/>
    <s v="Valor Fire prevent serv  ref  Docto Nr  40536"/>
    <x v="10"/>
    <s v="660732940"/>
    <s v="4009147414"/>
    <s v="GEMKD"/>
    <s v="1"/>
    <d v="2023-10-05T00:00:00"/>
    <s v="5108941787"/>
  </r>
  <r>
    <x v="1"/>
    <d v="2023-10-10T00:00:00"/>
    <x v="9"/>
    <s v="6715000"/>
    <s v="Fire prevent serv."/>
    <s v="MW09C21028"/>
    <s v="Segurança Industrial"/>
    <n v="492.3"/>
    <s v="Valor Fire prevent serv  ref  Docto Nr  40537"/>
    <x v="10"/>
    <s v="660732939"/>
    <s v="4009147416"/>
    <s v="GEMKD"/>
    <s v="1"/>
    <d v="2023-10-05T00:00:00"/>
    <s v="5108941790"/>
  </r>
  <r>
    <x v="1"/>
    <d v="2023-10-10T00:00:00"/>
    <x v="9"/>
    <s v="6715000"/>
    <s v="Fire prevent serv."/>
    <s v="MW09C21028"/>
    <s v="Segurança Industrial"/>
    <n v="458.38"/>
    <s v="Valor Fire prevent serv  ref  Docto Nr  40538"/>
    <x v="10"/>
    <s v="660732938"/>
    <s v="4009147413"/>
    <s v="GEMKD"/>
    <s v="4"/>
    <d v="2023-10-06T00:00:00"/>
    <s v="5108941756"/>
  </r>
  <r>
    <x v="1"/>
    <d v="2023-10-10T00:00:00"/>
    <x v="9"/>
    <s v="6715000"/>
    <s v="Fire prevent serv."/>
    <s v="MW09C21028"/>
    <s v="Segurança Industrial"/>
    <n v="458.38"/>
    <s v="Valor Fire prevent serv  ref  Docto Nr  40536"/>
    <x v="10"/>
    <s v="660732940"/>
    <s v="4009147414"/>
    <s v="GEMKD"/>
    <s v="5"/>
    <d v="2023-10-05T00:00:00"/>
    <s v="5108941787"/>
  </r>
  <r>
    <x v="1"/>
    <d v="2023-10-10T00:00:00"/>
    <x v="9"/>
    <s v="6715000"/>
    <s v="Fire prevent serv."/>
    <s v="MW09C21028"/>
    <s v="Segurança Industrial"/>
    <n v="458.38"/>
    <s v="Valor Fire prevent serv  ref  Docto Nr  40537"/>
    <x v="10"/>
    <s v="660732939"/>
    <s v="4009147416"/>
    <s v="GEMKD"/>
    <s v="4"/>
    <d v="2023-10-05T00:00:00"/>
    <s v="5108941790"/>
  </r>
  <r>
    <x v="1"/>
    <d v="2023-10-18T00:00:00"/>
    <x v="9"/>
    <s v="6715000"/>
    <s v="Fire prevent serv."/>
    <s v="MW09C21028"/>
    <s v="Segurança Industrial"/>
    <n v="6756.8"/>
    <s v="Valor do documento Nr  28534 1"/>
    <x v="10"/>
    <s v="660718062"/>
    <s v="4009157451"/>
    <s v="GNEPP"/>
    <s v="2"/>
    <d v="2023-10-11T00:00:00"/>
    <s v="5108971824"/>
  </r>
  <r>
    <x v="1"/>
    <d v="2023-10-18T00:00:00"/>
    <x v="9"/>
    <s v="6715000"/>
    <s v="Fire prevent serv."/>
    <s v="MW09C21028"/>
    <s v="Segurança Industrial"/>
    <n v="407.4"/>
    <s v="Valor do documento Nr  28534 1"/>
    <x v="10"/>
    <s v="660718062"/>
    <s v="4009157451"/>
    <s v="GNEPP"/>
    <s v="1"/>
    <d v="2023-10-11T00:00:00"/>
    <s v="5108971824"/>
  </r>
  <r>
    <x v="1"/>
    <d v="2023-11-13T00:00:00"/>
    <x v="10"/>
    <s v="6715000"/>
    <s v="Fire prevent serv."/>
    <s v="MW09C21028"/>
    <s v="Segurança Industrial"/>
    <n v="11035"/>
    <s v="Valor Fire prevent serv  ref  Docto Nr  40801"/>
    <x v="10"/>
    <s v="660745190"/>
    <s v="4009189021"/>
    <s v="GEMKD"/>
    <s v="1"/>
    <d v="2023-11-06T00:00:00"/>
    <s v="5109067890"/>
  </r>
  <r>
    <x v="1"/>
    <d v="2023-11-16T00:00:00"/>
    <x v="10"/>
    <s v="6715000"/>
    <s v="Fire prevent serv."/>
    <s v="MW09C21028"/>
    <s v="Segurança Industrial"/>
    <n v="3140.5"/>
    <s v="Valor Fire prevent serv  ref  Docto Nr  40880"/>
    <x v="10"/>
    <s v="660748551"/>
    <s v="4009193100"/>
    <s v="GNEDA"/>
    <s v="1"/>
    <d v="2023-11-09T00:00:00"/>
    <s v="5109081744"/>
  </r>
  <r>
    <x v="1"/>
    <d v="2023-11-16T00:00:00"/>
    <x v="10"/>
    <s v="6715000"/>
    <s v="Fire prevent serv."/>
    <s v="MW09C21028"/>
    <s v="Segurança Industrial"/>
    <n v="2037.2"/>
    <s v="Valor Fire prevent serv  ref  Docto Nr  40880"/>
    <x v="10"/>
    <s v="660748551"/>
    <s v="4009193100"/>
    <s v="GNEDA"/>
    <s v="2"/>
    <d v="2023-11-09T00:00:00"/>
    <s v="5109081744"/>
  </r>
  <r>
    <x v="1"/>
    <d v="2023-11-17T00:00:00"/>
    <x v="10"/>
    <s v="6715000"/>
    <s v="Fire prevent serv."/>
    <s v="MW09C21028"/>
    <s v="Segurança Industrial"/>
    <n v="8702.25"/>
    <s v="Valor Fire prevent serv  ref  Docto Nr  40879"/>
    <x v="10"/>
    <s v="660748548"/>
    <s v="4009194872"/>
    <s v="GEMKD"/>
    <s v="1"/>
    <d v="2023-11-09T00:00:00"/>
    <s v="5109086970"/>
  </r>
  <r>
    <x v="1"/>
    <d v="2023-12-11T00:00:00"/>
    <x v="11"/>
    <s v="6715000"/>
    <s v="Fire prevent serv."/>
    <s v="MW09C21028"/>
    <s v="Segurança Industrial"/>
    <n v="11035"/>
    <s v="Valor Fire prevent serv  ref  Docto Nr  41075"/>
    <x v="10"/>
    <s v="660759603"/>
    <s v="4009228790"/>
    <s v="GEMKD"/>
    <s v="1"/>
    <d v="2023-12-04T00:00:00"/>
    <s v="5109174328"/>
  </r>
  <r>
    <x v="2"/>
    <d v="2024-01-12T00:00:00"/>
    <x v="0"/>
    <s v="6715000"/>
    <s v="Fire prevent serv."/>
    <s v="MW09C21028"/>
    <s v="Segurança Industrial"/>
    <n v="11035"/>
    <s v="Valor Fire prevent serv  ref  Docto Nr  41446"/>
    <x v="10"/>
    <s v="660774007"/>
    <s v="4009249680"/>
    <s v="GEMKD"/>
    <s v="1"/>
    <d v="2024-01-10T00:00:00"/>
    <s v="5109287611"/>
  </r>
  <r>
    <x v="2"/>
    <d v="2024-01-03T00:00:00"/>
    <x v="0"/>
    <s v="6715000"/>
    <s v="Fire prevent serv."/>
    <s v="MW09C21028"/>
    <s v="Segurança Industrial"/>
    <n v="3203.31"/>
    <s v="Valor Fire prevent serv  ref  Docto Nr  41353"/>
    <x v="10"/>
    <s v="660767779"/>
    <s v="4009242507"/>
    <s v="GEMKD"/>
    <s v="2"/>
    <d v="2023-12-19T00:00:00"/>
    <s v="5109245793"/>
  </r>
  <r>
    <x v="2"/>
    <d v="2024-01-03T00:00:00"/>
    <x v="0"/>
    <s v="6715000"/>
    <s v="Fire prevent serv."/>
    <s v="MW09C21028"/>
    <s v="Segurança Industrial"/>
    <n v="2037.2"/>
    <s v="Valor Fire prevent serv  ref  Docto Nr  41353"/>
    <x v="10"/>
    <s v="660767779"/>
    <s v="4009242507"/>
    <s v="GEMKD"/>
    <s v="4"/>
    <d v="2023-12-19T00:00:00"/>
    <s v="5109245793"/>
  </r>
  <r>
    <x v="2"/>
    <d v="2024-01-03T00:00:00"/>
    <x v="0"/>
    <s v="6715000"/>
    <s v="Fire prevent serv."/>
    <s v="MW09C21028"/>
    <s v="Segurança Industrial"/>
    <n v="594.29999999999995"/>
    <s v="Valor Fire prevent serv  ref  Docto Nr  41328"/>
    <x v="10"/>
    <s v="660767107"/>
    <s v="4009242508"/>
    <s v="GEMKD"/>
    <s v="1"/>
    <d v="2023-12-18T00:00:00"/>
    <s v="5109245794"/>
  </r>
  <r>
    <x v="2"/>
    <d v="2024-01-03T00:00:00"/>
    <x v="0"/>
    <s v="6715000"/>
    <s v="Fire prevent serv."/>
    <s v="MW09C21028"/>
    <s v="Segurança Industrial"/>
    <n v="537"/>
    <s v="Valor Fire prevent serv  ref  Docto Nr  41353"/>
    <x v="10"/>
    <s v="660767779"/>
    <s v="4009242507"/>
    <s v="GEMKD"/>
    <s v="6"/>
    <d v="2023-12-19T00:00:00"/>
    <s v="5109245793"/>
  </r>
  <r>
    <x v="2"/>
    <d v="2024-01-03T00:00:00"/>
    <x v="0"/>
    <s v="6715000"/>
    <s v="Fire prevent serv."/>
    <s v="MW09C21028"/>
    <s v="Segurança Industrial"/>
    <n v="458.38"/>
    <s v="Valor Fire prevent serv  ref  Docto Nr  41353"/>
    <x v="10"/>
    <s v="660767779"/>
    <s v="4009242507"/>
    <s v="GEMKD"/>
    <s v="5"/>
    <d v="2023-12-19T00:00:00"/>
    <s v="5109245793"/>
  </r>
  <r>
    <x v="2"/>
    <d v="2024-01-03T00:00:00"/>
    <x v="0"/>
    <s v="6715000"/>
    <s v="Fire prevent serv."/>
    <s v="MW09C21028"/>
    <s v="Segurança Industrial"/>
    <n v="305.60000000000002"/>
    <s v="Valor Fire prevent serv  ref  Docto Nr  41353"/>
    <x v="10"/>
    <s v="660767779"/>
    <s v="4009242507"/>
    <s v="GEMKD"/>
    <s v="3"/>
    <d v="2023-12-19T00:00:00"/>
    <s v="5109245793"/>
  </r>
  <r>
    <x v="2"/>
    <d v="2024-01-03T00:00:00"/>
    <x v="0"/>
    <s v="6715000"/>
    <s v="Fire prevent serv."/>
    <s v="MW09C21028"/>
    <s v="Segurança Industrial"/>
    <n v="147.69"/>
    <s v="Valor Fire prevent serv  ref  Docto Nr  41353"/>
    <x v="10"/>
    <s v="660767779"/>
    <s v="4009242507"/>
    <s v="GEMKD"/>
    <s v="1"/>
    <d v="2023-12-19T00:00:00"/>
    <s v="5109245793"/>
  </r>
  <r>
    <x v="2"/>
    <d v="2024-02-05T00:00:00"/>
    <x v="1"/>
    <s v="6715000"/>
    <s v="Fire prevent serv."/>
    <s v="MW09C21028"/>
    <s v="Segurança Industrial"/>
    <n v="11035"/>
    <s v="Valor Fire prevent serv  ref  Docto Nr  41602"/>
    <x v="10"/>
    <s v="660785827"/>
    <s v="4009269972"/>
    <s v="GEMKD"/>
    <s v="1"/>
    <d v="2024-02-01T00:00:00"/>
    <s v="5109380331"/>
  </r>
  <r>
    <x v="2"/>
    <d v="2024-03-05T00:00:00"/>
    <x v="2"/>
    <s v="6715000"/>
    <s v="Fire prevent serv."/>
    <s v="MW09C21028"/>
    <s v="Segurança Industrial"/>
    <n v="11035"/>
    <s v="Valor Fire prevent serv  ref  Docto Nr  41868"/>
    <x v="10"/>
    <s v="660800586"/>
    <s v="4009293303"/>
    <s v="EFXNJ"/>
    <s v="1"/>
    <d v="2024-03-04T00:00:00"/>
    <s v="5109507214"/>
  </r>
  <r>
    <x v="2"/>
    <d v="2024-03-21T00:00:00"/>
    <x v="2"/>
    <s v="6715000"/>
    <s v="Fire prevent serv."/>
    <s v="MW09C21028"/>
    <s v="Segurança Industrial"/>
    <n v="4500"/>
    <s v="Valor Fire prevent serv  ref  Docto Nr  42015"/>
    <x v="10"/>
    <s v="660807708"/>
    <s v="4009306487"/>
    <s v="EFXNJ"/>
    <s v="1"/>
    <d v="2024-03-18T00:00:00"/>
    <s v="5109573195"/>
  </r>
  <r>
    <x v="2"/>
    <d v="2024-03-21T00:00:00"/>
    <x v="2"/>
    <s v="6715000"/>
    <s v="Fire prevent serv."/>
    <s v="MW09C21028"/>
    <s v="Segurança Industrial"/>
    <n v="3600"/>
    <s v="Valor Fire prevent serv  ref  Docto Nr  42015"/>
    <x v="10"/>
    <s v="660807708"/>
    <s v="4009306487"/>
    <s v="EFXNJ"/>
    <s v="2"/>
    <d v="2024-03-18T00:00:00"/>
    <s v="5109573195"/>
  </r>
  <r>
    <x v="2"/>
    <d v="2024-03-11T00:00:00"/>
    <x v="2"/>
    <s v="6715000"/>
    <s v="Fire prevent serv."/>
    <s v="MW09C21028"/>
    <s v="Segurança Industrial"/>
    <n v="3055.8"/>
    <s v="Valor Fire prevent serv  ref  Docto Nr  41833"/>
    <x v="10"/>
    <s v="660799246"/>
    <s v="4009297904"/>
    <s v="GNEDA"/>
    <s v="4"/>
    <d v="2024-03-01T00:00:00"/>
    <s v="5109529036"/>
  </r>
  <r>
    <x v="2"/>
    <d v="2024-03-11T00:00:00"/>
    <x v="2"/>
    <s v="6715000"/>
    <s v="Fire prevent serv."/>
    <s v="MW09C21028"/>
    <s v="Segurança Industrial"/>
    <n v="2826.45"/>
    <s v="Valor Fire prevent serv  ref  Docto Nr  41833"/>
    <x v="10"/>
    <s v="660799246"/>
    <s v="4009297904"/>
    <s v="GNEDA"/>
    <s v="2"/>
    <d v="2024-03-01T00:00:00"/>
    <s v="5109529036"/>
  </r>
  <r>
    <x v="2"/>
    <d v="2024-03-12T00:00:00"/>
    <x v="2"/>
    <s v="6715000"/>
    <s v="Fire prevent serv."/>
    <s v="MW09C21028"/>
    <s v="Segurança Industrial"/>
    <n v="1979.8"/>
    <s v="Valor do documento Nr  29025 1"/>
    <x v="10"/>
    <s v="660798826"/>
    <s v="4009298696"/>
    <s v="GMGNT"/>
    <s v="1"/>
    <d v="2024-03-01T00:00:00"/>
    <s v="5109531543"/>
  </r>
  <r>
    <x v="2"/>
    <d v="2024-03-12T00:00:00"/>
    <x v="2"/>
    <s v="6715000"/>
    <s v="Fire prevent serv."/>
    <s v="MW09C21028"/>
    <s v="Segurança Industrial"/>
    <n v="1018.8"/>
    <s v="Valor do documento Nr  29025 1"/>
    <x v="10"/>
    <s v="660798826"/>
    <s v="4009298696"/>
    <s v="GMGNT"/>
    <s v="2"/>
    <d v="2024-03-01T00:00:00"/>
    <s v="5109531543"/>
  </r>
  <r>
    <x v="2"/>
    <d v="2024-03-11T00:00:00"/>
    <x v="2"/>
    <s v="6715000"/>
    <s v="Fire prevent serv."/>
    <s v="MW09C21028"/>
    <s v="Segurança Industrial"/>
    <n v="855.68"/>
    <s v="Valor Fire prevent serv  ref  Docto Nr  41833"/>
    <x v="10"/>
    <s v="660799246"/>
    <s v="4009297904"/>
    <s v="GNEDA"/>
    <s v="3"/>
    <d v="2024-03-01T00:00:00"/>
    <s v="5109529036"/>
  </r>
  <r>
    <x v="2"/>
    <d v="2024-03-11T00:00:00"/>
    <x v="2"/>
    <s v="6715000"/>
    <s v="Fire prevent serv."/>
    <s v="MW09C21028"/>
    <s v="Segurança Industrial"/>
    <n v="492.3"/>
    <s v="Valor Fire prevent serv  ref  Docto Nr  41833"/>
    <x v="10"/>
    <s v="660799246"/>
    <s v="4009297904"/>
    <s v="GNEDA"/>
    <s v="1"/>
    <d v="2024-03-01T00:00:00"/>
    <s v="5109529036"/>
  </r>
  <r>
    <x v="2"/>
    <d v="2024-03-11T00:00:00"/>
    <x v="2"/>
    <s v="6715000"/>
    <s v="Fire prevent serv."/>
    <s v="MW09C21028"/>
    <s v="Segurança Industrial"/>
    <n v="59.41"/>
    <s v="Valor Fire prevent serv  ref  Docto Nr  41833"/>
    <x v="10"/>
    <s v="660799246"/>
    <s v="4009297904"/>
    <s v="GNEDA"/>
    <s v="5"/>
    <d v="2024-03-01T00:00:00"/>
    <s v="5109529036"/>
  </r>
  <r>
    <x v="2"/>
    <d v="2024-03-20T00:00:00"/>
    <x v="2"/>
    <s v="6715000"/>
    <s v="Fire prevent serv."/>
    <s v="MW09C21028"/>
    <s v="Segurança Industrial"/>
    <n v="-1018.8"/>
    <s v="Valor do Documento Nr 29025 1"/>
    <x v="10"/>
    <s v="660798826"/>
    <s v="4009305380"/>
    <s v="GMGNT"/>
    <s v="2"/>
    <d v="2024-03-01T00:00:00"/>
    <s v="5109568116"/>
  </r>
  <r>
    <x v="2"/>
    <d v="2024-03-20T00:00:00"/>
    <x v="2"/>
    <s v="6715000"/>
    <s v="Fire prevent serv."/>
    <s v="MW09C21028"/>
    <s v="Segurança Industrial"/>
    <n v="-1979.8"/>
    <s v="Valor do Documento Nr 29025 1"/>
    <x v="10"/>
    <s v="660798826"/>
    <s v="4009305380"/>
    <s v="GMGNT"/>
    <s v="1"/>
    <d v="2024-03-01T00:00:00"/>
    <s v="5109568116"/>
  </r>
  <r>
    <x v="2"/>
    <d v="2024-04-04T00:00:00"/>
    <x v="3"/>
    <s v="6200000"/>
    <s v="Maint &amp; Leg/Co.Compl"/>
    <s v="MW09C21028"/>
    <s v="Segurança Industrial"/>
    <n v="11035"/>
    <s v="Valor Maint &amp; Leg Co Compl ref  Docto Nr  42157"/>
    <x v="10"/>
    <s v="660814324"/>
    <s v="4009318897"/>
    <s v="EFXNJ"/>
    <s v="1"/>
    <d v="2024-04-02T00:00:00"/>
    <s v="5109628529"/>
  </r>
  <r>
    <x v="2"/>
    <d v="2024-04-22T00:00:00"/>
    <x v="3"/>
    <s v="6200000"/>
    <s v="Maint &amp; Leg/Co.Compl"/>
    <s v="MW09C21028"/>
    <s v="Segurança Industrial"/>
    <n v="855.68"/>
    <s v="Valor Maint &amp; Leg Co Compl ref  Docto Nr  42268"/>
    <x v="10"/>
    <s v="660822266"/>
    <s v="4009333450"/>
    <s v="GEMKD"/>
    <s v="1"/>
    <d v="2024-04-16T00:00:00"/>
    <s v="5109685823"/>
  </r>
  <r>
    <x v="2"/>
    <d v="2024-04-22T00:00:00"/>
    <x v="3"/>
    <s v="6200000"/>
    <s v="Maint &amp; Leg/Co.Compl"/>
    <s v="MW09C21028"/>
    <s v="Segurança Industrial"/>
    <n v="393.84"/>
    <s v="Valor Maint &amp; Leg Co Compl ref  Docto Nr  42268"/>
    <x v="10"/>
    <s v="660822266"/>
    <s v="4009333450"/>
    <s v="GEMKD"/>
    <s v="2"/>
    <d v="2024-04-16T00:00:00"/>
    <s v="5109685823"/>
  </r>
  <r>
    <x v="2"/>
    <d v="2024-04-22T00:00:00"/>
    <x v="3"/>
    <s v="6200000"/>
    <s v="Maint &amp; Leg/Co.Compl"/>
    <s v="MW09C21028"/>
    <s v="Segurança Industrial"/>
    <n v="2449.59"/>
    <s v="Valor Maint &amp; Leg Co Compl ref  Docto Nr  42268"/>
    <x v="10"/>
    <s v="660822266"/>
    <s v="4009333450"/>
    <s v="GEMKD"/>
    <s v="3"/>
    <d v="2024-04-16T00:00:00"/>
    <s v="5109685823"/>
  </r>
  <r>
    <x v="2"/>
    <d v="2024-04-22T00:00:00"/>
    <x v="3"/>
    <s v="6200000"/>
    <s v="Maint &amp; Leg/Co.Compl"/>
    <s v="MW09C21028"/>
    <s v="Segurança Industrial"/>
    <n v="2037.2"/>
    <s v="Valor Maint &amp; Leg Co Compl ref  Docto Nr  42268"/>
    <x v="10"/>
    <s v="660822266"/>
    <s v="4009333450"/>
    <s v="GEMKD"/>
    <s v="4"/>
    <d v="2024-04-16T00:00:00"/>
    <s v="5109685823"/>
  </r>
  <r>
    <x v="2"/>
    <d v="2024-04-22T00:00:00"/>
    <x v="3"/>
    <s v="6200000"/>
    <s v="Maint &amp; Leg/Co.Compl"/>
    <s v="MW09C21028"/>
    <s v="Segurança Industrial"/>
    <n v="458.38"/>
    <s v="Valor Maint &amp; Leg Co Compl ref  Docto Nr  42268"/>
    <x v="10"/>
    <s v="660822266"/>
    <s v="4009333450"/>
    <s v="GEMKD"/>
    <s v="5"/>
    <d v="2024-04-16T00:00:00"/>
    <s v="5109685823"/>
  </r>
  <r>
    <x v="2"/>
    <d v="2024-04-22T00:00:00"/>
    <x v="3"/>
    <s v="6200000"/>
    <s v="Maint &amp; Leg/Co.Compl"/>
    <s v="MW09C21028"/>
    <s v="Segurança Industrial"/>
    <n v="179"/>
    <s v="Valor Maint &amp; Leg Co Compl ref  Docto Nr  42268"/>
    <x v="10"/>
    <s v="660822266"/>
    <s v="4009333450"/>
    <s v="GEMKD"/>
    <s v="6"/>
    <d v="2024-04-16T00:00:00"/>
    <s v="5109685823"/>
  </r>
  <r>
    <x v="2"/>
    <d v="2024-04-22T00:00:00"/>
    <x v="3"/>
    <s v="6200000"/>
    <s v="Maint &amp; Leg/Co.Compl"/>
    <s v="MW09C21028"/>
    <s v="Segurança Industrial"/>
    <n v="101.82"/>
    <s v="Valor Maint &amp; Leg Co Compl ref  Docto Nr  42268"/>
    <x v="10"/>
    <s v="660822266"/>
    <s v="4009333450"/>
    <s v="GEMKD"/>
    <s v="7"/>
    <d v="2024-04-16T00:00:00"/>
    <s v="5109685823"/>
  </r>
  <r>
    <x v="2"/>
    <d v="2024-04-22T00:00:00"/>
    <x v="3"/>
    <s v="6200000"/>
    <s v="Maint &amp; Leg/Co.Compl"/>
    <s v="MW09C21028"/>
    <s v="Segurança Industrial"/>
    <n v="3396"/>
    <s v="Valor Maint &amp; Leg Co Compl ref  Docto Nr  42268"/>
    <x v="10"/>
    <s v="660822266"/>
    <s v="4009333450"/>
    <s v="GEMKD"/>
    <s v="8"/>
    <d v="2024-04-16T00:00:00"/>
    <s v="5109685823"/>
  </r>
  <r>
    <x v="2"/>
    <d v="2024-05-14T00:00:00"/>
    <x v="4"/>
    <s v="6200000"/>
    <s v="Maint &amp; Leg/Co.Compl"/>
    <s v="MW09C21028"/>
    <s v="Segurança Industrial"/>
    <n v="11035"/>
    <s v="Valor Maint &amp; Leg Co Compl ref  Docto Nr  42373"/>
    <x v="10"/>
    <s v="660831883"/>
    <s v="4009352567"/>
    <s v="GNEDA"/>
    <s v="1"/>
    <d v="2024-05-06T00:00:00"/>
    <s v="5109762167"/>
  </r>
  <r>
    <x v="2"/>
    <d v="2024-05-17T00:00:00"/>
    <x v="4"/>
    <s v="6200000"/>
    <s v="Maint &amp; Leg/Co.Compl"/>
    <s v="MW09C21028"/>
    <s v="Segurança Industrial"/>
    <n v="1528"/>
    <s v="Valor Maint &amp; Leg Co Compl ref  Docto Nr  42479"/>
    <x v="10"/>
    <s v="660834658"/>
    <s v="4009355133"/>
    <s v="EFXNJ"/>
    <s v="1"/>
    <d v="2024-05-13T00:00:00"/>
    <s v="5109773556"/>
  </r>
  <r>
    <x v="2"/>
    <d v="2024-05-17T00:00:00"/>
    <x v="4"/>
    <s v="6200000"/>
    <s v="Maint &amp; Leg/Co.Compl"/>
    <s v="MW09C21028"/>
    <s v="Segurança Industrial"/>
    <n v="886.14"/>
    <s v="Valor Maint &amp; Leg Co Compl ref  Docto Nr  42479"/>
    <x v="10"/>
    <s v="660834658"/>
    <s v="4009355133"/>
    <s v="EFXNJ"/>
    <s v="2"/>
    <d v="2024-05-13T00:00:00"/>
    <s v="5109773556"/>
  </r>
  <r>
    <x v="2"/>
    <d v="2024-05-17T00:00:00"/>
    <x v="4"/>
    <s v="6200000"/>
    <s v="Maint &amp; Leg/Co.Compl"/>
    <s v="MW09C21028"/>
    <s v="Segurança Industrial"/>
    <n v="2512.4"/>
    <s v="Valor Maint &amp; Leg Co Compl ref  Docto Nr  42479"/>
    <x v="10"/>
    <s v="660834658"/>
    <s v="4009355133"/>
    <s v="EFXNJ"/>
    <s v="3"/>
    <d v="2024-05-13T00:00:00"/>
    <s v="5109773556"/>
  </r>
  <r>
    <x v="2"/>
    <d v="2024-05-17T00:00:00"/>
    <x v="4"/>
    <s v="6200000"/>
    <s v="Maint &amp; Leg/Co.Compl"/>
    <s v="MW09C21028"/>
    <s v="Segurança Industrial"/>
    <n v="4074.4"/>
    <s v="Valor Maint &amp; Leg Co Compl ref  Docto Nr  42479"/>
    <x v="10"/>
    <s v="660834658"/>
    <s v="4009355133"/>
    <s v="EFXNJ"/>
    <s v="4"/>
    <d v="2024-05-13T00:00:00"/>
    <s v="5109773556"/>
  </r>
  <r>
    <x v="2"/>
    <d v="2024-05-17T00:00:00"/>
    <x v="4"/>
    <s v="6200000"/>
    <s v="Maint &amp; Leg/Co.Compl"/>
    <s v="MW09C21028"/>
    <s v="Segurança Industrial"/>
    <n v="458.38"/>
    <s v="Valor Maint &amp; Leg Co Compl ref  Docto Nr  42479"/>
    <x v="10"/>
    <s v="660834658"/>
    <s v="4009355133"/>
    <s v="EFXNJ"/>
    <s v="5"/>
    <d v="2024-05-13T00:00:00"/>
    <s v="5109773556"/>
  </r>
  <r>
    <x v="2"/>
    <d v="2024-05-17T00:00:00"/>
    <x v="4"/>
    <s v="6200000"/>
    <s v="Maint &amp; Leg/Co.Compl"/>
    <s v="MW09C21028"/>
    <s v="Segurança Industrial"/>
    <n v="179"/>
    <s v="Valor Maint &amp; Leg Co Compl ref  Docto Nr  42479"/>
    <x v="10"/>
    <s v="660834658"/>
    <s v="4009355133"/>
    <s v="EFXNJ"/>
    <s v="6"/>
    <d v="2024-05-13T00:00:00"/>
    <s v="5109773556"/>
  </r>
  <r>
    <x v="2"/>
    <d v="2024-05-23T00:00:00"/>
    <x v="4"/>
    <s v="6200000"/>
    <s v="Maint &amp; Leg/Co.Compl"/>
    <s v="MW09C21028"/>
    <s v="Segurança Industrial"/>
    <n v="1392.4"/>
    <s v="Valor do documento Nr  29248 1"/>
    <x v="10"/>
    <s v="660822277"/>
    <s v="4009359369"/>
    <s v="GMGNT"/>
    <s v="1"/>
    <d v="2024-05-13T00:00:00"/>
    <s v="5109789517"/>
  </r>
  <r>
    <x v="2"/>
    <d v="2024-05-23T00:00:00"/>
    <x v="4"/>
    <s v="6200000"/>
    <s v="Maint &amp; Leg/Co.Compl"/>
    <s v="MW09C21028"/>
    <s v="Segurança Industrial"/>
    <n v="989.9"/>
    <s v="Valor do documento Nr  29248 1"/>
    <x v="10"/>
    <s v="660822277"/>
    <s v="4009359369"/>
    <s v="GMGNT"/>
    <s v="2"/>
    <d v="2024-05-13T00:00:00"/>
    <s v="5109789517"/>
  </r>
  <r>
    <x v="2"/>
    <d v="2024-05-23T00:00:00"/>
    <x v="4"/>
    <s v="6200000"/>
    <s v="Maint &amp; Leg/Co.Compl"/>
    <s v="MW09C21028"/>
    <s v="Segurança Industrial"/>
    <n v="1018.2"/>
    <s v="Valor do documento Nr  29248 1"/>
    <x v="10"/>
    <s v="660822277"/>
    <s v="4009359369"/>
    <s v="GMGNT"/>
    <s v="3"/>
    <d v="2024-05-13T00:00:00"/>
    <s v="5109789517"/>
  </r>
  <r>
    <x v="2"/>
    <d v="2024-05-27T00:00:00"/>
    <x v="4"/>
    <s v="6200000"/>
    <s v="Maint &amp; Leg/Co.Compl"/>
    <s v="MW09C21028"/>
    <s v="Segurança Industrial"/>
    <n v="2547"/>
    <s v="Valor Maint &amp; Leg Co Compl ref  Docto Nr  42590"/>
    <x v="10"/>
    <s v="660837890"/>
    <s v="4009362668"/>
    <s v="EFXNJ"/>
    <s v="1"/>
    <d v="2024-05-20T00:00:00"/>
    <s v="5109800858"/>
  </r>
  <r>
    <x v="2"/>
    <d v="2024-06-21T00:00:00"/>
    <x v="5"/>
    <s v="6200000"/>
    <s v="Maint &amp; Leg/Co.Compl"/>
    <s v="MW09C21028"/>
    <s v="Segurança Industrial"/>
    <n v="11035"/>
    <s v="Valor Maint &amp; Leg Co Compl ref  Docto Nr  42798"/>
    <x v="10"/>
    <s v="660846451"/>
    <s v="4009384857"/>
    <s v="GNEDA"/>
    <s v="1"/>
    <d v="2024-06-10T00:00:00"/>
    <s v="5109886298"/>
  </r>
  <r>
    <x v="2"/>
    <d v="2024-07-01T00:00:00"/>
    <x v="6"/>
    <s v="6200000"/>
    <s v="Maint &amp; Leg/Co.Compl"/>
    <s v="MW09C21028"/>
    <s v="Segurança Industrial"/>
    <n v="977.92"/>
    <s v="Valor Maint &amp; Leg Co Compl ref  Docto Nr  42857"/>
    <x v="10"/>
    <s v="660850500"/>
    <s v="4009393534"/>
    <s v="GNEDA"/>
    <s v="1"/>
    <n v="45460"/>
    <s v="5109916893"/>
  </r>
  <r>
    <x v="2"/>
    <d v="2024-07-01T00:00:00"/>
    <x v="6"/>
    <s v="6200000"/>
    <s v="Maint &amp; Leg/Co.Compl"/>
    <s v="MW09C21028"/>
    <s v="Segurança Industrial"/>
    <n v="492.3"/>
    <s v="Valor Maint &amp; Leg Co Compl ref  Docto Nr  42857"/>
    <x v="10"/>
    <s v="660850500"/>
    <s v="4009393534"/>
    <s v="GNEDA"/>
    <s v="2"/>
    <n v="45460"/>
    <s v="5109916893"/>
  </r>
  <r>
    <x v="2"/>
    <d v="2024-07-01T00:00:00"/>
    <x v="6"/>
    <s v="6200000"/>
    <s v="Maint &amp; Leg/Co.Compl"/>
    <s v="MW09C21028"/>
    <s v="Segurança Industrial"/>
    <n v="2323.9699999999998"/>
    <s v="Valor Maint &amp; Leg Co Compl ref  Docto Nr  42857"/>
    <x v="10"/>
    <s v="660850500"/>
    <s v="4009393534"/>
    <s v="GNEDA"/>
    <s v="3"/>
    <n v="45460"/>
    <s v="5109916893"/>
  </r>
  <r>
    <x v="2"/>
    <d v="2024-07-01T00:00:00"/>
    <x v="6"/>
    <s v="6200000"/>
    <s v="Maint &amp; Leg/Co.Compl"/>
    <s v="MW09C21028"/>
    <s v="Segurança Industrial"/>
    <n v="1018.6"/>
    <s v="Valor Maint &amp; Leg Co Compl ref  Docto Nr  42857"/>
    <x v="10"/>
    <s v="660850500"/>
    <s v="4009393534"/>
    <s v="GNEDA"/>
    <s v="4"/>
    <n v="45460"/>
    <s v="5109916893"/>
  </r>
  <r>
    <x v="2"/>
    <d v="2024-07-01T00:00:00"/>
    <x v="6"/>
    <s v="6200000"/>
    <s v="Maint &amp; Leg/Co.Compl"/>
    <s v="MW09C21028"/>
    <s v="Segurança Industrial"/>
    <n v="458.38"/>
    <s v="Valor Maint &amp; Leg Co Compl ref  Docto Nr  42857"/>
    <x v="10"/>
    <s v="660850500"/>
    <s v="4009393534"/>
    <s v="GNEDA"/>
    <s v="5"/>
    <n v="45460"/>
    <s v="5109916893"/>
  </r>
  <r>
    <x v="2"/>
    <d v="2024-07-01T00:00:00"/>
    <x v="6"/>
    <s v="6200000"/>
    <s v="Maint &amp; Leg/Co.Compl"/>
    <s v="MW09C21028"/>
    <s v="Segurança Industrial"/>
    <n v="80"/>
    <s v="Valor Maint &amp; Leg Co Compl ref  Docto Nr  42857"/>
    <x v="10"/>
    <s v="660850500"/>
    <s v="4009393534"/>
    <s v="GNEDA"/>
    <s v="6"/>
    <n v="45460"/>
    <s v="5109916893"/>
  </r>
  <r>
    <x v="2"/>
    <d v="2024-07-01T00:00:00"/>
    <x v="6"/>
    <s v="6200000"/>
    <s v="Maint &amp; Leg/Co.Compl"/>
    <s v="MW09C21028"/>
    <s v="Segurança Industrial"/>
    <n v="85"/>
    <s v="Valor Maint &amp; Leg Co Compl ref  Docto Nr  42857"/>
    <x v="10"/>
    <s v="660850500"/>
    <s v="4009393534"/>
    <s v="GNEDA"/>
    <s v="7"/>
    <n v="45460"/>
    <s v="5109916893"/>
  </r>
  <r>
    <x v="2"/>
    <d v="2024-07-03T00:00:00"/>
    <x v="6"/>
    <s v="6200000"/>
    <s v="Maint &amp; Leg/Co.Compl"/>
    <s v="MW09C21028"/>
    <s v="Segurança Industrial"/>
    <n v="-977.92"/>
    <s v="PQS 06 Kg"/>
    <x v="10"/>
    <s v="660850500"/>
    <s v="4009395296"/>
    <s v="GMLYE"/>
    <s v="1"/>
    <n v="45460"/>
    <s v="5109922862"/>
  </r>
  <r>
    <x v="2"/>
    <d v="2024-07-03T00:00:00"/>
    <x v="6"/>
    <s v="6200000"/>
    <s v="Maint &amp; Leg/Co.Compl"/>
    <s v="MW09C21028"/>
    <s v="Segurança Industrial"/>
    <n v="-492.3"/>
    <s v="AP 10 L"/>
    <x v="10"/>
    <s v="660850500"/>
    <s v="4009395296"/>
    <s v="GMLYE"/>
    <s v="2"/>
    <n v="45460"/>
    <s v="5109922862"/>
  </r>
  <r>
    <x v="2"/>
    <d v="2024-07-03T00:00:00"/>
    <x v="6"/>
    <s v="6200000"/>
    <s v="Maint &amp; Leg/Co.Compl"/>
    <s v="MW09C21028"/>
    <s v="Segurança Industrial"/>
    <n v="-2323.9699999999998"/>
    <s v="CO2 06 Kg"/>
    <x v="10"/>
    <s v="660850500"/>
    <s v="4009395296"/>
    <s v="GMLYE"/>
    <s v="3"/>
    <n v="45460"/>
    <s v="5109922862"/>
  </r>
  <r>
    <x v="2"/>
    <d v="2024-07-03T00:00:00"/>
    <x v="6"/>
    <s v="6200000"/>
    <s v="Maint &amp; Leg/Co.Compl"/>
    <s v="MW09C21028"/>
    <s v="Segurança Industrial"/>
    <n v="-1018.6"/>
    <s v="PQS 12 Kg"/>
    <x v="10"/>
    <s v="660850500"/>
    <s v="4009395296"/>
    <s v="GMLYE"/>
    <s v="4"/>
    <n v="45460"/>
    <s v="5109922862"/>
  </r>
  <r>
    <x v="2"/>
    <d v="2024-07-03T00:00:00"/>
    <x v="6"/>
    <s v="6200000"/>
    <s v="Maint &amp; Leg/Co.Compl"/>
    <s v="MW09C21028"/>
    <s v="Segurança Industrial"/>
    <n v="-458.38"/>
    <s v="PQS 50 Kg"/>
    <x v="10"/>
    <s v="660850500"/>
    <s v="4009395296"/>
    <s v="GMLYE"/>
    <s v="5"/>
    <n v="45460"/>
    <s v="5109922862"/>
  </r>
  <r>
    <x v="2"/>
    <d v="2024-07-03T00:00:00"/>
    <x v="6"/>
    <s v="6200000"/>
    <s v="Maint &amp; Leg/Co.Compl"/>
    <s v="MW09C21028"/>
    <s v="Segurança Industrial"/>
    <n v="-80"/>
    <s v="Manutenção Extintor PQSM ABC 06 kg"/>
    <x v="10"/>
    <s v="660850500"/>
    <s v="4009395296"/>
    <s v="GMLYE"/>
    <s v="6"/>
    <n v="45460"/>
    <s v="5109922862"/>
  </r>
  <r>
    <x v="2"/>
    <d v="2024-07-03T00:00:00"/>
    <x v="6"/>
    <s v="6200000"/>
    <s v="Maint &amp; Leg/Co.Compl"/>
    <s v="MW09C21028"/>
    <s v="Segurança Industrial"/>
    <n v="-85"/>
    <s v="Manutenção extintor ESP 10L"/>
    <x v="10"/>
    <s v="660850500"/>
    <s v="4009395296"/>
    <s v="GMLYE"/>
    <s v="7"/>
    <n v="45460"/>
    <s v="5109922862"/>
  </r>
  <r>
    <x v="2"/>
    <d v="2024-07-05T00:00:00"/>
    <x v="6"/>
    <s v="6200000"/>
    <s v="Maint &amp; Leg/Co.Compl"/>
    <s v="MW09C21028"/>
    <s v="Segurança Industrial"/>
    <n v="2547"/>
    <s v="Valor Maint &amp; Leg Co Compl ref  Docto Nr  42907"/>
    <x v="10"/>
    <s v="660852697"/>
    <s v="4009397325"/>
    <s v="GNEDA"/>
    <s v="1"/>
    <n v="45463"/>
    <s v="5109927606"/>
  </r>
  <r>
    <x v="2"/>
    <d v="2024-07-05T00:00:00"/>
    <x v="6"/>
    <s v="6200000"/>
    <s v="Maint &amp; Leg/Co.Compl"/>
    <s v="MW09C21028"/>
    <s v="Segurança Industrial"/>
    <n v="977.92"/>
    <s v="Valor Maint &amp; Leg Co Compl ref  Docto Nr  6910"/>
    <x v="10"/>
    <s v="660850500"/>
    <s v="4009398064"/>
    <s v="GNEDA"/>
    <s v="1"/>
    <n v="45460"/>
    <s v="5109930645"/>
  </r>
  <r>
    <x v="2"/>
    <d v="2024-07-05T00:00:00"/>
    <x v="6"/>
    <s v="6200000"/>
    <s v="Maint &amp; Leg/Co.Compl"/>
    <s v="MW09C21028"/>
    <s v="Segurança Industrial"/>
    <n v="492.3"/>
    <s v="Valor Maint &amp; Leg Co Compl ref  Docto Nr  6910"/>
    <x v="10"/>
    <s v="660850500"/>
    <s v="4009398064"/>
    <s v="GNEDA"/>
    <s v="2"/>
    <n v="45460"/>
    <s v="5109930645"/>
  </r>
  <r>
    <x v="2"/>
    <d v="2024-07-05T00:00:00"/>
    <x v="6"/>
    <s v="6200000"/>
    <s v="Maint &amp; Leg/Co.Compl"/>
    <s v="MW09C21028"/>
    <s v="Segurança Industrial"/>
    <n v="2323.9699999999998"/>
    <s v="Valor Maint &amp; Leg Co Compl ref  Docto Nr  6910"/>
    <x v="10"/>
    <s v="660850500"/>
    <s v="4009398064"/>
    <s v="GNEDA"/>
    <s v="3"/>
    <n v="45460"/>
    <s v="5109930645"/>
  </r>
  <r>
    <x v="2"/>
    <d v="2024-07-05T00:00:00"/>
    <x v="6"/>
    <s v="6200000"/>
    <s v="Maint &amp; Leg/Co.Compl"/>
    <s v="MW09C21028"/>
    <s v="Segurança Industrial"/>
    <n v="1018.6"/>
    <s v="Valor Maint &amp; Leg Co Compl ref  Docto Nr  6910"/>
    <x v="10"/>
    <s v="660850500"/>
    <s v="4009398064"/>
    <s v="GNEDA"/>
    <s v="4"/>
    <n v="45460"/>
    <s v="5109930645"/>
  </r>
  <r>
    <x v="2"/>
    <d v="2024-07-05T00:00:00"/>
    <x v="6"/>
    <s v="6200000"/>
    <s v="Maint &amp; Leg/Co.Compl"/>
    <s v="MW09C21028"/>
    <s v="Segurança Industrial"/>
    <n v="458.38"/>
    <s v="Valor Maint &amp; Leg Co Compl ref  Docto Nr  6910"/>
    <x v="10"/>
    <s v="660850500"/>
    <s v="4009398064"/>
    <s v="GNEDA"/>
    <s v="5"/>
    <n v="45460"/>
    <s v="5109930645"/>
  </r>
  <r>
    <x v="2"/>
    <d v="2024-07-05T00:00:00"/>
    <x v="6"/>
    <s v="6200000"/>
    <s v="Maint &amp; Leg/Co.Compl"/>
    <s v="MW09C21028"/>
    <s v="Segurança Industrial"/>
    <n v="80"/>
    <s v="Valor Maint &amp; Leg Co Compl ref  Docto Nr  6910"/>
    <x v="10"/>
    <s v="660850500"/>
    <s v="4009398064"/>
    <s v="GNEDA"/>
    <s v="6"/>
    <n v="45460"/>
    <s v="5109930645"/>
  </r>
  <r>
    <x v="2"/>
    <d v="2024-07-05T00:00:00"/>
    <x v="6"/>
    <s v="6200000"/>
    <s v="Maint &amp; Leg/Co.Compl"/>
    <s v="MW09C21028"/>
    <s v="Segurança Industrial"/>
    <n v="85"/>
    <s v="Valor Maint &amp; Leg Co Compl ref  Docto Nr  6910"/>
    <x v="10"/>
    <s v="660850500"/>
    <s v="4009398064"/>
    <s v="GNEDA"/>
    <s v="7"/>
    <n v="45460"/>
    <s v="5109930645"/>
  </r>
  <r>
    <x v="2"/>
    <d v="2024-07-09T00:00:00"/>
    <x v="6"/>
    <s v="6200000"/>
    <s v="Maint &amp; Leg/Co.Compl"/>
    <s v="MW09C21028"/>
    <s v="Segurança Industrial"/>
    <n v="-977.92"/>
    <s v="PQS 06 Kg"/>
    <x v="10"/>
    <s v="660850500"/>
    <s v="4009401695"/>
    <s v="GNEDA"/>
    <s v="1"/>
    <n v="45460"/>
    <s v="5109939756"/>
  </r>
  <r>
    <x v="2"/>
    <d v="2024-07-09T00:00:00"/>
    <x v="6"/>
    <s v="6200000"/>
    <s v="Maint &amp; Leg/Co.Compl"/>
    <s v="MW09C21028"/>
    <s v="Segurança Industrial"/>
    <n v="-492.3"/>
    <s v="AP 10 L"/>
    <x v="10"/>
    <s v="660850500"/>
    <s v="4009401695"/>
    <s v="GNEDA"/>
    <s v="2"/>
    <n v="45460"/>
    <s v="5109939756"/>
  </r>
  <r>
    <x v="2"/>
    <d v="2024-07-09T00:00:00"/>
    <x v="6"/>
    <s v="6200000"/>
    <s v="Maint &amp; Leg/Co.Compl"/>
    <s v="MW09C21028"/>
    <s v="Segurança Industrial"/>
    <n v="-2323.9699999999998"/>
    <s v="CO2 06 Kg"/>
    <x v="10"/>
    <s v="660850500"/>
    <s v="4009401695"/>
    <s v="GNEDA"/>
    <s v="3"/>
    <n v="45460"/>
    <s v="5109939756"/>
  </r>
  <r>
    <x v="2"/>
    <d v="2024-07-09T00:00:00"/>
    <x v="6"/>
    <s v="6200000"/>
    <s v="Maint &amp; Leg/Co.Compl"/>
    <s v="MW09C21028"/>
    <s v="Segurança Industrial"/>
    <n v="-1018.6"/>
    <s v="PQS 12 Kg"/>
    <x v="10"/>
    <s v="660850500"/>
    <s v="4009401695"/>
    <s v="GNEDA"/>
    <s v="4"/>
    <n v="45460"/>
    <s v="5109939756"/>
  </r>
  <r>
    <x v="2"/>
    <d v="2024-07-09T00:00:00"/>
    <x v="6"/>
    <s v="6200000"/>
    <s v="Maint &amp; Leg/Co.Compl"/>
    <s v="MW09C21028"/>
    <s v="Segurança Industrial"/>
    <n v="-458.38"/>
    <s v="PQS 50 Kg"/>
    <x v="10"/>
    <s v="660850500"/>
    <s v="4009401695"/>
    <s v="GNEDA"/>
    <s v="5"/>
    <n v="45460"/>
    <s v="5109939756"/>
  </r>
  <r>
    <x v="2"/>
    <d v="2024-07-09T00:00:00"/>
    <x v="6"/>
    <s v="6200000"/>
    <s v="Maint &amp; Leg/Co.Compl"/>
    <s v="MW09C21028"/>
    <s v="Segurança Industrial"/>
    <n v="-80"/>
    <s v="Manutenção Extintor PQSM ABC 06 kg"/>
    <x v="10"/>
    <s v="660850500"/>
    <s v="4009401695"/>
    <s v="GNEDA"/>
    <s v="6"/>
    <n v="45460"/>
    <s v="5109939756"/>
  </r>
  <r>
    <x v="2"/>
    <d v="2024-07-09T00:00:00"/>
    <x v="6"/>
    <s v="6200000"/>
    <s v="Maint &amp; Leg/Co.Compl"/>
    <s v="MW09C21028"/>
    <s v="Segurança Industrial"/>
    <n v="-85"/>
    <s v="Manutenção extintor ESP 10L"/>
    <x v="10"/>
    <s v="660850500"/>
    <s v="4009401695"/>
    <s v="GNEDA"/>
    <s v="7"/>
    <n v="45460"/>
    <s v="5109939756"/>
  </r>
  <r>
    <x v="2"/>
    <d v="2024-07-09T00:00:00"/>
    <x v="6"/>
    <s v="6200000"/>
    <s v="Maint &amp; Leg/Co.Compl"/>
    <s v="MW09C21028"/>
    <s v="Segurança Industrial"/>
    <n v="977.92"/>
    <s v="Valor Maint &amp; Leg Co Compl ref  Docto Nr  42857"/>
    <x v="10"/>
    <s v="660850500"/>
    <s v="4009401696"/>
    <s v="GNEDA"/>
    <s v="1"/>
    <n v="45460"/>
    <s v="5109939918"/>
  </r>
  <r>
    <x v="2"/>
    <d v="2024-07-09T00:00:00"/>
    <x v="6"/>
    <s v="6200000"/>
    <s v="Maint &amp; Leg/Co.Compl"/>
    <s v="MW09C21028"/>
    <s v="Segurança Industrial"/>
    <n v="492.3"/>
    <s v="Valor Maint &amp; Leg Co Compl ref  Docto Nr  42857"/>
    <x v="10"/>
    <s v="660850500"/>
    <s v="4009401696"/>
    <s v="GNEDA"/>
    <s v="2"/>
    <n v="45460"/>
    <s v="5109939918"/>
  </r>
  <r>
    <x v="2"/>
    <d v="2024-07-09T00:00:00"/>
    <x v="6"/>
    <s v="6200000"/>
    <s v="Maint &amp; Leg/Co.Compl"/>
    <s v="MW09C21028"/>
    <s v="Segurança Industrial"/>
    <n v="2323.9699999999998"/>
    <s v="Valor Maint &amp; Leg Co Compl ref  Docto Nr  42857"/>
    <x v="10"/>
    <s v="660850500"/>
    <s v="4009401696"/>
    <s v="GNEDA"/>
    <s v="3"/>
    <n v="45460"/>
    <s v="5109939918"/>
  </r>
  <r>
    <x v="2"/>
    <d v="2024-07-09T00:00:00"/>
    <x v="6"/>
    <s v="6200000"/>
    <s v="Maint &amp; Leg/Co.Compl"/>
    <s v="MW09C21028"/>
    <s v="Segurança Industrial"/>
    <n v="1018.6"/>
    <s v="Valor Maint &amp; Leg Co Compl ref  Docto Nr  42857"/>
    <x v="10"/>
    <s v="660850500"/>
    <s v="4009401696"/>
    <s v="GNEDA"/>
    <s v="4"/>
    <n v="45460"/>
    <s v="5109939918"/>
  </r>
  <r>
    <x v="2"/>
    <d v="2024-07-09T00:00:00"/>
    <x v="6"/>
    <s v="6200000"/>
    <s v="Maint &amp; Leg/Co.Compl"/>
    <s v="MW09C21028"/>
    <s v="Segurança Industrial"/>
    <n v="458.38"/>
    <s v="Valor Maint &amp; Leg Co Compl ref  Docto Nr  42857"/>
    <x v="10"/>
    <s v="660850500"/>
    <s v="4009401696"/>
    <s v="GNEDA"/>
    <s v="5"/>
    <n v="45460"/>
    <s v="5109939918"/>
  </r>
  <r>
    <x v="2"/>
    <d v="2024-07-09T00:00:00"/>
    <x v="6"/>
    <s v="6200000"/>
    <s v="Maint &amp; Leg/Co.Compl"/>
    <s v="MW09C21028"/>
    <s v="Segurança Industrial"/>
    <n v="80"/>
    <s v="Valor Maint &amp; Leg Co Compl ref  Docto Nr  42857"/>
    <x v="10"/>
    <s v="660850500"/>
    <s v="4009401696"/>
    <s v="GNEDA"/>
    <s v="6"/>
    <n v="45460"/>
    <s v="5109939918"/>
  </r>
  <r>
    <x v="2"/>
    <d v="2024-07-09T00:00:00"/>
    <x v="6"/>
    <s v="6200000"/>
    <s v="Maint &amp; Leg/Co.Compl"/>
    <s v="MW09C21028"/>
    <s v="Segurança Industrial"/>
    <n v="85"/>
    <s v="Valor Maint &amp; Leg Co Compl ref  Docto Nr  42857"/>
    <x v="10"/>
    <s v="660850500"/>
    <s v="4009401696"/>
    <s v="GNEDA"/>
    <s v="7"/>
    <n v="45460"/>
    <s v="5109939918"/>
  </r>
  <r>
    <x v="2"/>
    <d v="2024-07-16T00:00:00"/>
    <x v="6"/>
    <s v="6200000"/>
    <s v="Maint &amp; Leg/Co.Compl"/>
    <s v="MW09C21028"/>
    <s v="Segurança Industrial"/>
    <n v="11035"/>
    <s v="Valor Maint &amp; Leg Co Compl ref  Docto Nr  42982"/>
    <x v="10"/>
    <s v="660857730"/>
    <s v="4009410009"/>
    <s v="EFXNJ"/>
    <s v="1"/>
    <n v="45475"/>
    <s v="5109963317"/>
  </r>
  <r>
    <x v="2"/>
    <d v="2024-07-25T00:00:00"/>
    <x v="6"/>
    <s v="6701000"/>
    <s v="Training"/>
    <s v="MW09C21028"/>
    <s v="Segurança Industrial"/>
    <n v="4862.3999999999996"/>
    <s v="Valor Training ref  Docto Nr  43107"/>
    <x v="10"/>
    <s v=""/>
    <s v="4009419058"/>
    <s v="GLRPZ"/>
    <s v="1"/>
    <n v="45483"/>
    <s v="4640006274"/>
  </r>
  <r>
    <x v="2"/>
    <d v="2024-08-20T00:00:00"/>
    <x v="7"/>
    <s v="6715000"/>
    <s v="Fire prevent serv."/>
    <s v="MW09C21028"/>
    <s v="Segurança Industrial"/>
    <n v="11035"/>
    <s v="Valor Fire prevent serv  ref  Docto Nr  43333"/>
    <x v="10"/>
    <s v="660871746"/>
    <s v="4009450839"/>
    <s v="GNEDA"/>
    <s v="1"/>
    <n v="45506"/>
    <s v="5110065580"/>
  </r>
  <r>
    <x v="2"/>
    <d v="2024-09-09T00:00:00"/>
    <x v="8"/>
    <s v="6844000"/>
    <s v="Meetings/Conf/ Symp"/>
    <s v="MW09C21028"/>
    <s v="Segurança Industrial"/>
    <n v="4862.3999999999996"/>
    <s v="Valor Meetings Conf  Symp ref  Docto Nr  43343"/>
    <x v="10"/>
    <s v=""/>
    <s v="4009478231"/>
    <s v="EFXNJ"/>
    <s v="1"/>
    <n v="45509"/>
    <s v="4640007462"/>
  </r>
  <r>
    <x v="2"/>
    <d v="2024-09-18T00:00:00"/>
    <x v="8"/>
    <s v="6715000"/>
    <s v="Fire prevent serv."/>
    <s v="MW09C21028"/>
    <s v="Segurança Industrial"/>
    <n v="3990.3"/>
    <s v="Valor Fire prevent serv  ref  Docto Nr  43524"/>
    <x v="10"/>
    <s v="660876330"/>
    <s v="4009490021"/>
    <s v="GNEDA"/>
    <s v="1"/>
    <n v="45517"/>
    <s v="5110155917"/>
  </r>
  <r>
    <x v="2"/>
    <d v="2024-09-18T00:00:00"/>
    <x v="8"/>
    <s v="6715000"/>
    <s v="Fire prevent serv."/>
    <s v="MW09C21028"/>
    <s v="Segurança Industrial"/>
    <n v="977.92"/>
    <s v="Valor Fire prevent serv  ref  Docto Nr  43523"/>
    <x v="10"/>
    <s v="660876328"/>
    <s v="4009490022"/>
    <s v="GNEDA"/>
    <s v="1"/>
    <n v="45517"/>
    <s v="5110155918"/>
  </r>
  <r>
    <x v="2"/>
    <d v="2024-09-18T00:00:00"/>
    <x v="8"/>
    <s v="6715000"/>
    <s v="Fire prevent serv."/>
    <s v="MW09C21028"/>
    <s v="Segurança Industrial"/>
    <n v="738.45"/>
    <s v="Valor Fire prevent serv  ref  Docto Nr  43523"/>
    <x v="10"/>
    <s v="660876328"/>
    <s v="4009490022"/>
    <s v="GNEDA"/>
    <s v="2"/>
    <n v="45517"/>
    <s v="5110155918"/>
  </r>
  <r>
    <x v="2"/>
    <d v="2024-09-18T00:00:00"/>
    <x v="8"/>
    <s v="6715000"/>
    <s v="Fire prevent serv."/>
    <s v="MW09C21028"/>
    <s v="Segurança Industrial"/>
    <n v="54.33"/>
    <s v="Valor Fire prevent serv  ref  Docto Nr  43523"/>
    <x v="10"/>
    <s v="660876328"/>
    <s v="4009490022"/>
    <s v="GNEDA"/>
    <s v="3"/>
    <n v="45517"/>
    <s v="5110155918"/>
  </r>
  <r>
    <x v="2"/>
    <d v="2024-09-18T00:00:00"/>
    <x v="8"/>
    <s v="6715000"/>
    <s v="Fire prevent serv."/>
    <s v="MW09C21028"/>
    <s v="Segurança Industrial"/>
    <n v="59.41"/>
    <s v="Valor Fire prevent serv  ref  Docto Nr  43523"/>
    <x v="10"/>
    <s v="660876328"/>
    <s v="4009490022"/>
    <s v="GNEDA"/>
    <s v="4"/>
    <n v="45517"/>
    <s v="5110155918"/>
  </r>
  <r>
    <x v="2"/>
    <d v="2024-09-18T00:00:00"/>
    <x v="8"/>
    <s v="6715000"/>
    <s v="Fire prevent serv."/>
    <s v="MW09C21028"/>
    <s v="Segurança Industrial"/>
    <n v="4522.32"/>
    <s v="Valor Fire prevent serv  ref  Docto Nr  43523"/>
    <x v="10"/>
    <s v="660876328"/>
    <s v="4009490022"/>
    <s v="GNEDA"/>
    <s v="5"/>
    <n v="45517"/>
    <s v="5110155918"/>
  </r>
  <r>
    <x v="2"/>
    <d v="2024-09-18T00:00:00"/>
    <x v="8"/>
    <s v="6715000"/>
    <s v="Fire prevent serv."/>
    <s v="MW09C21028"/>
    <s v="Segurança Industrial"/>
    <n v="10491.58"/>
    <s v="Valor Fire prevent serv  ref  Docto Nr  43523"/>
    <x v="10"/>
    <s v="660876328"/>
    <s v="4009490022"/>
    <s v="GNEDA"/>
    <s v="6"/>
    <n v="45517"/>
    <s v="5110155918"/>
  </r>
  <r>
    <x v="2"/>
    <d v="2024-09-18T00:00:00"/>
    <x v="8"/>
    <s v="6715000"/>
    <s v="Fire prevent serv."/>
    <s v="MW09C21028"/>
    <s v="Segurança Industrial"/>
    <n v="916.76"/>
    <s v="Valor Fire prevent serv  ref  Docto Nr  43523"/>
    <x v="10"/>
    <s v="660876328"/>
    <s v="4009490022"/>
    <s v="GNEDA"/>
    <s v="7"/>
    <n v="45517"/>
    <s v="5110155918"/>
  </r>
  <r>
    <x v="2"/>
    <d v="2024-10-12T00:00:00"/>
    <x v="9"/>
    <s v="6715000"/>
    <s v="Fire prevent serv."/>
    <s v="MW09C21028"/>
    <s v="Segurança Industrial"/>
    <n v="1018.8"/>
    <s v="Valor do documento Nr  29565 1"/>
    <x v="10"/>
    <n v="660872901"/>
    <s v="4009524433"/>
    <s v="GNEDC"/>
    <s v="1"/>
    <d v="2024-08-14T00:00:00"/>
    <s v="5110247226"/>
  </r>
  <r>
    <x v="2"/>
    <d v="2024-10-12T00:00:00"/>
    <x v="9"/>
    <s v="6715000"/>
    <s v="Fire prevent serv."/>
    <s v="MW09C21028"/>
    <s v="Segurança Industrial"/>
    <n v="1018.8"/>
    <s v="Valor do documento Nr  29565 1"/>
    <x v="10"/>
    <s v="660872901"/>
    <s v="4009524433"/>
    <s v="GNEDC"/>
    <s v="2"/>
    <d v="2024-08-14T00:00:00"/>
    <s v="5110247226"/>
  </r>
  <r>
    <x v="2"/>
    <d v="2024-10-12T00:00:00"/>
    <x v="9"/>
    <s v="6715000"/>
    <s v="Fire prevent serv."/>
    <s v="MW09C21028"/>
    <s v="Segurança Industrial"/>
    <n v="1018.8"/>
    <s v="Valor do documento Nr  29565 1"/>
    <x v="10"/>
    <s v="660872901"/>
    <s v="4009524433"/>
    <s v="GNEDC"/>
    <s v="3"/>
    <d v="2024-08-14T00:00:00"/>
    <s v="5110247226"/>
  </r>
  <r>
    <x v="2"/>
    <d v="2024-10-15T00:00:00"/>
    <x v="9"/>
    <s v="6715000"/>
    <s v="Fire prevent serv."/>
    <s v="MW09C21028"/>
    <s v="Segurança Industrial"/>
    <n v="11035"/>
    <s v="Valor Fire prevent serv  ref  Docto Nr  43693"/>
    <x v="10"/>
    <s v="660885486"/>
    <s v="4009527671"/>
    <s v="EFXNJ"/>
    <s v="1"/>
    <d v="2024-09-03T00:00:00"/>
    <s v="5110256397"/>
  </r>
  <r>
    <x v="2"/>
    <d v="2024-10-17T00:00:00"/>
    <x v="9"/>
    <s v="6715000"/>
    <s v="Fire prevent serv."/>
    <s v="MW09C21028"/>
    <s v="Segurança Industrial"/>
    <n v="492.3"/>
    <s v="Valor Fire prevent serv  ref  Docto Nr  43823"/>
    <x v="10"/>
    <s v="660890060"/>
    <s v="4009530087"/>
    <s v="EFXNJ"/>
    <s v="1"/>
    <d v="2024-09-11T00:00:00"/>
    <s v="5110263704"/>
  </r>
  <r>
    <x v="2"/>
    <d v="2024-10-17T00:00:00"/>
    <x v="9"/>
    <s v="6715000"/>
    <s v="Fire prevent serv."/>
    <s v="MW09C21028"/>
    <s v="Segurança Industrial"/>
    <n v="4647.9399999999996"/>
    <s v="Valor Fire prevent serv  ref  Docto Nr  43823"/>
    <x v="10"/>
    <s v="660890060"/>
    <s v="4009530087"/>
    <s v="EFXNJ"/>
    <s v="2"/>
    <d v="2024-09-11T00:00:00"/>
    <s v="5110263704"/>
  </r>
  <r>
    <x v="2"/>
    <d v="2024-10-17T00:00:00"/>
    <x v="9"/>
    <s v="6715000"/>
    <s v="Fire prevent serv."/>
    <s v="MW09C21028"/>
    <s v="Segurança Industrial"/>
    <n v="6009.74"/>
    <s v="Valor Fire prevent serv  ref  Docto Nr  43823"/>
    <x v="10"/>
    <s v="660890060"/>
    <s v="4009530087"/>
    <s v="EFXNJ"/>
    <s v="3"/>
    <d v="2024-09-11T00:00:00"/>
    <s v="5110263704"/>
  </r>
  <r>
    <x v="2"/>
    <d v="2024-10-17T00:00:00"/>
    <x v="9"/>
    <s v="6715000"/>
    <s v="Fire prevent serv."/>
    <s v="MW09C21028"/>
    <s v="Segurança Industrial"/>
    <n v="916.76"/>
    <s v="Valor Fire prevent serv  ref  Docto Nr  43823"/>
    <x v="10"/>
    <s v="660890060"/>
    <s v="4009530087"/>
    <s v="EFXNJ"/>
    <s v="4"/>
    <d v="2024-09-11T00:00:00"/>
    <s v="5110263704"/>
  </r>
  <r>
    <x v="2"/>
    <d v="2024-10-17T00:00:00"/>
    <x v="9"/>
    <s v="6715000"/>
    <s v="Fire prevent serv."/>
    <s v="MW09C21028"/>
    <s v="Segurança Industrial"/>
    <n v="644.86"/>
    <s v="Valor Fire prevent serv  ref  Docto Nr  43825"/>
    <x v="10"/>
    <s v="660890059"/>
    <s v="4009530093"/>
    <s v="EFXNJ"/>
    <s v="1"/>
    <d v="2024-09-11T00:00:00"/>
    <s v="5110263720"/>
  </r>
  <r>
    <x v="2"/>
    <d v="2024-10-17T00:00:00"/>
    <x v="9"/>
    <s v="6715000"/>
    <s v="Fire prevent serv."/>
    <s v="MW09C21028"/>
    <s v="Segurança Industrial"/>
    <n v="3396"/>
    <s v="Valor Fire prevent serv  ref  Docto Nr  43825"/>
    <x v="10"/>
    <s v="660890059"/>
    <s v="4009530093"/>
    <s v="EFXNJ"/>
    <s v="2"/>
    <d v="2024-09-11T00:00:00"/>
    <s v="5110263720"/>
  </r>
  <r>
    <x v="2"/>
    <d v="2024-10-22T00:00:00"/>
    <x v="9"/>
    <s v="6715000"/>
    <s v="Fire prevent serv."/>
    <s v="MW09C21028"/>
    <s v="Segurança Industrial"/>
    <n v="11035"/>
    <s v="Valor Fire prevent serv  ref  Docto Nr  44041"/>
    <x v="10"/>
    <s v="660891230"/>
    <s v="4009538200"/>
    <s v="EAUXB"/>
    <s v="1"/>
    <d v="2024-10-07T00:00:00"/>
    <s v="5110279753"/>
  </r>
  <r>
    <x v="2"/>
    <d v="2024-11-05T00:00:00"/>
    <x v="10"/>
    <s v="6715000"/>
    <s v="Fire prevent serv."/>
    <s v="MW09C21028"/>
    <s v="Segurança Industrial"/>
    <n v="20934.91"/>
    <s v="Valor Fire prevent serv  ref  Docto Nr  44339"/>
    <x v="10"/>
    <s v=""/>
    <s v="4009561748"/>
    <s v="GNEDA"/>
    <s v="1"/>
    <d v="2024-10-22T00:00:00"/>
    <s v="4640010157"/>
  </r>
  <r>
    <x v="2"/>
    <d v="2024-11-07T00:00:00"/>
    <x v="10"/>
    <s v="6715000"/>
    <s v="Fire prevent serv."/>
    <s v="MW09C21028"/>
    <s v="Segurança Industrial"/>
    <n v="11035"/>
    <s v="Valor Fire prevent serv  ref  Docto Nr  44422"/>
    <x v="10"/>
    <s v="660915646"/>
    <s v="4009566029"/>
    <s v="EAUXB"/>
    <s v="1"/>
    <d v="2024-11-05T00:00:00"/>
    <s v="5110336508"/>
  </r>
  <r>
    <x v="2"/>
    <d v="2024-11-12T00:00:00"/>
    <x v="10"/>
    <s v="6715000"/>
    <s v="Fire prevent serv."/>
    <s v="MW09C21028"/>
    <s v="Segurança Industrial"/>
    <n v="196.92"/>
    <s v="Valor Fire prevent serv  ref  Docto Nr  44448"/>
    <x v="10"/>
    <s v="660917030"/>
    <s v="4009573632"/>
    <s v="EAUXB"/>
    <s v="1"/>
    <d v="2024-11-06T00:00:00"/>
    <s v="5110353225"/>
  </r>
  <r>
    <x v="2"/>
    <d v="2024-11-12T00:00:00"/>
    <x v="10"/>
    <s v="6715000"/>
    <s v="Fire prevent serv."/>
    <s v="MW09C21028"/>
    <s v="Segurança Industrial"/>
    <n v="3266.12"/>
    <s v="Valor Fire prevent serv  ref  Docto Nr  44448"/>
    <x v="10"/>
    <s v="660917030"/>
    <s v="4009573632"/>
    <s v="EAUXB"/>
    <s v="2"/>
    <d v="2024-11-06T00:00:00"/>
    <s v="5110353225"/>
  </r>
  <r>
    <x v="2"/>
    <d v="2024-11-12T00:00:00"/>
    <x v="10"/>
    <s v="6715000"/>
    <s v="Fire prevent serv."/>
    <s v="MW09C21028"/>
    <s v="Segurança Industrial"/>
    <n v="2342.7800000000002"/>
    <s v="Valor Fire prevent serv  ref  Docto Nr  44448"/>
    <x v="10"/>
    <s v="660917030"/>
    <s v="4009573632"/>
    <s v="EAUXB"/>
    <s v="3"/>
    <d v="2024-11-06T00:00:00"/>
    <s v="5110353225"/>
  </r>
  <r>
    <x v="2"/>
    <d v="2024-11-12T00:00:00"/>
    <x v="10"/>
    <s v="6715000"/>
    <s v="Fire prevent serv."/>
    <s v="MW09C21028"/>
    <s v="Segurança Industrial"/>
    <n v="458.38"/>
    <s v="Valor Fire prevent serv  ref  Docto Nr  44448"/>
    <x v="10"/>
    <s v="660917030"/>
    <s v="4009573632"/>
    <s v="EAUXB"/>
    <s v="4"/>
    <d v="2024-11-06T00:00:00"/>
    <s v="5110353225"/>
  </r>
  <r>
    <x v="2"/>
    <d v="2024-11-27T00:00:00"/>
    <x v="10"/>
    <s v="6715000"/>
    <s v="Fire prevent serv."/>
    <s v="MW09C21028"/>
    <s v="Segurança Industrial"/>
    <n v="271.52"/>
    <s v="Valor Fire prevent serv  ref  Docto Nr  44638"/>
    <x v="10"/>
    <s v="660924736"/>
    <s v="4009608524"/>
    <s v="EAUVD"/>
    <s v="1"/>
    <d v="2024-11-22T00:00:00"/>
    <s v="5110418808"/>
  </r>
  <r>
    <x v="2"/>
    <d v="2024-11-27T00:00:00"/>
    <x v="10"/>
    <s v="6715000"/>
    <s v="Fire prevent serv."/>
    <s v="MW09C21028"/>
    <s v="Segurança Industrial"/>
    <n v="1570.65"/>
    <s v="Valor Fire prevent serv  ref  Docto Nr  44638"/>
    <x v="10"/>
    <s v="660924736"/>
    <s v="4009608524"/>
    <s v="EAUVD"/>
    <s v="2"/>
    <d v="2024-11-22T00:00:00"/>
    <s v="5110418808"/>
  </r>
  <r>
    <x v="2"/>
    <d v="2024-12-11T00:00:00"/>
    <x v="11"/>
    <s v="6715000"/>
    <s v="Fire prevent serv."/>
    <s v="MW09C21028"/>
    <s v="Segurança Industrial"/>
    <n v="11035"/>
    <s v="Valor Fire prevent serv  ref  Docto Nr  44776"/>
    <x v="10"/>
    <s v="660928912"/>
    <s v="4009638821"/>
    <s v="EAUVD"/>
    <s v="1"/>
    <d v="2024-12-05T00:00:00"/>
    <s v="5110467366"/>
  </r>
  <r>
    <x v="2"/>
    <d v="2024-12-11T00:00:00"/>
    <x v="11"/>
    <s v="6715000"/>
    <s v="Fire prevent serv."/>
    <s v="MW09C21028"/>
    <s v="Segurança Industrial"/>
    <n v="3517.36"/>
    <s v="Valor Fire prevent serv  ref  Docto Nr  44793"/>
    <x v="10"/>
    <s v="660931437"/>
    <s v="4009639703"/>
    <s v="EAUVD"/>
    <s v="1"/>
    <d v="2024-12-06T00:00:00"/>
    <s v="5110469639"/>
  </r>
  <r>
    <x v="2"/>
    <d v="2024-12-11T00:00:00"/>
    <x v="11"/>
    <s v="6715000"/>
    <s v="Fire prevent serv."/>
    <s v="MW09C21028"/>
    <s v="Segurança Industrial"/>
    <n v="147.69"/>
    <s v="Valor Fire prevent serv  ref  Docto Nr  44793"/>
    <x v="10"/>
    <s v="660931437"/>
    <s v="4009639703"/>
    <s v="EAUVD"/>
    <s v="2"/>
    <d v="2024-12-06T00:00:00"/>
    <s v="5110469639"/>
  </r>
  <r>
    <x v="2"/>
    <d v="2024-12-11T00:00:00"/>
    <x v="11"/>
    <s v="6715000"/>
    <s v="Fire prevent serv."/>
    <s v="MW09C21028"/>
    <s v="Segurança Industrial"/>
    <n v="1833.48"/>
    <s v="Valor Fire prevent serv  ref  Docto Nr  44793"/>
    <x v="10"/>
    <s v="660931437"/>
    <s v="4009639703"/>
    <s v="EAUVD"/>
    <s v="3"/>
    <d v="2024-12-06T00:00:00"/>
    <s v="5110469639"/>
  </r>
  <r>
    <x v="2"/>
    <d v="2024-12-11T00:00:00"/>
    <x v="11"/>
    <s v="6715000"/>
    <s v="Fire prevent serv."/>
    <s v="MW09C21028"/>
    <s v="Segurança Industrial"/>
    <n v="183.36"/>
    <s v="Valor Fire prevent serv  ref  Docto Nr  44793"/>
    <x v="10"/>
    <s v="660931437"/>
    <s v="4009639703"/>
    <s v="EAUVD"/>
    <s v="4"/>
    <d v="2024-12-06T00:00:00"/>
    <s v="5110469639"/>
  </r>
  <r>
    <x v="2"/>
    <d v="2024-12-11T00:00:00"/>
    <x v="11"/>
    <s v="6715000"/>
    <s v="Fire prevent serv."/>
    <s v="MW09C21028"/>
    <s v="Segurança Industrial"/>
    <n v="2889.26"/>
    <s v="Valor Fire prevent serv  ref  Docto Nr  44792"/>
    <x v="10"/>
    <s v="660931435"/>
    <s v="4009639911"/>
    <s v="EAUVD"/>
    <s v="1"/>
    <d v="2024-12-06T00:00:00"/>
    <s v="5110469645"/>
  </r>
  <r>
    <x v="3"/>
    <d v="2025-01-06T00:00:00"/>
    <x v="0"/>
    <s v="6715000"/>
    <s v="Fire prevent serv."/>
    <s v="MW09C21028"/>
    <s v="Segurança Industrial"/>
    <n v="11035"/>
    <s v="Valor Fire prevent serv  ref  Docto Nr  44979"/>
    <x v="10"/>
    <s v="660939337"/>
    <s v="4009661206"/>
    <s v="EAUVD"/>
    <s v="1"/>
    <d v="2025-01-06T00:00:00"/>
    <s v="5110545115"/>
  </r>
  <r>
    <x v="3"/>
    <d v="2025-02-10T00:00:00"/>
    <x v="1"/>
    <s v="6715000"/>
    <s v="Fire prevent serv."/>
    <s v="MW09C21028"/>
    <s v="Segurança Industrial"/>
    <n v="59.41"/>
    <s v="Valor Fire prevent serv  ref  Docto Nr  45340"/>
    <x v="10"/>
    <s v="660956674"/>
    <s v="4009699802"/>
    <s v="EAUXB"/>
    <s v="1"/>
    <d v="2025-02-06T00:00:00"/>
    <s v="5110684338"/>
  </r>
  <r>
    <x v="3"/>
    <d v="2025-02-10T00:00:00"/>
    <x v="1"/>
    <s v="6715000"/>
    <s v="Fire prevent serv."/>
    <s v="MW09C21028"/>
    <s v="Segurança Industrial"/>
    <n v="3077.69"/>
    <s v="Valor Fire prevent serv  ref  Docto Nr  45340"/>
    <x v="10"/>
    <s v="660956674"/>
    <s v="4009699802"/>
    <s v="EAUXB"/>
    <s v="2"/>
    <d v="2025-02-06T00:00:00"/>
    <s v="5110684338"/>
  </r>
  <r>
    <x v="3"/>
    <d v="2025-02-10T00:00:00"/>
    <x v="1"/>
    <s v="6715000"/>
    <s v="Fire prevent serv."/>
    <s v="MW09C21028"/>
    <s v="Segurança Industrial"/>
    <n v="855.68"/>
    <s v="Valor Fire prevent serv  ref  Docto Nr  45340"/>
    <x v="10"/>
    <s v="660956674"/>
    <s v="4009699802"/>
    <s v="EAUXB"/>
    <s v="3"/>
    <d v="2025-02-06T00:00:00"/>
    <s v="5110684338"/>
  </r>
  <r>
    <x v="3"/>
    <d v="2025-02-10T00:00:00"/>
    <x v="1"/>
    <s v="6715000"/>
    <s v="Fire prevent serv."/>
    <s v="MW09C21028"/>
    <s v="Segurança Industrial"/>
    <n v="3666.96"/>
    <s v="Valor Fire prevent serv  ref  Docto Nr  45340"/>
    <x v="10"/>
    <s v="660956674"/>
    <s v="4009699802"/>
    <s v="EAUXB"/>
    <s v="4"/>
    <d v="2025-02-06T00:00:00"/>
    <s v="5110684338"/>
  </r>
  <r>
    <x v="3"/>
    <d v="2025-02-10T00:00:00"/>
    <x v="1"/>
    <s v="6715000"/>
    <s v="Fire prevent serv."/>
    <s v="MW09C21028"/>
    <s v="Segurança Industrial"/>
    <n v="590.76"/>
    <s v="Valor Fire prevent serv  ref  Docto Nr  45340"/>
    <x v="10"/>
    <s v="660956674"/>
    <s v="4009699802"/>
    <s v="EAUXB"/>
    <s v="5"/>
    <d v="2025-02-06T00:00:00"/>
    <s v="5110684338"/>
  </r>
  <r>
    <x v="3"/>
    <d v="2025-02-10T00:00:00"/>
    <x v="1"/>
    <s v="6715000"/>
    <s v="Fire prevent serv."/>
    <s v="MW09C21028"/>
    <s v="Segurança Industrial"/>
    <n v="11.88"/>
    <s v="Valor Fire prevent serv  ref  Docto Nr  45340"/>
    <x v="10"/>
    <s v="660956674"/>
    <s v="4009699802"/>
    <s v="EAUXB"/>
    <s v="6"/>
    <d v="2025-02-06T00:00:00"/>
    <s v="5110684338"/>
  </r>
  <r>
    <x v="3"/>
    <d v="2025-02-10T00:00:00"/>
    <x v="1"/>
    <s v="6715000"/>
    <s v="Fire prevent serv."/>
    <s v="MW09C21028"/>
    <s v="Segurança Industrial"/>
    <n v="537"/>
    <s v="Valor Fire prevent serv  ref  Docto Nr  45340"/>
    <x v="10"/>
    <s v="660956674"/>
    <s v="4009699802"/>
    <s v="EAUXB"/>
    <s v="7"/>
    <d v="2025-02-06T00:00:00"/>
    <s v="5110684338"/>
  </r>
  <r>
    <x v="3"/>
    <d v="2025-03-28T00:00:00"/>
    <x v="2"/>
    <s v="6715000"/>
    <s v="Fire prevent serv."/>
    <s v="MW09C21028"/>
    <s v="Segurança Industrial"/>
    <n v="11035"/>
    <s v="Valor Fire prevent serv  ref  Docto Nr  45558"/>
    <x v="10"/>
    <s v="660969341"/>
    <s v="4009745670"/>
    <s v="EAUXB"/>
    <s v="1"/>
    <n v="45727"/>
    <s v="5110861335"/>
  </r>
  <r>
    <x v="3"/>
    <d v="2025-04-09T00:00:00"/>
    <x v="3"/>
    <s v="6715000"/>
    <s v="Fire prevent serv."/>
    <s v="MW09C21028"/>
    <s v="Segurança Industrial"/>
    <n v="509.1"/>
    <s v="Valor Fire prevent serv  ref  Docto Nr  45892"/>
    <x v="10"/>
    <s v="660984718"/>
    <s v="4009760609"/>
    <s v="GNEDA"/>
    <s v="1"/>
    <n v="45754"/>
    <s v="5110907244"/>
  </r>
  <r>
    <x v="3"/>
    <d v="2025-04-09T00:00:00"/>
    <x v="3"/>
    <s v="6715000"/>
    <s v="Fire prevent serv."/>
    <s v="MW09C21028"/>
    <s v="Segurança Industrial"/>
    <n v="127.35"/>
    <s v="Valor Fire prevent serv  ref  Docto Nr  45892"/>
    <x v="10"/>
    <s v="660984718"/>
    <s v="4009760609"/>
    <s v="GNEDA"/>
    <s v="2"/>
    <n v="45754"/>
    <s v="5110907244"/>
  </r>
  <r>
    <x v="3"/>
    <d v="2025-04-14T00:00:00"/>
    <x v="3"/>
    <s v="6715000"/>
    <s v="Fire prevent serv."/>
    <s v="MW09C21028"/>
    <s v="Segurança Industrial"/>
    <n v="11035"/>
    <s v="Valor Fire prevent serv  ref  Docto Nr  45977"/>
    <x v="10"/>
    <s v="660981799"/>
    <s v="4009766698"/>
    <s v="EAUXB"/>
    <s v="1"/>
    <n v="45758"/>
    <s v="5110924053"/>
  </r>
  <r>
    <x v="3"/>
    <d v="2025-04-14T00:00:00"/>
    <x v="3"/>
    <s v="6715000"/>
    <s v="Fire prevent serv."/>
    <s v="MW09C21028"/>
    <s v="Segurança Industrial"/>
    <n v="2198.35"/>
    <s v="Valor Fire prevent serv  ref  Docto Nr  45891"/>
    <x v="10"/>
    <s v="660984716"/>
    <s v="4009766957"/>
    <s v="GPDUA"/>
    <s v="1"/>
    <n v="45754"/>
    <s v="5110924311"/>
  </r>
  <r>
    <x v="3"/>
    <d v="2025-04-14T00:00:00"/>
    <x v="3"/>
    <s v="6715000"/>
    <s v="Fire prevent serv."/>
    <s v="MW09C21028"/>
    <s v="Segurança Industrial"/>
    <n v="393.84"/>
    <s v="Valor Fire prevent serv  ref  Docto Nr  45891"/>
    <x v="10"/>
    <s v="660984716"/>
    <s v="4009766957"/>
    <s v="GPDUA"/>
    <s v="2"/>
    <n v="45754"/>
    <s v="5110924311"/>
  </r>
  <r>
    <x v="3"/>
    <d v="2025-04-14T00:00:00"/>
    <x v="3"/>
    <s v="6715000"/>
    <s v="Fire prevent serv."/>
    <s v="MW09C21028"/>
    <s v="Segurança Industrial"/>
    <n v="358"/>
    <s v="Valor Fire prevent serv  ref  Docto Nr  45891"/>
    <x v="10"/>
    <s v="660984716"/>
    <s v="4009766957"/>
    <s v="GPDUA"/>
    <s v="3"/>
    <n v="45754"/>
    <s v="5110924311"/>
  </r>
  <r>
    <x v="3"/>
    <d v="2025-04-14T00:00:00"/>
    <x v="3"/>
    <s v="6715000"/>
    <s v="Fire prevent serv."/>
    <s v="MW09C21028"/>
    <s v="Segurança Industrial"/>
    <n v="458.38"/>
    <s v="Valor Fire prevent serv  ref  Docto Nr  45891"/>
    <x v="10"/>
    <s v="660984716"/>
    <s v="4009766957"/>
    <s v="GPDUA"/>
    <s v="4"/>
    <n v="45754"/>
    <s v="5110924311"/>
  </r>
  <r>
    <x v="3"/>
    <d v="2025-04-14T00:00:00"/>
    <x v="3"/>
    <s v="6715000"/>
    <s v="Fire prevent serv."/>
    <s v="MW09C21028"/>
    <s v="Segurança Industrial"/>
    <n v="733.44"/>
    <s v="Valor Fire prevent serv  ref  Docto Nr  45891"/>
    <x v="10"/>
    <s v="660984716"/>
    <s v="4009766957"/>
    <s v="GPDUA"/>
    <s v="5"/>
    <n v="45754"/>
    <s v="5110924311"/>
  </r>
  <r>
    <x v="3"/>
    <d v="2025-04-14T00:00:00"/>
    <x v="3"/>
    <s v="6715000"/>
    <s v="Fire prevent serv."/>
    <s v="MW09C21028"/>
    <s v="Segurança Industrial"/>
    <n v="1935.34"/>
    <s v="Valor Fire prevent serv  ref  Docto Nr  45891"/>
    <x v="10"/>
    <s v="660984716"/>
    <s v="4009766957"/>
    <s v="GPDUA"/>
    <s v="6"/>
    <n v="45754"/>
    <s v="5110924311"/>
  </r>
  <r>
    <x v="3"/>
    <d v="2025-04-25T00:00:00"/>
    <x v="3"/>
    <s v="6320000"/>
    <s v="Supplies"/>
    <s v="MW09C21028"/>
    <s v="Segurança Industrial"/>
    <n v="1000"/>
    <s v="Valor do documento Nr  30308 1"/>
    <x v="10"/>
    <s v=""/>
    <s v="4009772822"/>
    <s v="GNEPP"/>
    <s v="1"/>
    <n v="45763"/>
    <s v="4610010802"/>
  </r>
  <r>
    <x v="3"/>
    <d v="2025-05-16T00:00:00"/>
    <x v="4"/>
    <s v="6715000"/>
    <s v="Fire prevent serv."/>
    <s v="MW09C21028"/>
    <s v="Segurança Industrial"/>
    <n v="11035"/>
    <s v="Valor Fire prevent serv  ref  Docto Nr  46291"/>
    <x v="10"/>
    <s v="660997458"/>
    <s v="4009791360"/>
    <s v="GNEDA"/>
    <s v="1"/>
    <d v="2025-05-14T00:00:00"/>
    <s v="5111021921"/>
  </r>
  <r>
    <x v="3"/>
    <d v="2025-05-27T00:00:00"/>
    <x v="4"/>
    <s v="6715000"/>
    <s v="Fire prevent serv."/>
    <s v="MW09C21028"/>
    <s v="Segurança Industrial"/>
    <n v="9900"/>
    <s v="Valor Fire prevent serv  ref  Docto Nr  45273"/>
    <x v="10"/>
    <s v=""/>
    <s v="4009799019"/>
    <s v="GNEDA"/>
    <s v="1"/>
    <d v="2025-02-03T00:00:00"/>
    <s v="4640005020"/>
  </r>
  <r>
    <x v="3"/>
    <d v="2025-06-03T00:00:00"/>
    <x v="5"/>
    <s v="6715000"/>
    <s v="Fire prevent serv."/>
    <s v="MW09C21028"/>
    <s v="Segurança Industrial"/>
    <n v="11035"/>
    <s v="Valor Fire prevent serv  ref  Docto Nr  46405"/>
    <x v="10"/>
    <s v="661002861"/>
    <s v="4009805853"/>
    <s v="EFXNJ"/>
    <s v="1"/>
    <d v="2025-06-02T00:00:00"/>
    <s v="5111072109"/>
  </r>
  <r>
    <x v="3"/>
    <d v="2025-07-04T00:00:00"/>
    <x v="6"/>
    <s v="6715000"/>
    <s v="Fire prevent serv."/>
    <s v="MW09C21028"/>
    <s v="Segurança Industrial"/>
    <n v="11035"/>
    <s v="Valor Fire prevent serv  ref  Docto Nr  46760"/>
    <x v="10"/>
    <s v="661021968"/>
    <s v="4009846569"/>
    <s v="EAUXB"/>
    <s v="1"/>
    <n v="45840"/>
    <s v="5111161483"/>
  </r>
  <r>
    <x v="3"/>
    <d v="2025-07-04T00:00:00"/>
    <x v="6"/>
    <s v="6715000"/>
    <s v="Fire prevent serv."/>
    <s v="MW09C21028"/>
    <s v="Segurança Industrial"/>
    <n v="237.58"/>
    <s v="Valor Fire prevent serv  ref  Docto Nr  46775"/>
    <x v="10"/>
    <s v="661022135"/>
    <s v="4009846788"/>
    <s v="GNEDA"/>
    <s v="1"/>
    <n v="45840"/>
    <s v="5111161331"/>
  </r>
  <r>
    <x v="3"/>
    <d v="2025-07-04T00:00:00"/>
    <x v="6"/>
    <s v="6715000"/>
    <s v="Fire prevent serv."/>
    <s v="MW09C21028"/>
    <s v="Segurança Industrial"/>
    <n v="3226.2"/>
    <s v="Valor Fire prevent serv  ref  Docto Nr  46775"/>
    <x v="10"/>
    <s v="661022135"/>
    <s v="4009846788"/>
    <s v="GNEDA"/>
    <s v="2"/>
    <n v="45840"/>
    <s v="5111161331"/>
  </r>
  <r>
    <x v="3"/>
    <d v="2025-07-04T00:00:00"/>
    <x v="6"/>
    <s v="6715000"/>
    <s v="Fire prevent serv."/>
    <s v="MW09C21028"/>
    <s v="Segurança Industrial"/>
    <n v="3266.12"/>
    <s v="Valor Fire prevent serv  ref  Docto Nr  46774"/>
    <x v="10"/>
    <s v="661022134"/>
    <s v="4009846790"/>
    <s v="GNEDA"/>
    <s v="1"/>
    <n v="45840"/>
    <s v="5111161332"/>
  </r>
  <r>
    <x v="3"/>
    <d v="2025-07-04T00:00:00"/>
    <x v="6"/>
    <s v="6715000"/>
    <s v="Fire prevent serv."/>
    <s v="MW09C21028"/>
    <s v="Segurança Industrial"/>
    <n v="1161.28"/>
    <s v="Valor Fire prevent serv  ref  Docto Nr  46774"/>
    <x v="10"/>
    <s v="661022134"/>
    <s v="4009846790"/>
    <s v="GNEDA"/>
    <s v="2"/>
    <n v="45840"/>
    <s v="5111161332"/>
  </r>
  <r>
    <x v="3"/>
    <d v="2025-07-04T00:00:00"/>
    <x v="6"/>
    <s v="6715000"/>
    <s v="Fire prevent serv."/>
    <s v="MW09C21028"/>
    <s v="Segurança Industrial"/>
    <n v="4074.4"/>
    <s v="Valor Fire prevent serv  ref  Docto Nr  46774"/>
    <x v="10"/>
    <s v="661022134"/>
    <s v="4009846790"/>
    <s v="GNEDA"/>
    <s v="3"/>
    <n v="45840"/>
    <s v="5111161332"/>
  </r>
  <r>
    <x v="3"/>
    <d v="2025-07-04T00:00:00"/>
    <x v="6"/>
    <s v="6715000"/>
    <s v="Fire prevent serv."/>
    <s v="MW09C21028"/>
    <s v="Segurança Industrial"/>
    <n v="458.38"/>
    <s v="Valor Fire prevent serv  ref  Docto Nr  46774"/>
    <x v="10"/>
    <s v="661022134"/>
    <s v="4009846790"/>
    <s v="GNEDA"/>
    <s v="4"/>
    <n v="45840"/>
    <s v="5111161332"/>
  </r>
  <r>
    <x v="3"/>
    <d v="2025-07-04T00:00:00"/>
    <x v="6"/>
    <s v="6715000"/>
    <s v="Fire prevent serv."/>
    <s v="MW09C21028"/>
    <s v="Segurança Industrial"/>
    <n v="590.76"/>
    <s v="Valor Fire prevent serv  ref  Docto Nr  46774"/>
    <x v="10"/>
    <s v="661022134"/>
    <s v="4009846790"/>
    <s v="GNEDA"/>
    <s v="5"/>
    <n v="45840"/>
    <s v="5111161332"/>
  </r>
  <r>
    <x v="3"/>
    <d v="2025-07-04T00:00:00"/>
    <x v="6"/>
    <s v="6715000"/>
    <s v="Fire prevent serv."/>
    <s v="MW09C21028"/>
    <s v="Segurança Industrial"/>
    <n v="179"/>
    <s v="Valor Fire prevent serv  ref  Docto Nr  46774"/>
    <x v="10"/>
    <s v="661022134"/>
    <s v="4009846790"/>
    <s v="GNEDA"/>
    <s v="6"/>
    <n v="45840"/>
    <s v="5111161332"/>
  </r>
  <r>
    <x v="3"/>
    <d v="2025-07-04T00:00:00"/>
    <x v="6"/>
    <s v="6715000"/>
    <s v="Fire prevent serv."/>
    <s v="MW09C21028"/>
    <s v="Segurança Industrial"/>
    <n v="2198.35"/>
    <s v="Valor Fire prevent serv  ref  Docto Nr  46776"/>
    <x v="10"/>
    <s v="661022166"/>
    <s v="4009846792"/>
    <s v="GNEDA"/>
    <s v="1"/>
    <n v="45840"/>
    <s v="5111161334"/>
  </r>
  <r>
    <x v="3"/>
    <d v="2025-07-04T00:00:00"/>
    <x v="6"/>
    <s v="6715000"/>
    <s v="Fire prevent serv."/>
    <s v="MW09C21028"/>
    <s v="Segurança Industrial"/>
    <n v="977.92"/>
    <s v="Valor Fire prevent serv  ref  Docto Nr  46776"/>
    <x v="10"/>
    <s v="661022166"/>
    <s v="4009846792"/>
    <s v="GNEDA"/>
    <s v="2"/>
    <n v="45840"/>
    <s v="5111161334"/>
  </r>
  <r>
    <x v="3"/>
    <d v="2025-07-04T00:00:00"/>
    <x v="6"/>
    <s v="6715000"/>
    <s v="Fire prevent serv."/>
    <s v="MW09C21028"/>
    <s v="Segurança Industrial"/>
    <n v="1935.34"/>
    <s v="Valor Fire prevent serv  ref  Docto Nr  46776"/>
    <x v="10"/>
    <s v="661022166"/>
    <s v="4009846792"/>
    <s v="GNEDA"/>
    <s v="3"/>
    <n v="45840"/>
    <s v="5111161334"/>
  </r>
  <r>
    <x v="3"/>
    <d v="2025-07-04T00:00:00"/>
    <x v="6"/>
    <s v="6715000"/>
    <s v="Fire prevent serv."/>
    <s v="MW09C21028"/>
    <s v="Segurança Industrial"/>
    <n v="541.53"/>
    <s v="Valor Fire prevent serv  ref  Docto Nr  46776"/>
    <x v="10"/>
    <s v="661022166"/>
    <s v="4009846792"/>
    <s v="GNEDA"/>
    <s v="4"/>
    <n v="45840"/>
    <s v="5111161334"/>
  </r>
  <r>
    <x v="3"/>
    <d v="2025-07-04T00:00:00"/>
    <x v="6"/>
    <s v="6715000"/>
    <s v="Fire prevent serv."/>
    <s v="MW09C21028"/>
    <s v="Segurança Industrial"/>
    <n v="80"/>
    <s v="Valor Fire prevent serv  ref  Docto Nr  46776"/>
    <x v="10"/>
    <s v="661022166"/>
    <s v="4009846792"/>
    <s v="GNEDA"/>
    <s v="5"/>
    <n v="45840"/>
    <s v="5111161334"/>
  </r>
  <r>
    <x v="3"/>
    <d v="2025-07-04T00:00:00"/>
    <x v="6"/>
    <s v="6715000"/>
    <s v="Fire prevent serv."/>
    <s v="MW09C21028"/>
    <s v="Segurança Industrial"/>
    <n v="85"/>
    <s v="Valor Fire prevent serv  ref  Docto Nr  46776"/>
    <x v="10"/>
    <s v="661022166"/>
    <s v="4009846792"/>
    <s v="GNEDA"/>
    <s v="6"/>
    <n v="45840"/>
    <s v="5111161334"/>
  </r>
  <r>
    <x v="3"/>
    <d v="2025-07-05T00:00:00"/>
    <x v="6"/>
    <s v="6715000"/>
    <s v="Fire prevent serv."/>
    <s v="MW09C21028"/>
    <s v="Segurança Industrial"/>
    <n v="3183.75"/>
    <s v="Valor Fire prevent serv  ref  Docto Nr  46779"/>
    <x v="10"/>
    <s v="661022167"/>
    <s v="4009847211"/>
    <s v="GNEDA"/>
    <s v="1"/>
    <n v="45840"/>
    <s v="5111161744"/>
  </r>
  <r>
    <x v="3"/>
    <d v="2025-07-11T00:00:00"/>
    <x v="6"/>
    <s v="6715000"/>
    <s v="Fire prevent serv."/>
    <s v="MW09C21028"/>
    <s v="Segurança Industrial"/>
    <n v="11035"/>
    <s v="Valor Fire prevent serv  ref  Docto Nr  45301"/>
    <x v="10"/>
    <s v="660954624"/>
    <s v="4009859014"/>
    <s v="GNEDA"/>
    <s v="1"/>
    <n v="45692"/>
    <s v="5111178003"/>
  </r>
  <r>
    <x v="3"/>
    <d v="2025-08-08T00:00:00"/>
    <x v="7"/>
    <s v="6715000"/>
    <s v="Fire prevent serv."/>
    <s v="MW09C21028"/>
    <s v="Segurança Industrial"/>
    <n v="11035"/>
    <s v="Valor Fire prevent serv  ref  Docto Nr  47066"/>
    <x v="10"/>
    <s v="661036150"/>
    <s v="4009909378"/>
    <s v="GNEDA"/>
    <s v="1"/>
    <n v="45874"/>
    <s v="5111253691"/>
  </r>
  <r>
    <x v="3"/>
    <d v="2025-08-18T00:00:00"/>
    <x v="7"/>
    <s v="6320000"/>
    <s v="Supplies"/>
    <s v="MW09C21028"/>
    <s v="Segurança Industrial"/>
    <n v="701.97"/>
    <s v="Valor do documento Nr  30448 1"/>
    <x v="10"/>
    <s v=""/>
    <s v="4009929180"/>
    <s v="GNEPP"/>
    <s v="1"/>
    <n v="45805"/>
    <s v="4610016204"/>
  </r>
  <r>
    <x v="3"/>
    <d v="2025-09-03T00:00:00"/>
    <x v="8"/>
    <s v="6715000"/>
    <s v="Fire prevent serv."/>
    <s v="MW09C21028"/>
    <s v="Segurança Industrial"/>
    <n v="11035"/>
    <s v="Valor Fire prevent serv  ref  Docto Nr  47339"/>
    <x v="10"/>
    <s v="661048969"/>
    <s v="4009950741"/>
    <s v="EFXNJ"/>
    <s v="1"/>
    <n v="45901"/>
    <s v="5111317221"/>
  </r>
  <r>
    <x v="3"/>
    <d v="2025-09-09T00:00:00"/>
    <x v="8"/>
    <s v="6280000"/>
    <s v="Technic. spare parts"/>
    <s v="MW09C21028"/>
    <s v="Segurança Industrial"/>
    <n v="20566.669999999998"/>
    <s v="Valor do documento Nr  30909 1"/>
    <x v="10"/>
    <s v=""/>
    <s v="4009960492"/>
    <s v="GOCMZ"/>
    <s v="1"/>
    <n v="45904"/>
    <s v="4610017939"/>
  </r>
  <r>
    <x v="3"/>
    <d v="2025-09-15T00:00:00"/>
    <x v="8"/>
    <s v="6715000"/>
    <s v="Fire prevent serv."/>
    <s v="MW09C21028"/>
    <s v="Segurança Industrial"/>
    <n v="59.41"/>
    <s v="Valor Fire prevent serv  ref  Docto Nr  47537"/>
    <x v="10"/>
    <s v="661054465"/>
    <s v="4009973305"/>
    <s v="GNEDA"/>
    <s v="1"/>
    <n v="45912"/>
    <s v="5111352062"/>
  </r>
  <r>
    <x v="3"/>
    <d v="2025-09-15T00:00:00"/>
    <x v="8"/>
    <s v="6715000"/>
    <s v="Fire prevent serv."/>
    <s v="MW09C21028"/>
    <s v="Segurança Industrial"/>
    <n v="3266.12"/>
    <s v="Valor Fire prevent serv  ref  Docto Nr  47537"/>
    <x v="10"/>
    <s v="661054465"/>
    <s v="4009973305"/>
    <s v="GNEDA"/>
    <s v="2"/>
    <n v="45912"/>
    <s v="5111352062"/>
  </r>
  <r>
    <x v="3"/>
    <d v="2025-09-15T00:00:00"/>
    <x v="8"/>
    <s v="6715000"/>
    <s v="Fire prevent serv."/>
    <s v="MW09C21028"/>
    <s v="Segurança Industrial"/>
    <n v="916.76"/>
    <s v="Valor Fire prevent serv  ref  Docto Nr  47537"/>
    <x v="10"/>
    <s v="661054465"/>
    <s v="4009973305"/>
    <s v="GNEDA"/>
    <s v="3"/>
    <n v="45912"/>
    <s v="5111352062"/>
  </r>
  <r>
    <x v="3"/>
    <d v="2025-09-15T00:00:00"/>
    <x v="8"/>
    <s v="6715000"/>
    <s v="Fire prevent serv."/>
    <s v="MW09C21028"/>
    <s v="Segurança Industrial"/>
    <n v="590.76"/>
    <s v="Valor Fire prevent serv  ref  Docto Nr  47537"/>
    <x v="10"/>
    <s v="661054465"/>
    <s v="4009973305"/>
    <s v="GNEDA"/>
    <s v="4"/>
    <n v="45912"/>
    <s v="5111352062"/>
  </r>
  <r>
    <x v="3"/>
    <d v="2025-09-15T00:00:00"/>
    <x v="8"/>
    <s v="6715000"/>
    <s v="Fire prevent serv."/>
    <s v="MW09C21028"/>
    <s v="Segurança Industrial"/>
    <n v="179"/>
    <s v="Valor Fire prevent serv  ref  Docto Nr  47537"/>
    <x v="10"/>
    <s v="661054465"/>
    <s v="4009973305"/>
    <s v="GNEDA"/>
    <s v="5"/>
    <n v="45912"/>
    <s v="5111352062"/>
  </r>
  <r>
    <x v="3"/>
    <d v="2025-09-15T00:00:00"/>
    <x v="8"/>
    <s v="6715000"/>
    <s v="Fire prevent serv."/>
    <s v="MW09C21028"/>
    <s v="Segurança Industrial"/>
    <n v="475.16"/>
    <s v="Valor Fire prevent serv  ref  Docto Nr  47536"/>
    <x v="10"/>
    <s v="661054450"/>
    <s v="4009973306"/>
    <s v="GNEDA"/>
    <s v="1"/>
    <n v="45912"/>
    <s v="5111352063"/>
  </r>
  <r>
    <x v="3"/>
    <d v="2025-09-15T00:00:00"/>
    <x v="8"/>
    <s v="6715000"/>
    <s v="Fire prevent serv."/>
    <s v="MW09C21028"/>
    <s v="Segurança Industrial"/>
    <n v="3183.75"/>
    <s v="Valor Fire prevent serv  ref  Docto Nr  47536"/>
    <x v="10"/>
    <s v="661054450"/>
    <s v="4009973306"/>
    <s v="GNEDA"/>
    <s v="2"/>
    <n v="45912"/>
    <s v="5111352063"/>
  </r>
  <r>
    <x v="3"/>
    <d v="2025-09-15T00:00:00"/>
    <x v="8"/>
    <s v="6715000"/>
    <s v="Fire prevent serv."/>
    <s v="MW09C21028"/>
    <s v="Segurança Industrial"/>
    <n v="54.33"/>
    <s v="Valor Fire prevent serv  ref  Docto Nr  47535"/>
    <x v="10"/>
    <s v="661054477"/>
    <s v="4009973307"/>
    <s v="GNEDA"/>
    <s v="1"/>
    <n v="45912"/>
    <s v="5111352064"/>
  </r>
  <r>
    <x v="3"/>
    <d v="2025-09-15T00:00:00"/>
    <x v="8"/>
    <s v="6715000"/>
    <s v="Fire prevent serv."/>
    <s v="MW09C21028"/>
    <s v="Segurança Industrial"/>
    <n v="672.32"/>
    <s v="Valor Fire prevent serv  ref  Docto Nr  47535"/>
    <x v="10"/>
    <s v="661054477"/>
    <s v="4009973307"/>
    <s v="GNEDA"/>
    <s v="2"/>
    <n v="45912"/>
    <s v="5111352064"/>
  </r>
  <r>
    <x v="3"/>
    <d v="2025-09-15T00:00:00"/>
    <x v="8"/>
    <s v="6715000"/>
    <s v="Fire prevent serv."/>
    <s v="MW09C21028"/>
    <s v="Segurança Industrial"/>
    <n v="6315.32"/>
    <s v="Valor Fire prevent serv  ref  Docto Nr  47535"/>
    <x v="10"/>
    <s v="661054477"/>
    <s v="4009973307"/>
    <s v="GNEDA"/>
    <s v="3"/>
    <n v="45912"/>
    <s v="5111352064"/>
  </r>
  <r>
    <x v="3"/>
    <n v="45939"/>
    <x v="9"/>
    <s v="6715000"/>
    <s v="Fire prevent serv."/>
    <s v="MW09C21028"/>
    <s v="Segurança Industrial"/>
    <n v="11035"/>
    <s v="Valor Fire prevent serv  ref  Docto Nr  47716"/>
    <x v="10"/>
    <s v="661063625"/>
    <s v="4010016124"/>
    <s v="GNEDA"/>
    <s v="1"/>
    <n v="45931"/>
    <s v="5111435444"/>
  </r>
  <r>
    <x v="4"/>
    <d v="2026-01-16T00:00:00"/>
    <x v="0"/>
    <s v="6200000"/>
    <s v="Maint &amp; Leg/Co.Compl"/>
    <s v="MW09C21028"/>
    <s v="Segurança Industrial"/>
    <n v="441.22"/>
    <s v="Valor Maint &amp; Leg Co Compl ref  Docto Nr  48641"/>
    <x v="10"/>
    <s v="661074132"/>
    <s v="4010151086"/>
    <s v="YWEGT"/>
    <s v="1"/>
    <d v="2026-01-13T00:00:00"/>
    <s v="5111751576"/>
  </r>
  <r>
    <x v="4"/>
    <d v="2026-01-16T00:00:00"/>
    <x v="0"/>
    <s v="6200000"/>
    <s v="Maint &amp; Leg/Co.Compl"/>
    <s v="MW09C21028"/>
    <s v="Segurança Industrial"/>
    <n v="3438.45"/>
    <s v="Valor Maint &amp; Leg Co Compl ref  Docto Nr  48641"/>
    <x v="10"/>
    <s v="661074132"/>
    <s v="4010151086"/>
    <s v="YWEGT"/>
    <s v="2"/>
    <d v="2026-01-13T00:00:00"/>
    <s v="5111751576"/>
  </r>
  <r>
    <x v="4"/>
    <d v="2026-01-19T00:00:00"/>
    <x v="0"/>
    <s v="6715000"/>
    <s v="Fire prevent serv."/>
    <s v="MW09C21028"/>
    <s v="Segurança Industrial"/>
    <n v="3140.5"/>
    <s v="Valor Fire prevent serv  ref  Docto Nr  48663"/>
    <x v="10"/>
    <s v="661104534"/>
    <s v="4010153900"/>
    <s v="GNEDA"/>
    <s v="1"/>
    <d v="2026-01-15T00:00:00"/>
    <s v="5111758623"/>
  </r>
  <r>
    <x v="4"/>
    <d v="2026-01-19T00:00:00"/>
    <x v="0"/>
    <s v="6715000"/>
    <s v="Fire prevent serv."/>
    <s v="MW09C21028"/>
    <s v="Segurança Industrial"/>
    <n v="1935.34"/>
    <s v="Valor Fire prevent serv  ref  Docto Nr  48663"/>
    <x v="10"/>
    <s v="661104534"/>
    <s v="4010153900"/>
    <s v="GNEDA"/>
    <s v="2"/>
    <d v="2026-01-15T00:00:00"/>
    <s v="5111758623"/>
  </r>
  <r>
    <x v="4"/>
    <d v="2026-01-19T00:00:00"/>
    <x v="0"/>
    <s v="6715000"/>
    <s v="Fire prevent serv."/>
    <s v="MW09C21028"/>
    <s v="Segurança Industrial"/>
    <n v="541.53"/>
    <s v="Valor Fire prevent serv  ref  Docto Nr  48663"/>
    <x v="10"/>
    <s v="661104534"/>
    <s v="4010153900"/>
    <s v="GNEDA"/>
    <s v="3"/>
    <d v="2026-01-15T00:00:00"/>
    <s v="5111758623"/>
  </r>
  <r>
    <x v="4"/>
    <d v="2026-01-19T00:00:00"/>
    <x v="0"/>
    <s v="6715000"/>
    <s v="Fire prevent serv."/>
    <s v="MW09C21028"/>
    <s v="Segurança Industrial"/>
    <n v="11035"/>
    <s v="Valor Fire prevent serv  ref  Docto Nr  48662"/>
    <x v="10"/>
    <s v="661104507"/>
    <s v="4010153901"/>
    <s v="GNEDA"/>
    <s v="1"/>
    <d v="2026-01-15T00:00:00"/>
    <s v="5111758624"/>
  </r>
  <r>
    <x v="4"/>
    <d v="2026-01-19T00:00:00"/>
    <x v="0"/>
    <s v="6715000"/>
    <s v="Fire prevent serv."/>
    <s v="MW09C21028"/>
    <s v="Segurança Industrial"/>
    <n v="2122.5"/>
    <s v="Valor Fire prevent serv  ref  Docto Nr  48661"/>
    <x v="10"/>
    <s v="661104512"/>
    <s v="4010153907"/>
    <s v="GNEDA"/>
    <s v="1"/>
    <d v="2026-01-15T00:00:00"/>
    <s v="5111758626"/>
  </r>
  <r>
    <x v="4"/>
    <d v="2026-01-19T00:00:00"/>
    <x v="0"/>
    <s v="6715000"/>
    <s v="Fire prevent serv."/>
    <s v="MW09C21028"/>
    <s v="Segurança Industrial"/>
    <n v="3266.12"/>
    <s v="Valor Fire prevent serv  ref  Docto Nr  48660"/>
    <x v="10"/>
    <s v="661104531"/>
    <s v="4010153908"/>
    <s v="GNEDA"/>
    <s v="1"/>
    <d v="2026-01-15T00:00:00"/>
    <s v="5111758647"/>
  </r>
  <r>
    <x v="4"/>
    <d v="2026-01-19T00:00:00"/>
    <x v="0"/>
    <s v="6715000"/>
    <s v="Fire prevent serv."/>
    <s v="MW09C21028"/>
    <s v="Segurança Industrial"/>
    <n v="1222.32"/>
    <s v="Valor Fire prevent serv  ref  Docto Nr  48660"/>
    <x v="10"/>
    <s v="661104531"/>
    <s v="4010153908"/>
    <s v="GNEDA"/>
    <s v="2"/>
    <d v="2026-01-15T00:00:00"/>
    <s v="5111758647"/>
  </r>
  <r>
    <x v="4"/>
    <d v="2026-01-19T00:00:00"/>
    <x v="0"/>
    <s v="6715000"/>
    <s v="Fire prevent serv."/>
    <s v="MW09C21028"/>
    <s v="Segurança Industrial"/>
    <n v="458.38"/>
    <s v="Valor Fire prevent serv  ref  Docto Nr  48660"/>
    <x v="10"/>
    <s v="661104531"/>
    <s v="4010153908"/>
    <s v="GNEDA"/>
    <s v="3"/>
    <d v="2026-01-15T00:00:00"/>
    <s v="5111758647"/>
  </r>
  <r>
    <x v="4"/>
    <d v="2026-01-19T00:00:00"/>
    <x v="0"/>
    <s v="6715000"/>
    <s v="Fire prevent serv."/>
    <s v="MW09C21028"/>
    <s v="Segurança Industrial"/>
    <n v="196.92"/>
    <s v="Valor Fire prevent serv  ref  Docto Nr  48660"/>
    <x v="10"/>
    <s v="661104531"/>
    <s v="4010153908"/>
    <s v="GNEDA"/>
    <s v="4"/>
    <d v="2026-01-15T00:00:00"/>
    <s v="5111758647"/>
  </r>
  <r>
    <x v="4"/>
    <d v="2026-01-19T00:00:00"/>
    <x v="0"/>
    <s v="6200000"/>
    <s v="Maint &amp; Leg/Co.Compl"/>
    <s v="MW09C21028"/>
    <s v="Segurança Industrial"/>
    <n v="3141.3"/>
    <s v="Valor Maint &amp; Leg Co Compl ref  Docto Nr  48659"/>
    <x v="10"/>
    <s v="661074125"/>
    <s v="4010153909"/>
    <s v="GNEDA"/>
    <s v="1"/>
    <d v="2026-01-15T00:00:00"/>
    <s v="5111758649"/>
  </r>
  <r>
    <x v="4"/>
    <d v="2026-02-16T00:00:00"/>
    <x v="1"/>
    <s v="6715000"/>
    <s v="Fire prevent serv."/>
    <s v="MW09C21028"/>
    <s v="Segurança Industrial"/>
    <n v="849"/>
    <s v="Valor Fire prevent serv  ref  Docto Nr  48984"/>
    <x v="10"/>
    <s v="661118048"/>
    <s v="4010180818"/>
    <s v="YWEGT"/>
    <s v="1"/>
    <d v="2026-02-12T00:00:00"/>
    <s v="5111854042"/>
  </r>
  <r>
    <x v="4"/>
    <d v="2026-02-16T00:00:00"/>
    <x v="1"/>
    <s v="6715000"/>
    <s v="Fire prevent serv."/>
    <s v="MW09C21028"/>
    <s v="Segurança Industrial"/>
    <n v="2826.45"/>
    <s v="Valor Fire prevent serv  ref  Docto Nr  48985"/>
    <x v="10"/>
    <s v="661121402"/>
    <s v="4010180819"/>
    <s v="YWEGT"/>
    <s v="1"/>
    <d v="2026-02-12T00:00:00"/>
    <s v="5111854043"/>
  </r>
  <r>
    <x v="4"/>
    <d v="2026-02-16T00:00:00"/>
    <x v="1"/>
    <s v="6715000"/>
    <s v="Fire prevent serv."/>
    <s v="MW09C21028"/>
    <s v="Segurança Industrial"/>
    <n v="2750.22"/>
    <s v="Valor Fire prevent serv  ref  Docto Nr  48985"/>
    <x v="10"/>
    <s v="661121402"/>
    <s v="4010180819"/>
    <s v="YWEGT"/>
    <s v="2"/>
    <d v="2026-02-12T00:00:00"/>
    <s v="5111854043"/>
  </r>
  <r>
    <x v="4"/>
    <d v="2026-02-16T00:00:00"/>
    <x v="1"/>
    <s v="6715000"/>
    <s v="Fire prevent serv."/>
    <s v="MW09C21028"/>
    <s v="Segurança Industrial"/>
    <n v="21.6"/>
    <s v="Valor Fire prevent serv  ref  Docto Nr  48985"/>
    <x v="10"/>
    <s v="661121402"/>
    <s v="4010180819"/>
    <s v="YWEGT"/>
    <s v="3"/>
    <d v="2026-02-12T00:00:00"/>
    <s v="5111854043"/>
  </r>
  <r>
    <x v="4"/>
    <d v="2026-02-16T00:00:00"/>
    <x v="1"/>
    <s v="6715000"/>
    <s v="Fire prevent serv."/>
    <s v="MW09C21028"/>
    <s v="Segurança Industrial"/>
    <n v="147.69"/>
    <s v="Valor Fire prevent serv  ref  Docto Nr  48985"/>
    <x v="10"/>
    <s v="661121402"/>
    <s v="4010180819"/>
    <s v="YWEGT"/>
    <s v="4"/>
    <d v="2026-02-12T00:00:00"/>
    <s v="5111854043"/>
  </r>
  <r>
    <x v="4"/>
    <d v="2026-02-18T00:00:00"/>
    <x v="1"/>
    <s v="6200000"/>
    <s v="Maint &amp; Leg/Co.Compl"/>
    <s v="MW09C21028"/>
    <s v="Segurança Industrial"/>
    <n v="11035"/>
    <s v="Valor Maint &amp; Leg Co Compl ref  Docto Nr  48869"/>
    <x v="10"/>
    <s v="661116936"/>
    <s v="4010181397"/>
    <s v="EAUXB"/>
    <s v="1"/>
    <d v="2026-02-03T00:00:00"/>
    <s v="5111859665"/>
  </r>
  <r>
    <x v="4"/>
    <d v="2026-03-09T00:00:00"/>
    <x v="2"/>
    <s v="6715000"/>
    <s v="Fire prevent serv."/>
    <s v="MW09C21028"/>
    <s v="Segurança Industrial"/>
    <n v="11035"/>
    <s v="Valor Fire prevent serv  ref  Docto Nr  49102"/>
    <x v="10"/>
    <s v="661130129"/>
    <s v="4010203011"/>
    <s v="YWEGT"/>
    <s v="1"/>
    <d v="2026-03-03T00:00:00"/>
    <s v="5111931133"/>
  </r>
  <r>
    <x v="4"/>
    <d v="2026-04-15T00:00:00"/>
    <x v="3"/>
    <s v="6715000"/>
    <s v="Fire prevent serv."/>
    <s v="MW09C21028"/>
    <s v="Segurança Industrial"/>
    <n v="11035"/>
    <s v="Valor Fire prevent serv  ref  Docto Nr  49425"/>
    <x v="10"/>
    <s v="661146373"/>
    <s v="4010239107"/>
    <s v="EFXNJ"/>
    <s v="1"/>
    <d v="2026-04-07T00:00:00"/>
    <s v="5112060445"/>
  </r>
  <r>
    <x v="4"/>
    <d v="2026-04-15T00:00:00"/>
    <x v="3"/>
    <s v="6715000"/>
    <s v="Fire prevent serv."/>
    <s v="MW09C21028"/>
    <s v="Segurança Industrial"/>
    <n v="21704.2"/>
    <s v="Valor do documento Nr  000031403 001"/>
    <x v="10"/>
    <s v=""/>
    <s v="4010239740"/>
    <s v="GNEDC"/>
    <s v="1"/>
    <d v="2026-02-06T00:00:00"/>
    <s v="4610008055"/>
  </r>
  <r>
    <x v="4"/>
    <d v="2026-05-12T00:00:00"/>
    <x v="4"/>
    <s v="6715000"/>
    <s v="Fire prevent serv."/>
    <s v="MW09C21028"/>
    <s v="Segurança Industrial"/>
    <n v="3517.36"/>
    <s v="Valor Fire prevent serv  ref  Docto Nr  49623"/>
    <x v="10"/>
    <s v="661160393"/>
    <s v="4010267532"/>
    <s v="EAUXB"/>
    <s v="1"/>
    <d v="2026-05-04T00:00:00"/>
    <s v="5112137005"/>
  </r>
  <r>
    <x v="4"/>
    <d v="2026-05-12T00:00:00"/>
    <x v="4"/>
    <s v="6715000"/>
    <s v="Fire prevent serv."/>
    <s v="MW09C21028"/>
    <s v="Segurança Industrial"/>
    <n v="1100.1600000000001"/>
    <s v="Valor Fire prevent serv  ref  Docto Nr  49623"/>
    <x v="10"/>
    <s v="661160393"/>
    <s v="4010267532"/>
    <s v="EAUXB"/>
    <s v="2"/>
    <d v="2026-05-04T00:00:00"/>
    <s v="5112137005"/>
  </r>
  <r>
    <x v="4"/>
    <d v="2026-05-12T00:00:00"/>
    <x v="4"/>
    <s v="6715000"/>
    <s v="Fire prevent serv."/>
    <s v="MW09C21028"/>
    <s v="Segurança Industrial"/>
    <n v="5500.44"/>
    <s v="Valor Fire prevent serv  ref  Docto Nr  49623"/>
    <x v="10"/>
    <s v="661160393"/>
    <s v="4010267532"/>
    <s v="EAUXB"/>
    <s v="3"/>
    <d v="2026-05-04T00:00:00"/>
    <s v="5112137005"/>
  </r>
  <r>
    <x v="4"/>
    <d v="2026-05-12T00:00:00"/>
    <x v="4"/>
    <s v="6715000"/>
    <s v="Fire prevent serv."/>
    <s v="MW09C21028"/>
    <s v="Segurança Industrial"/>
    <n v="738.45"/>
    <s v="Valor Fire prevent serv  ref  Docto Nr  49623"/>
    <x v="10"/>
    <s v="661160393"/>
    <s v="4010267532"/>
    <s v="EAUXB"/>
    <s v="4"/>
    <d v="2026-05-04T00:00:00"/>
    <s v="5112137005"/>
  </r>
  <r>
    <x v="4"/>
    <d v="2026-05-13T00:00:00"/>
    <x v="4"/>
    <s v="6715000"/>
    <s v="Fire prevent serv."/>
    <s v="MW09C21028"/>
    <s v="Segurança Industrial"/>
    <n v="11035"/>
    <s v="Valor Fire prevent serv  ref  Docto Nr  49620"/>
    <x v="10"/>
    <s v="661160280"/>
    <s v="4010268242"/>
    <s v="EAUXB"/>
    <s v="1"/>
    <d v="2026-05-04T00:00:00"/>
    <s v="5112138814"/>
  </r>
  <r>
    <x v="4"/>
    <d v="2026-06-07T00:00:00"/>
    <x v="5"/>
    <s v="6715000"/>
    <s v="Fire prevent serv."/>
    <s v="MW09C21028"/>
    <s v="Segurança Industrial"/>
    <n v="1633.06"/>
    <s v="Valor Fire prevent serv  ref  Docto Nr  49783"/>
    <x v="10"/>
    <s v="661165682"/>
    <s v="4010296659"/>
    <s v="YWEGT"/>
    <s v="1"/>
    <d v="2026-05-15T00:00:00"/>
    <s v="5112209202"/>
  </r>
  <r>
    <x v="4"/>
    <d v="2026-06-07T00:00:00"/>
    <x v="5"/>
    <s v="6715000"/>
    <s v="Fire prevent serv."/>
    <s v="MW09C21028"/>
    <s v="Segurança Industrial"/>
    <n v="794.56"/>
    <s v="Valor Fire prevent serv  ref  Docto Nr  49783"/>
    <x v="10"/>
    <s v="661165682"/>
    <s v="4010296659"/>
    <s v="YWEGT"/>
    <s v="2"/>
    <d v="2026-05-15T00:00:00"/>
    <s v="5112209202"/>
  </r>
  <r>
    <x v="4"/>
    <d v="2026-06-07T00:00:00"/>
    <x v="5"/>
    <s v="6715000"/>
    <s v="Fire prevent serv."/>
    <s v="MW09C21028"/>
    <s v="Segurança Industrial"/>
    <n v="1935.34"/>
    <s v="Valor Fire prevent serv  ref  Docto Nr  49783"/>
    <x v="10"/>
    <s v="661165682"/>
    <s v="4010296659"/>
    <s v="YWEGT"/>
    <s v="3"/>
    <d v="2026-05-15T00:00:00"/>
    <s v="5112209202"/>
  </r>
  <r>
    <x v="4"/>
    <d v="2026-06-07T00:00:00"/>
    <x v="5"/>
    <s v="6715000"/>
    <s v="Fire prevent serv."/>
    <s v="MW09C21028"/>
    <s v="Segurança Industrial"/>
    <n v="458.38"/>
    <s v="Valor Fire prevent serv  ref  Docto Nr  49783"/>
    <x v="10"/>
    <s v="661165682"/>
    <s v="4010296659"/>
    <s v="YWEGT"/>
    <s v="4"/>
    <d v="2026-05-15T00:00:00"/>
    <s v="5112209202"/>
  </r>
  <r>
    <x v="4"/>
    <d v="2026-06-07T00:00:00"/>
    <x v="5"/>
    <s v="6715000"/>
    <s v="Fire prevent serv."/>
    <s v="MW09C21028"/>
    <s v="Segurança Industrial"/>
    <n v="295.38"/>
    <s v="Valor Fire prevent serv  ref  Docto Nr  49783"/>
    <x v="10"/>
    <s v="661165682"/>
    <s v="4010296659"/>
    <s v="YWEGT"/>
    <s v="5"/>
    <d v="2026-05-15T00:00:00"/>
    <s v="5112209202"/>
  </r>
  <r>
    <x v="4"/>
    <d v="2026-06-07T00:00:00"/>
    <x v="5"/>
    <s v="6715000"/>
    <s v="Fire prevent serv."/>
    <s v="MW09C21028"/>
    <s v="Segurança Industrial"/>
    <n v="358"/>
    <s v="Valor Fire prevent serv  ref  Docto Nr  49783"/>
    <x v="10"/>
    <s v="661165682"/>
    <s v="4010296659"/>
    <s v="YWEGT"/>
    <s v="6"/>
    <d v="2026-05-15T00:00:00"/>
    <s v="5112209202"/>
  </r>
  <r>
    <x v="4"/>
    <d v="2026-06-07T00:00:00"/>
    <x v="5"/>
    <s v="6715000"/>
    <s v="Fire prevent serv."/>
    <s v="MW09C21028"/>
    <s v="Segurança Industrial"/>
    <n v="11.88"/>
    <s v="Valor Fire prevent serv  ref  Docto Nr  49783"/>
    <x v="10"/>
    <s v="661165682"/>
    <s v="4010296659"/>
    <s v="YWEGT"/>
    <s v="7"/>
    <d v="2026-05-15T00:00:00"/>
    <s v="5112209202"/>
  </r>
  <r>
    <x v="4"/>
    <d v="2026-06-07T00:00:00"/>
    <x v="5"/>
    <s v="6715000"/>
    <s v="Fire prevent serv."/>
    <s v="MW09C21028"/>
    <s v="Segurança Industrial"/>
    <n v="11.98"/>
    <s v="Valor Fire prevent serv  ref  Docto Nr  49783"/>
    <x v="10"/>
    <s v="661165680"/>
    <s v="4010296659"/>
    <s v="YWEGT"/>
    <s v="8"/>
    <d v="2026-05-15T00:00:00"/>
    <s v="5112209202"/>
  </r>
  <r>
    <x v="4"/>
    <d v="2026-06-16T00:00:00"/>
    <x v="5"/>
    <s v="6715000"/>
    <s v="Fire prevent serv."/>
    <s v="MW09C21028"/>
    <s v="Segurança Industrial"/>
    <n v="11035"/>
    <s v="Valor Fire prevent serv  ref  Docto Nr  50005"/>
    <x v="10"/>
    <s v="661174330"/>
    <s v="4010307821"/>
    <s v="GNEDA"/>
    <s v="1"/>
    <d v="2026-06-10T00:00:00"/>
    <s v="5112236458"/>
  </r>
  <r>
    <x v="4"/>
    <d v="2026-07-15T00:00:00"/>
    <x v="6"/>
    <s v="6715000"/>
    <s v="Fire prevent serv."/>
    <s v="MW09C21028"/>
    <s v="Segurança Industrial"/>
    <n v="11035"/>
    <s v="Valor Fire prevent serv  ref  Docto Nr  50174"/>
    <x v="10"/>
    <s v="661186245"/>
    <s v="4010350481"/>
    <s v="EFXNJ"/>
    <s v="1"/>
    <d v="2026-07-02T00:00:00"/>
    <s v="5112311569"/>
  </r>
  <r>
    <x v="4"/>
    <d v="2026-07-23T00:00:00"/>
    <x v="6"/>
    <s v="6715000"/>
    <s v="Fire prevent serv."/>
    <s v="MW09C21028"/>
    <s v="Segurança Industrial"/>
    <n v="3141.3"/>
    <s v="Valor Fire prevent serv  ref  Docto Nr  50288"/>
    <x v="10"/>
    <s v="661189545"/>
    <s v="4010363936"/>
    <s v="YWEGT"/>
    <s v="1"/>
    <d v="2026-07-10T00:00:00"/>
    <s v="5112333609"/>
  </r>
  <r>
    <x v="4"/>
    <d v="2026-07-23T00:00:00"/>
    <x v="6"/>
    <s v="6715000"/>
    <s v="Fire prevent serv."/>
    <s v="MW09C21028"/>
    <s v="Segurança Industrial"/>
    <n v="295.38"/>
    <s v="Valor Fire prevent serv  ref  Docto Nr  50287"/>
    <x v="10"/>
    <s v="661189579"/>
    <s v="4010363987"/>
    <s v="YWEGT"/>
    <s v="1"/>
    <d v="2026-07-10T00:00:00"/>
    <s v="5112333743"/>
  </r>
  <r>
    <x v="4"/>
    <d v="2026-07-23T00:00:00"/>
    <x v="6"/>
    <s v="6715000"/>
    <s v="Fire prevent serv."/>
    <s v="MW09C21028"/>
    <s v="Segurança Industrial"/>
    <n v="59.41"/>
    <s v="Valor Fire prevent serv  ref  Docto Nr  50287"/>
    <x v="10"/>
    <s v="661189579"/>
    <s v="4010363987"/>
    <s v="YWEGT"/>
    <s v="2"/>
    <d v="2026-07-10T00:00:00"/>
    <s v="5112333743"/>
  </r>
  <r>
    <x v="4"/>
    <d v="2026-07-23T00:00:00"/>
    <x v="6"/>
    <s v="6715000"/>
    <s v="Fire prevent serv."/>
    <s v="MW09C21028"/>
    <s v="Segurança Industrial"/>
    <n v="3454.55"/>
    <s v="Valor Fire prevent serv  ref  Docto Nr  50287"/>
    <x v="10"/>
    <s v="661189579"/>
    <s v="4010363987"/>
    <s v="YWEGT"/>
    <s v="3"/>
    <d v="2026-07-10T00:00:00"/>
    <s v="5112333743"/>
  </r>
  <r>
    <x v="4"/>
    <d v="2026-07-23T00:00:00"/>
    <x v="6"/>
    <s v="6715000"/>
    <s v="Fire prevent serv."/>
    <s v="MW09C21028"/>
    <s v="Segurança Industrial"/>
    <n v="916.8"/>
    <s v="Valor Fire prevent serv  ref  Docto Nr  50287"/>
    <x v="10"/>
    <s v="661189579"/>
    <s v="4010363987"/>
    <s v="YWEGT"/>
    <s v="4"/>
    <d v="2026-07-10T00:00:00"/>
    <s v="5112333743"/>
  </r>
  <r>
    <x v="4"/>
    <d v="2026-07-23T00:00:00"/>
    <x v="6"/>
    <s v="6715000"/>
    <s v="Fire prevent serv."/>
    <s v="MW09C21028"/>
    <s v="Segurança Industrial"/>
    <n v="5194.8599999999997"/>
    <s v="Valor Fire prevent serv  ref  Docto Nr  50287"/>
    <x v="10"/>
    <s v="661189579"/>
    <s v="4010363987"/>
    <s v="YWEGT"/>
    <s v="5"/>
    <d v="2026-07-10T00:00:00"/>
    <s v="5112333743"/>
  </r>
  <r>
    <x v="4"/>
    <d v="2026-07-23T00:00:00"/>
    <x v="6"/>
    <s v="6715000"/>
    <s v="Fire prevent serv."/>
    <s v="MW09C21028"/>
    <s v="Segurança Industrial"/>
    <n v="916.76"/>
    <s v="Valor Fire prevent serv  ref  Docto Nr  50287"/>
    <x v="10"/>
    <s v="661189579"/>
    <s v="4010363987"/>
    <s v="YWEGT"/>
    <s v="6"/>
    <d v="2026-07-10T00:00:00"/>
    <s v="5112333743"/>
  </r>
  <r>
    <x v="4"/>
    <d v="2026-07-23T00:00:00"/>
    <x v="6"/>
    <s v="6715000"/>
    <s v="Fire prevent serv."/>
    <s v="MW09C21028"/>
    <s v="Segurança Industrial"/>
    <n v="358"/>
    <s v="Valor Fire prevent serv  ref  Docto Nr  50287"/>
    <x v="10"/>
    <s v="661189579"/>
    <s v="4010363987"/>
    <s v="YWEGT"/>
    <s v="7"/>
    <d v="2026-07-10T00:00:00"/>
    <s v="5112333743"/>
  </r>
  <r>
    <x v="4"/>
    <d v="2026-08-05T00:00:00"/>
    <x v="7"/>
    <s v="6715000"/>
    <s v="Fire prevent serv."/>
    <s v="MW09C21028"/>
    <s v="Segurança Industrial"/>
    <n v="11035"/>
    <s v="Valor Fire prevent serv  ref  Docto Nr  50456"/>
    <x v="10"/>
    <s v="661199178"/>
    <s v="4010386771"/>
    <s v="EAUXB"/>
    <s v="1"/>
    <d v="2026-08-04T00:00:00"/>
    <s v="5112365510"/>
  </r>
  <r>
    <x v="4"/>
    <d v="2026-08-27T00:00:00"/>
    <x v="7"/>
    <s v="6715000"/>
    <s v="Fire prevent serv."/>
    <s v="MW09C21028"/>
    <s v="Segurança Industrial"/>
    <n v="88857.1"/>
    <s v="Valor Fire prevent serv  ref  Docto Nr  50437"/>
    <x v="10"/>
    <s v=""/>
    <s v="4010426743"/>
    <s v="GNEDA"/>
    <s v="1"/>
    <d v="2026-08-03T00:00:00"/>
    <s v="4640009628"/>
  </r>
  <r>
    <x v="5"/>
    <m/>
    <x v="12"/>
    <m/>
    <m/>
    <m/>
    <m/>
    <m/>
    <m/>
    <x v="99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D111A8-70EB-4712-97CB-6DB19A900169}" name="Tabela dinâmica7" cacheId="6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>
  <location ref="A24:G27" firstHeaderRow="1" firstDataRow="2" firstDataCol="1" rowPageCount="1" colPageCount="1"/>
  <pivotFields count="23">
    <pivotField axis="axisPage" showAll="0">
      <items count="7">
        <item x="0"/>
        <item x="1"/>
        <item x="5"/>
        <item x="2"/>
        <item x="3"/>
        <item x="4"/>
        <item t="default"/>
      </items>
    </pivotField>
    <pivotField numFmtId="14" showAll="0"/>
    <pivotField axis="axisCol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m="1" x="13"/>
        <item t="default"/>
      </items>
    </pivotField>
    <pivotField showAll="0"/>
    <pivotField showAll="0"/>
    <pivotField showAll="0"/>
    <pivotField showAll="0"/>
    <pivotField dataField="1" numFmtId="4" showAll="0"/>
    <pivotField showAll="0"/>
    <pivotField axis="axisRow" showAll="0">
      <items count="3">
        <item sd="0"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2">
    <i>
      <x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0" item="5" hier="-1"/>
  </pageFields>
  <dataFields count="1">
    <dataField name="Soma de Val.in rep.cur." fld="7" baseField="9" baseItem="21" numFmtId="4"/>
  </dataFields>
  <formats count="5">
    <format dxfId="8">
      <pivotArea collapsedLevelsAreSubtotals="1" fieldPosition="0">
        <references count="2">
          <reference field="2" count="1" selected="0">
            <x v="5"/>
          </reference>
          <reference field="9" count="0"/>
        </references>
      </pivotArea>
    </format>
    <format dxfId="7">
      <pivotArea collapsedLevelsAreSubtotals="1" fieldPosition="0">
        <references count="2">
          <reference field="2" count="1" selected="0">
            <x v="5"/>
          </reference>
          <reference field="9" count="1">
            <x v="0"/>
          </reference>
        </references>
      </pivotArea>
    </format>
    <format dxfId="6">
      <pivotArea dataOnly="0" labelOnly="1" fieldPosition="0">
        <references count="1">
          <reference field="9" count="1">
            <x v="0"/>
          </reference>
        </references>
      </pivotArea>
    </format>
    <format dxfId="5">
      <pivotArea collapsedLevelsAreSubtotals="1" fieldPosition="0">
        <references count="1">
          <reference field="9" count="1">
            <x v="0"/>
          </reference>
        </references>
      </pivotArea>
    </format>
    <format dxfId="4">
      <pivotArea dataOnly="0" labelOnly="1" fieldPosition="0">
        <references count="1">
          <reference field="2" count="1">
            <x v="1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E82FF1-A5AE-4023-B4BE-508395150290}" name="Tabela dinâmica6" cacheId="59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>
  <location ref="A17:G20" firstHeaderRow="1" firstDataRow="2" firstDataCol="1" rowPageCount="1" colPageCount="1"/>
  <pivotFields count="16">
    <pivotField axis="axisPage" multipleItemSelectionAllowed="1" showAll="0">
      <items count="7">
        <item h="1" x="0"/>
        <item h="1" x="1"/>
        <item h="1" x="5"/>
        <item h="1" x="2"/>
        <item h="1" x="3"/>
        <item x="4"/>
        <item t="default"/>
      </items>
    </pivotField>
    <pivotField numFmtId="14" showAll="0"/>
    <pivotField axis="axisCol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/>
    <pivotField showAll="0"/>
    <pivotField dataField="1" numFmtId="4"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9"/>
  </rowFields>
  <rowItems count="2">
    <i>
      <x v="2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0" hier="-1"/>
  </pageFields>
  <dataFields count="1">
    <dataField name="Soma de Val.in rep.cur." fld="7" baseField="9" baseItem="21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CEAD77-38B3-4CD0-BE68-D718B6EAF361}" name="Tabela dinâmica5" cacheId="62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>
  <location ref="A10:F13" firstHeaderRow="1" firstDataRow="2" firstDataCol="1" rowPageCount="1" colPageCount="1"/>
  <pivotFields count="16">
    <pivotField axis="axisPage" showAll="0">
      <items count="7">
        <item x="0"/>
        <item x="1"/>
        <item x="5"/>
        <item x="2"/>
        <item x="3"/>
        <item x="4"/>
        <item t="default"/>
      </items>
    </pivotField>
    <pivotField numFmtId="14" showAll="0"/>
    <pivotField axis="axisCol" showAll="0">
      <items count="15">
        <item x="0"/>
        <item x="1"/>
        <item x="12"/>
        <item x="2"/>
        <item x="3"/>
        <item x="4"/>
        <item x="5"/>
        <item x="6"/>
        <item x="7"/>
        <item x="8"/>
        <item x="9"/>
        <item x="10"/>
        <item x="11"/>
        <item x="13"/>
        <item t="default"/>
      </items>
    </pivotField>
    <pivotField showAll="0"/>
    <pivotField showAll="0"/>
    <pivotField showAll="0"/>
    <pivotField showAll="0"/>
    <pivotField dataField="1" numFmtId="4" showAll="0"/>
    <pivotField showAll="0"/>
    <pivotField axis="axisRow" showAll="0">
      <items count="4">
        <item x="0"/>
        <item x="1"/>
        <item m="1"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9"/>
  </rowFields>
  <rowItems count="2">
    <i>
      <x/>
    </i>
    <i t="grand">
      <x/>
    </i>
  </rowItems>
  <colFields count="1">
    <field x="2"/>
  </colFields>
  <colItems count="5">
    <i>
      <x/>
    </i>
    <i>
      <x v="3"/>
    </i>
    <i>
      <x v="5"/>
    </i>
    <i>
      <x v="6"/>
    </i>
    <i t="grand">
      <x/>
    </i>
  </colItems>
  <pageFields count="1">
    <pageField fld="0" item="5" hier="-1"/>
  </pageFields>
  <dataFields count="1">
    <dataField name="Soma de Val.in rep.cur." fld="7" baseField="9" baseItem="21" numFmtId="4"/>
  </dataFields>
  <formats count="1">
    <format dxfId="9">
      <pivotArea dataOnly="0" labelOnly="1" fieldPosition="0">
        <references count="1">
          <reference field="2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71BC77-0E1D-40D7-9ABF-A9E6752FF4A8}" name="Tabela dinâmica4" cacheId="69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>
  <location ref="A3:I6" firstHeaderRow="1" firstDataRow="2" firstDataCol="1" rowPageCount="1" colPageCount="1"/>
  <pivotFields count="14">
    <pivotField axis="axisPage" multipleItemSelectionAllowed="1" showAll="0">
      <items count="7">
        <item h="1" x="0"/>
        <item h="1" x="1"/>
        <item h="1" x="5"/>
        <item h="1" x="2"/>
        <item h="1" x="3"/>
        <item x="4"/>
        <item t="default"/>
      </items>
    </pivotField>
    <pivotField numFmtId="14" showAll="0"/>
    <pivotField axis="axisCol" showAll="0">
      <items count="15">
        <item x="0"/>
        <item x="12"/>
        <item x="1"/>
        <item x="2"/>
        <item x="3"/>
        <item x="4"/>
        <item x="5"/>
        <item x="6"/>
        <item x="7"/>
        <item x="8"/>
        <item x="9"/>
        <item x="10"/>
        <item x="11"/>
        <item x="13"/>
        <item t="default"/>
      </items>
    </pivotField>
    <pivotField showAll="0"/>
    <pivotField showAll="0"/>
    <pivotField showAll="0"/>
    <pivotField showAll="0"/>
    <pivotField dataField="1" numFmtId="4" showAll="0"/>
    <pivotField showAll="0"/>
    <pivotField axis="axisRow" showAll="0">
      <items count="3">
        <item x="0"/>
        <item h="1" x="1"/>
        <item t="default"/>
      </items>
    </pivotField>
    <pivotField showAll="0"/>
    <pivotField showAll="0"/>
    <pivotField showAll="0"/>
    <pivotField showAll="0"/>
  </pivotFields>
  <rowFields count="1">
    <field x="9"/>
  </rowFields>
  <rowItems count="2">
    <i>
      <x/>
    </i>
    <i t="grand">
      <x/>
    </i>
  </rowItems>
  <colFields count="1">
    <field x="2"/>
  </colFields>
  <colItems count="8">
    <i>
      <x/>
    </i>
    <i>
      <x v="2"/>
    </i>
    <i>
      <x v="3"/>
    </i>
    <i>
      <x v="4"/>
    </i>
    <i>
      <x v="5"/>
    </i>
    <i>
      <x v="7"/>
    </i>
    <i>
      <x v="8"/>
    </i>
    <i t="grand">
      <x/>
    </i>
  </colItems>
  <pageFields count="1">
    <pageField fld="0" hier="-1"/>
  </pageFields>
  <dataFields count="1">
    <dataField name="Soma de Val.in rep.cur." fld="7" baseField="9" baseItem="21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8F5F44-AC06-46BD-BA1E-806A8E73175E}" name="Tabela dinâmica3" cacheId="75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>
  <location ref="A31:J34" firstHeaderRow="1" firstDataRow="2" firstDataCol="1" rowPageCount="1" colPageCount="1"/>
  <pivotFields count="16">
    <pivotField axis="axisPage" multipleItemSelectionAllowed="1" showAll="0">
      <items count="7">
        <item h="1" x="0"/>
        <item h="1" x="1"/>
        <item h="1" x="5"/>
        <item h="1" x="2"/>
        <item h="1" x="3"/>
        <item x="4"/>
        <item t="default"/>
      </items>
    </pivotField>
    <pivotField numFmtId="14" showAll="0"/>
    <pivotField axis="axisCol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/>
    <pivotField showAll="0"/>
    <pivotField dataField="1" numFmtId="4" showAll="0"/>
    <pivotField showAll="0"/>
    <pivotField axis="axisRow" showAll="0">
      <items count="101">
        <item h="1" x="41"/>
        <item h="1" x="83"/>
        <item h="1" x="62"/>
        <item h="1" x="36"/>
        <item h="1" x="38"/>
        <item h="1" x="35"/>
        <item h="1" x="61"/>
        <item h="1" x="39"/>
        <item h="1" x="16"/>
        <item h="1" x="33"/>
        <item h="1" x="87"/>
        <item h="1" x="84"/>
        <item h="1" x="9"/>
        <item h="1" x="54"/>
        <item h="1" x="2"/>
        <item h="1" x="52"/>
        <item h="1" x="58"/>
        <item h="1" x="77"/>
        <item h="1" x="0"/>
        <item h="1" x="40"/>
        <item h="1" x="85"/>
        <item x="10"/>
        <item h="1" x="56"/>
        <item h="1" x="71"/>
        <item h="1" x="15"/>
        <item h="1" x="82"/>
        <item h="1" x="22"/>
        <item h="1" x="60"/>
        <item h="1" x="42"/>
        <item h="1" x="66"/>
        <item h="1" x="90"/>
        <item h="1" x="6"/>
        <item h="1" x="69"/>
        <item h="1" x="28"/>
        <item h="1" x="46"/>
        <item h="1" x="95"/>
        <item h="1" x="59"/>
        <item h="1" x="31"/>
        <item h="1" x="86"/>
        <item h="1" x="21"/>
        <item h="1" x="23"/>
        <item h="1" x="88"/>
        <item h="1" x="19"/>
        <item h="1" x="4"/>
        <item h="1" x="32"/>
        <item h="1" x="11"/>
        <item h="1" x="65"/>
        <item h="1" x="44"/>
        <item h="1" x="92"/>
        <item h="1" x="49"/>
        <item h="1" x="57"/>
        <item h="1" x="1"/>
        <item h="1" x="93"/>
        <item h="1" x="98"/>
        <item h="1" x="26"/>
        <item h="1" x="72"/>
        <item h="1" x="3"/>
        <item h="1" x="89"/>
        <item h="1" x="78"/>
        <item h="1" x="48"/>
        <item h="1" x="27"/>
        <item h="1" x="25"/>
        <item h="1" x="7"/>
        <item h="1" x="37"/>
        <item h="1" x="68"/>
        <item h="1" x="29"/>
        <item h="1" x="96"/>
        <item h="1" x="94"/>
        <item h="1" x="30"/>
        <item h="1" x="91"/>
        <item h="1" x="76"/>
        <item h="1" x="47"/>
        <item h="1" x="51"/>
        <item h="1" x="13"/>
        <item h="1" x="81"/>
        <item h="1" x="73"/>
        <item h="1" x="70"/>
        <item h="1" x="53"/>
        <item h="1" x="43"/>
        <item h="1" x="64"/>
        <item h="1" x="18"/>
        <item h="1" x="17"/>
        <item h="1" x="24"/>
        <item h="1" x="14"/>
        <item h="1" x="63"/>
        <item h="1" x="5"/>
        <item h="1" x="45"/>
        <item h="1" x="75"/>
        <item h="1" x="34"/>
        <item h="1" x="74"/>
        <item h="1" x="8"/>
        <item h="1" x="79"/>
        <item h="1" x="50"/>
        <item h="1" x="55"/>
        <item h="1" x="12"/>
        <item h="1" x="80"/>
        <item h="1" x="97"/>
        <item h="1" x="67"/>
        <item h="1" x="20"/>
        <item h="1" x="99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9"/>
  </rowFields>
  <rowItems count="2">
    <i>
      <x v="21"/>
    </i>
    <i t="grand">
      <x/>
    </i>
  </rowItems>
  <colFields count="1">
    <field x="2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pageFields count="1">
    <pageField fld="0" hier="-1"/>
  </pageFields>
  <dataFields count="1">
    <dataField name="Soma de Val.in rep.cur." fld="7" baseField="9" baseItem="21" numFmtId="4"/>
  </dataFields>
  <formats count="2">
    <format dxfId="11">
      <pivotArea dataOnly="0" labelOnly="1" fieldPosition="0">
        <references count="1">
          <reference field="2" count="1">
            <x v="0"/>
          </reference>
        </references>
      </pivotArea>
    </format>
    <format dxfId="10">
      <pivotArea dataOnly="0" labelOnly="1" fieldPosition="0">
        <references count="1">
          <reference field="2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C73483-9305-4440-B45A-1DF172B37362}" name="Tabela1" displayName="Tabela1" ref="A3:P4" totalsRowShown="0">
  <autoFilter ref="A3:P4" xr:uid="{85C73483-9305-4440-B45A-1DF172B37362}"/>
  <tableColumns count="16">
    <tableColumn id="1" xr3:uid="{57A02489-48F3-4D25-9A3D-6FEDE29A4D3F}" name="Fiscal Year"/>
    <tableColumn id="2" xr3:uid="{064E3515-6384-4727-99B5-2F4ADEAEF636}" name="Created on" dataDxfId="3"/>
    <tableColumn id="3" xr3:uid="{E7D43073-40C0-46D8-8C2F-A0CC40102B96}" name="Period"/>
    <tableColumn id="4" xr3:uid="{BCF28F28-1D3E-4265-9B3F-ED45251BA3D3}" name="Cost Element"/>
    <tableColumn id="5" xr3:uid="{0C3C8D08-A797-42B8-94D4-AD2130CFC394}" name="Cost element name"/>
    <tableColumn id="6" xr3:uid="{D702E951-99C9-46F6-BC51-7DBD2B1192D4}" name="Cost Center"/>
    <tableColumn id="7" xr3:uid="{E58C7F3F-E01B-4DF5-B542-8804C65F2CE1}" name="CO object name"/>
    <tableColumn id="8" xr3:uid="{4823883F-5D2A-4EF4-AC4D-1D701162D127}" name="Val.in rep.cur."/>
    <tableColumn id="9" xr3:uid="{643D527D-F704-45FE-A236-0586A0D67832}" name="Name"/>
    <tableColumn id="10" xr3:uid="{1BBE7E68-9F73-4BEF-99F6-56F961EA21FF}" name="Name of offsetting account"/>
    <tableColumn id="11" xr3:uid="{2241192C-D251-4922-8B04-471801036D52}" name="CO partner object name"/>
    <tableColumn id="12" xr3:uid="{3422E904-3581-4937-BE2B-5CE0657B6C1B}" name="Purchasing Document"/>
    <tableColumn id="13" xr3:uid="{DDF332BE-F2DD-49E2-B693-E9124F684E04}" name="Partner object type"/>
    <tableColumn id="14" xr3:uid="{4800B85F-2A44-400B-A6F1-01E67130D7D4}" name="Document Number"/>
    <tableColumn id="15" xr3:uid="{67C87604-2189-4E5E-82E5-6AAAB8B0B209}" name="User Name" dataDxfId="2"/>
    <tableColumn id="16" xr3:uid="{E0766ACC-E2DF-41FB-95B0-6D44590DD9E3}" name="Posting row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customProperty" Target="../customProperty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2E0B6-5B3B-44F0-B24A-6C940C30FEDD}">
  <dimension ref="A1:P4"/>
  <sheetViews>
    <sheetView workbookViewId="0">
      <selection activeCell="A3" sqref="A3:P4"/>
    </sheetView>
  </sheetViews>
  <sheetFormatPr defaultRowHeight="12.5" x14ac:dyDescent="0.25"/>
  <cols>
    <col min="1" max="2" width="12.54296875" bestFit="1" customWidth="1"/>
    <col min="3" max="3" width="8.81640625" bestFit="1" customWidth="1"/>
    <col min="4" max="4" width="14.54296875" bestFit="1" customWidth="1"/>
    <col min="5" max="5" width="19.7265625" bestFit="1" customWidth="1"/>
    <col min="6" max="6" width="13.36328125" bestFit="1" customWidth="1"/>
    <col min="7" max="7" width="17.26953125" bestFit="1" customWidth="1"/>
    <col min="8" max="8" width="15.1796875" bestFit="1" customWidth="1"/>
    <col min="9" max="9" width="37.08984375" bestFit="1" customWidth="1"/>
    <col min="10" max="10" width="35" bestFit="1" customWidth="1"/>
    <col min="11" max="11" width="23.90625" bestFit="1" customWidth="1"/>
    <col min="12" max="12" width="22.26953125" bestFit="1" customWidth="1"/>
    <col min="13" max="13" width="19.7265625" bestFit="1" customWidth="1"/>
    <col min="14" max="14" width="19.26953125" bestFit="1" customWidth="1"/>
    <col min="15" max="15" width="12.453125" bestFit="1" customWidth="1"/>
    <col min="16" max="16" width="13.36328125" bestFit="1" customWidth="1"/>
  </cols>
  <sheetData>
    <row r="1" spans="1:16" ht="13" x14ac:dyDescent="0.25">
      <c r="A1" s="27" t="s">
        <v>4058</v>
      </c>
    </row>
    <row r="3" spans="1:16" x14ac:dyDescent="0.25">
      <c r="A3" t="s">
        <v>2304</v>
      </c>
      <c r="B3" t="s">
        <v>2305</v>
      </c>
      <c r="C3" t="s">
        <v>2306</v>
      </c>
      <c r="D3" t="s">
        <v>2307</v>
      </c>
      <c r="E3" t="s">
        <v>2308</v>
      </c>
      <c r="F3" t="s">
        <v>2309</v>
      </c>
      <c r="G3" t="s">
        <v>2310</v>
      </c>
      <c r="H3" t="s">
        <v>2311</v>
      </c>
      <c r="I3" t="s">
        <v>2312</v>
      </c>
      <c r="J3" t="s">
        <v>2313</v>
      </c>
      <c r="K3" t="s">
        <v>2314</v>
      </c>
      <c r="L3" t="s">
        <v>2315</v>
      </c>
      <c r="M3" t="s">
        <v>2316</v>
      </c>
      <c r="N3" t="s">
        <v>2317</v>
      </c>
      <c r="O3" t="s">
        <v>2318</v>
      </c>
      <c r="P3" t="s">
        <v>2319</v>
      </c>
    </row>
    <row r="4" spans="1:16" x14ac:dyDescent="0.25">
      <c r="A4" t="s">
        <v>3912</v>
      </c>
      <c r="B4" s="9">
        <v>46090</v>
      </c>
      <c r="C4" t="s">
        <v>17</v>
      </c>
      <c r="D4" t="s">
        <v>410</v>
      </c>
      <c r="E4" t="s">
        <v>411</v>
      </c>
      <c r="F4" t="s">
        <v>4</v>
      </c>
      <c r="G4" t="s">
        <v>5</v>
      </c>
      <c r="H4">
        <v>11035</v>
      </c>
      <c r="I4" t="s">
        <v>4053</v>
      </c>
      <c r="J4" t="s">
        <v>413</v>
      </c>
      <c r="K4" t="s">
        <v>4054</v>
      </c>
      <c r="L4" t="s">
        <v>4055</v>
      </c>
      <c r="M4" t="s">
        <v>3886</v>
      </c>
      <c r="N4" t="s">
        <v>1</v>
      </c>
      <c r="O4" s="9">
        <v>46084</v>
      </c>
      <c r="P4" t="s">
        <v>4056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86481-6679-4807-832E-7E2CA33A6AA3}">
  <sheetPr codeName="Planilha2"/>
  <dimension ref="A1:P34"/>
  <sheetViews>
    <sheetView tabSelected="1" topLeftCell="A13" workbookViewId="0">
      <selection activeCell="E31" sqref="E31"/>
    </sheetView>
  </sheetViews>
  <sheetFormatPr defaultRowHeight="12.5" x14ac:dyDescent="0.25"/>
  <cols>
    <col min="1" max="1" width="35" bestFit="1" customWidth="1"/>
    <col min="2" max="2" width="19" bestFit="1" customWidth="1"/>
    <col min="3" max="4" width="9.90625" bestFit="1" customWidth="1"/>
    <col min="5" max="6" width="11.453125" bestFit="1" customWidth="1"/>
    <col min="7" max="9" width="8.90625" bestFit="1" customWidth="1"/>
    <col min="10" max="10" width="10.36328125" bestFit="1" customWidth="1"/>
    <col min="11" max="11" width="8.90625" bestFit="1" customWidth="1"/>
    <col min="12" max="12" width="10.36328125" bestFit="1" customWidth="1"/>
    <col min="13" max="13" width="8.90625" bestFit="1" customWidth="1"/>
    <col min="14" max="14" width="10.36328125" bestFit="1" customWidth="1"/>
    <col min="15" max="15" width="10.54296875" customWidth="1"/>
  </cols>
  <sheetData>
    <row r="1" spans="1:16" x14ac:dyDescent="0.25">
      <c r="A1" s="6" t="s">
        <v>2304</v>
      </c>
      <c r="B1" t="s">
        <v>3912</v>
      </c>
    </row>
    <row r="3" spans="1:16" x14ac:dyDescent="0.25">
      <c r="A3" s="6" t="s">
        <v>2325</v>
      </c>
      <c r="B3" s="6" t="s">
        <v>2323</v>
      </c>
    </row>
    <row r="4" spans="1:16" x14ac:dyDescent="0.25">
      <c r="A4" s="6" t="s">
        <v>2326</v>
      </c>
      <c r="B4" t="s">
        <v>1</v>
      </c>
      <c r="C4" t="s">
        <v>12</v>
      </c>
      <c r="D4" t="s">
        <v>17</v>
      </c>
      <c r="E4" t="s">
        <v>43</v>
      </c>
      <c r="F4" t="s">
        <v>77</v>
      </c>
      <c r="G4" t="s">
        <v>72</v>
      </c>
      <c r="H4" t="s">
        <v>82</v>
      </c>
      <c r="I4" t="s">
        <v>2324</v>
      </c>
    </row>
    <row r="5" spans="1:16" x14ac:dyDescent="0.25">
      <c r="A5" s="7" t="s">
        <v>700</v>
      </c>
      <c r="B5" s="8">
        <v>5370.23</v>
      </c>
      <c r="C5" s="8">
        <v>5370.23</v>
      </c>
      <c r="D5" s="8">
        <v>43860.880000000005</v>
      </c>
      <c r="E5" s="8">
        <v>5370.23</v>
      </c>
      <c r="F5" s="8">
        <v>5370.23</v>
      </c>
      <c r="G5" s="8">
        <v>10740.46</v>
      </c>
      <c r="H5" s="8">
        <v>5370.23</v>
      </c>
      <c r="I5" s="8">
        <v>81452.490000000005</v>
      </c>
    </row>
    <row r="6" spans="1:16" x14ac:dyDescent="0.25">
      <c r="A6" s="7" t="s">
        <v>2324</v>
      </c>
      <c r="B6" s="8">
        <v>5370.23</v>
      </c>
      <c r="C6" s="8">
        <v>5370.23</v>
      </c>
      <c r="D6" s="8">
        <v>43860.880000000005</v>
      </c>
      <c r="E6" s="8">
        <v>5370.23</v>
      </c>
      <c r="F6" s="8">
        <v>5370.23</v>
      </c>
      <c r="G6" s="8">
        <v>10740.46</v>
      </c>
      <c r="H6" s="8">
        <v>5370.23</v>
      </c>
      <c r="I6" s="8">
        <v>81452.490000000005</v>
      </c>
    </row>
    <row r="8" spans="1:16" x14ac:dyDescent="0.25">
      <c r="A8" s="6" t="s">
        <v>2304</v>
      </c>
      <c r="B8" t="s">
        <v>3912</v>
      </c>
      <c r="H8" s="8"/>
    </row>
    <row r="10" spans="1:16" x14ac:dyDescent="0.25">
      <c r="A10" s="6" t="s">
        <v>2325</v>
      </c>
      <c r="B10" s="6" t="s">
        <v>2323</v>
      </c>
    </row>
    <row r="11" spans="1:16" x14ac:dyDescent="0.25">
      <c r="A11" s="6" t="s">
        <v>2326</v>
      </c>
      <c r="B11" t="s">
        <v>1</v>
      </c>
      <c r="C11" t="s">
        <v>17</v>
      </c>
      <c r="D11" t="s">
        <v>77</v>
      </c>
      <c r="E11" t="s">
        <v>22</v>
      </c>
      <c r="F11" t="s">
        <v>2324</v>
      </c>
      <c r="O11" s="10"/>
    </row>
    <row r="12" spans="1:16" x14ac:dyDescent="0.25">
      <c r="A12" s="7" t="s">
        <v>7</v>
      </c>
      <c r="B12" s="8">
        <v>382745.32</v>
      </c>
      <c r="C12" s="8">
        <v>419218.76</v>
      </c>
      <c r="D12" s="8">
        <v>419218.76</v>
      </c>
      <c r="E12" s="8">
        <v>1258732.56</v>
      </c>
      <c r="F12" s="8">
        <v>2479915.4000000004</v>
      </c>
      <c r="P12" s="11"/>
    </row>
    <row r="13" spans="1:16" x14ac:dyDescent="0.25">
      <c r="A13" s="7" t="s">
        <v>2324</v>
      </c>
      <c r="B13" s="8">
        <v>382745.32</v>
      </c>
      <c r="C13" s="8">
        <v>419218.76</v>
      </c>
      <c r="D13" s="8">
        <v>419218.76</v>
      </c>
      <c r="E13" s="8">
        <v>1258732.56</v>
      </c>
      <c r="F13" s="8">
        <v>2479915.4000000004</v>
      </c>
    </row>
    <row r="15" spans="1:16" x14ac:dyDescent="0.25">
      <c r="A15" s="6" t="s">
        <v>2304</v>
      </c>
      <c r="B15" t="s">
        <v>3912</v>
      </c>
    </row>
    <row r="17" spans="1:10" x14ac:dyDescent="0.25">
      <c r="A17" s="6" t="s">
        <v>2325</v>
      </c>
      <c r="B17" s="6" t="s">
        <v>2323</v>
      </c>
    </row>
    <row r="18" spans="1:10" x14ac:dyDescent="0.25">
      <c r="A18" s="6" t="s">
        <v>2326</v>
      </c>
      <c r="B18" t="s">
        <v>1</v>
      </c>
      <c r="C18" t="s">
        <v>12</v>
      </c>
      <c r="D18" t="s">
        <v>17</v>
      </c>
      <c r="E18" t="s">
        <v>43</v>
      </c>
      <c r="F18" t="s">
        <v>77</v>
      </c>
      <c r="G18" t="s">
        <v>2324</v>
      </c>
    </row>
    <row r="19" spans="1:10" x14ac:dyDescent="0.25">
      <c r="A19" s="7" t="s">
        <v>3754</v>
      </c>
      <c r="B19" s="8">
        <v>4308.16</v>
      </c>
      <c r="C19" s="8">
        <v>4308.16</v>
      </c>
      <c r="D19" s="8">
        <v>4308.16</v>
      </c>
      <c r="E19" s="8">
        <v>4308.16</v>
      </c>
      <c r="F19" s="8">
        <v>4308.16</v>
      </c>
      <c r="G19" s="8">
        <v>21540.799999999999</v>
      </c>
    </row>
    <row r="20" spans="1:10" x14ac:dyDescent="0.25">
      <c r="A20" s="7" t="s">
        <v>2324</v>
      </c>
      <c r="B20" s="8">
        <v>4308.16</v>
      </c>
      <c r="C20" s="8">
        <v>4308.16</v>
      </c>
      <c r="D20" s="8">
        <v>4308.16</v>
      </c>
      <c r="E20" s="8">
        <v>4308.16</v>
      </c>
      <c r="F20" s="8">
        <v>4308.16</v>
      </c>
      <c r="G20" s="8">
        <v>21540.799999999999</v>
      </c>
    </row>
    <row r="22" spans="1:10" x14ac:dyDescent="0.25">
      <c r="A22" s="6" t="s">
        <v>2304</v>
      </c>
      <c r="B22" t="s">
        <v>3912</v>
      </c>
    </row>
    <row r="24" spans="1:10" x14ac:dyDescent="0.25">
      <c r="A24" s="6" t="s">
        <v>2325</v>
      </c>
      <c r="B24" s="6" t="s">
        <v>2323</v>
      </c>
    </row>
    <row r="25" spans="1:10" x14ac:dyDescent="0.25">
      <c r="A25" s="6" t="s">
        <v>2326</v>
      </c>
      <c r="B25" t="s">
        <v>1</v>
      </c>
      <c r="C25" t="s">
        <v>12</v>
      </c>
      <c r="D25" t="s">
        <v>17</v>
      </c>
      <c r="E25" t="s">
        <v>43</v>
      </c>
      <c r="F25" t="s">
        <v>77</v>
      </c>
      <c r="G25" t="s">
        <v>2324</v>
      </c>
    </row>
    <row r="26" spans="1:10" x14ac:dyDescent="0.25">
      <c r="A26" s="7" t="s">
        <v>460</v>
      </c>
      <c r="B26" s="8">
        <v>12439.77</v>
      </c>
      <c r="C26" s="8">
        <v>11203.85</v>
      </c>
      <c r="D26" s="8">
        <v>29142.25</v>
      </c>
      <c r="E26" s="8">
        <v>12181.96</v>
      </c>
      <c r="F26" s="8">
        <v>15603.869999999999</v>
      </c>
      <c r="G26" s="8">
        <v>80571.7</v>
      </c>
    </row>
    <row r="27" spans="1:10" x14ac:dyDescent="0.25">
      <c r="A27" s="7" t="s">
        <v>2324</v>
      </c>
      <c r="B27" s="8">
        <v>12439.77</v>
      </c>
      <c r="C27" s="8">
        <v>11203.85</v>
      </c>
      <c r="D27" s="8">
        <v>29142.25</v>
      </c>
      <c r="E27" s="8">
        <v>12181.96</v>
      </c>
      <c r="F27" s="8">
        <v>15603.869999999999</v>
      </c>
      <c r="G27" s="8">
        <v>80571.7</v>
      </c>
    </row>
    <row r="29" spans="1:10" x14ac:dyDescent="0.25">
      <c r="A29" s="6" t="s">
        <v>2304</v>
      </c>
      <c r="B29" t="s">
        <v>3912</v>
      </c>
    </row>
    <row r="31" spans="1:10" x14ac:dyDescent="0.25">
      <c r="A31" s="6" t="s">
        <v>2325</v>
      </c>
      <c r="B31" s="6" t="s">
        <v>2323</v>
      </c>
    </row>
    <row r="32" spans="1:10" x14ac:dyDescent="0.25">
      <c r="A32" s="6" t="s">
        <v>2326</v>
      </c>
      <c r="B32" s="7" t="s">
        <v>1</v>
      </c>
      <c r="C32" s="7" t="s">
        <v>12</v>
      </c>
      <c r="D32" t="s">
        <v>17</v>
      </c>
      <c r="E32" t="s">
        <v>43</v>
      </c>
      <c r="F32" t="s">
        <v>77</v>
      </c>
      <c r="G32" t="s">
        <v>22</v>
      </c>
      <c r="H32" t="s">
        <v>72</v>
      </c>
      <c r="I32" t="s">
        <v>82</v>
      </c>
      <c r="J32" t="s">
        <v>2324</v>
      </c>
    </row>
    <row r="33" spans="1:10" x14ac:dyDescent="0.25">
      <c r="A33" s="7" t="s">
        <v>413</v>
      </c>
      <c r="B33" s="8">
        <v>30939.58</v>
      </c>
      <c r="C33" s="8">
        <v>17629.96</v>
      </c>
      <c r="D33" s="8">
        <v>11035</v>
      </c>
      <c r="E33" s="8">
        <v>32739.200000000001</v>
      </c>
      <c r="F33" s="8">
        <v>21891.41</v>
      </c>
      <c r="G33" s="8">
        <v>16533.579999999998</v>
      </c>
      <c r="H33" s="8">
        <v>25372.06</v>
      </c>
      <c r="I33" s="8">
        <v>99892.1</v>
      </c>
      <c r="J33" s="8">
        <v>256032.89</v>
      </c>
    </row>
    <row r="34" spans="1:10" x14ac:dyDescent="0.25">
      <c r="A34" s="7" t="s">
        <v>2324</v>
      </c>
      <c r="B34" s="8">
        <v>30939.58</v>
      </c>
      <c r="C34" s="8">
        <v>17629.96</v>
      </c>
      <c r="D34" s="8">
        <v>11035</v>
      </c>
      <c r="E34" s="8">
        <v>32739.200000000001</v>
      </c>
      <c r="F34" s="8">
        <v>21891.41</v>
      </c>
      <c r="G34" s="8">
        <v>16533.579999999998</v>
      </c>
      <c r="H34" s="8">
        <v>25372.06</v>
      </c>
      <c r="I34" s="8">
        <v>99892.1</v>
      </c>
      <c r="J34" s="8">
        <v>256032.89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6"/>
  <headerFooter>
    <oddFooter>&amp;R&amp;1#&amp;"Calibri"&amp;22&amp;KFF8939RESTRICTED</oddFooter>
  </headerFooter>
  <customProperties>
    <customPr name="_pios_id" r:id="rId7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C7707-0699-4C13-B09E-B4FDB8208157}">
  <sheetPr codeName="Planilha4"/>
  <dimension ref="A1:X70"/>
  <sheetViews>
    <sheetView topLeftCell="A42" zoomScale="80" zoomScaleNormal="80" workbookViewId="0">
      <selection activeCell="O42" sqref="O1:O1048576"/>
    </sheetView>
  </sheetViews>
  <sheetFormatPr defaultRowHeight="12.5" outlineLevelRow="2" x14ac:dyDescent="0.25"/>
  <cols>
    <col min="1" max="1" width="13" bestFit="1" customWidth="1"/>
    <col min="2" max="2" width="13" style="9" bestFit="1" customWidth="1"/>
    <col min="3" max="3" width="8" bestFit="1" customWidth="1"/>
    <col min="4" max="4" width="14" bestFit="1" customWidth="1"/>
    <col min="5" max="5" width="22" bestFit="1" customWidth="1"/>
    <col min="6" max="6" width="13" bestFit="1" customWidth="1"/>
    <col min="7" max="7" width="22" bestFit="1" customWidth="1"/>
    <col min="8" max="8" width="17" bestFit="1" customWidth="1"/>
    <col min="9" max="9" width="52" bestFit="1" customWidth="1"/>
    <col min="10" max="10" width="37" bestFit="1" customWidth="1"/>
    <col min="11" max="11" width="11" bestFit="1" customWidth="1"/>
    <col min="12" max="12" width="17" bestFit="1" customWidth="1"/>
    <col min="13" max="13" width="12" bestFit="1" customWidth="1"/>
    <col min="14" max="14" width="13" bestFit="1" customWidth="1"/>
    <col min="15" max="15" width="13.54296875" style="9" customWidth="1"/>
    <col min="16" max="16" width="17.453125" customWidth="1"/>
    <col min="17" max="17" width="38.6328125" style="9" customWidth="1"/>
    <col min="21" max="21" width="12.90625" bestFit="1" customWidth="1"/>
    <col min="22" max="22" width="17" bestFit="1" customWidth="1"/>
    <col min="23" max="23" width="12.7265625" bestFit="1" customWidth="1"/>
    <col min="24" max="24" width="18.1796875" bestFit="1" customWidth="1"/>
  </cols>
  <sheetData>
    <row r="1" spans="1:24" ht="25" x14ac:dyDescent="0.25">
      <c r="A1" s="1" t="s">
        <v>2304</v>
      </c>
      <c r="B1" s="1" t="s">
        <v>2305</v>
      </c>
      <c r="C1" s="1" t="s">
        <v>2306</v>
      </c>
      <c r="D1" s="1" t="s">
        <v>2307</v>
      </c>
      <c r="E1" s="1" t="s">
        <v>2308</v>
      </c>
      <c r="F1" s="1" t="s">
        <v>2309</v>
      </c>
      <c r="G1" s="1" t="s">
        <v>2310</v>
      </c>
      <c r="H1" s="1" t="s">
        <v>2311</v>
      </c>
      <c r="I1" s="1" t="s">
        <v>2312</v>
      </c>
      <c r="J1" s="1" t="s">
        <v>2313</v>
      </c>
      <c r="K1" s="4" t="s">
        <v>2315</v>
      </c>
      <c r="L1" s="1" t="s">
        <v>2317</v>
      </c>
      <c r="M1" s="1" t="s">
        <v>2318</v>
      </c>
      <c r="N1" s="1" t="s">
        <v>2319</v>
      </c>
      <c r="O1" s="28" t="s">
        <v>2595</v>
      </c>
      <c r="P1" s="1" t="s">
        <v>2596</v>
      </c>
      <c r="Q1" s="28" t="s">
        <v>2597</v>
      </c>
      <c r="R1" s="1" t="s">
        <v>2598</v>
      </c>
      <c r="S1" s="1" t="s">
        <v>2599</v>
      </c>
      <c r="T1" s="1" t="s">
        <v>2715</v>
      </c>
      <c r="U1" s="1" t="s">
        <v>2716</v>
      </c>
      <c r="V1" s="1" t="s">
        <v>2717</v>
      </c>
      <c r="W1" s="1" t="s">
        <v>3475</v>
      </c>
      <c r="X1" s="1" t="s">
        <v>3476</v>
      </c>
    </row>
    <row r="2" spans="1:24" x14ac:dyDescent="0.25">
      <c r="A2" t="s">
        <v>0</v>
      </c>
      <c r="B2" s="2">
        <v>44565</v>
      </c>
      <c r="C2" t="s">
        <v>1</v>
      </c>
      <c r="D2" t="s">
        <v>697</v>
      </c>
      <c r="E2" t="s">
        <v>698</v>
      </c>
      <c r="F2" t="s">
        <v>4</v>
      </c>
      <c r="G2" t="s">
        <v>5</v>
      </c>
      <c r="H2" s="3">
        <v>4058.48</v>
      </c>
      <c r="I2" t="s">
        <v>739</v>
      </c>
      <c r="J2" t="s">
        <v>700</v>
      </c>
      <c r="K2" t="s">
        <v>740</v>
      </c>
      <c r="L2" t="s">
        <v>741</v>
      </c>
      <c r="M2" t="s">
        <v>29</v>
      </c>
      <c r="N2" t="s">
        <v>1</v>
      </c>
    </row>
    <row r="3" spans="1:24" x14ac:dyDescent="0.25">
      <c r="A3" t="s">
        <v>0</v>
      </c>
      <c r="B3" s="2">
        <v>44567</v>
      </c>
      <c r="C3" t="s">
        <v>1</v>
      </c>
      <c r="D3" t="s">
        <v>697</v>
      </c>
      <c r="E3" t="s">
        <v>698</v>
      </c>
      <c r="F3" t="s">
        <v>4</v>
      </c>
      <c r="G3" t="s">
        <v>5</v>
      </c>
      <c r="H3" s="3">
        <v>4058.48</v>
      </c>
      <c r="I3" t="s">
        <v>742</v>
      </c>
      <c r="J3" t="s">
        <v>700</v>
      </c>
      <c r="K3" t="s">
        <v>743</v>
      </c>
      <c r="L3" t="s">
        <v>744</v>
      </c>
      <c r="M3" t="s">
        <v>29</v>
      </c>
      <c r="N3" t="s">
        <v>1</v>
      </c>
    </row>
    <row r="4" spans="1:24" x14ac:dyDescent="0.25">
      <c r="A4" t="s">
        <v>0</v>
      </c>
      <c r="B4" s="2">
        <v>44594</v>
      </c>
      <c r="C4" t="s">
        <v>12</v>
      </c>
      <c r="D4" t="s">
        <v>47</v>
      </c>
      <c r="E4" t="s">
        <v>48</v>
      </c>
      <c r="F4" t="s">
        <v>4</v>
      </c>
      <c r="G4" t="s">
        <v>5</v>
      </c>
      <c r="H4" s="3">
        <v>721.59</v>
      </c>
      <c r="I4" t="s">
        <v>1366</v>
      </c>
      <c r="J4" t="s">
        <v>700</v>
      </c>
      <c r="K4" t="s">
        <v>8</v>
      </c>
      <c r="L4" t="s">
        <v>1367</v>
      </c>
      <c r="M4" t="s">
        <v>16</v>
      </c>
      <c r="N4" t="s">
        <v>1</v>
      </c>
    </row>
    <row r="5" spans="1:24" x14ac:dyDescent="0.25">
      <c r="A5" t="s">
        <v>0</v>
      </c>
      <c r="B5" s="2">
        <v>44600</v>
      </c>
      <c r="C5" t="s">
        <v>12</v>
      </c>
      <c r="D5" t="s">
        <v>697</v>
      </c>
      <c r="E5" t="s">
        <v>698</v>
      </c>
      <c r="F5" t="s">
        <v>4</v>
      </c>
      <c r="G5" t="s">
        <v>5</v>
      </c>
      <c r="H5" s="3">
        <v>2551.04</v>
      </c>
      <c r="I5" t="s">
        <v>876</v>
      </c>
      <c r="J5" t="s">
        <v>700</v>
      </c>
      <c r="K5" t="s">
        <v>877</v>
      </c>
      <c r="L5" t="s">
        <v>878</v>
      </c>
      <c r="M5" t="s">
        <v>16</v>
      </c>
      <c r="N5" t="s">
        <v>1</v>
      </c>
    </row>
    <row r="6" spans="1:24" x14ac:dyDescent="0.25">
      <c r="A6" t="s">
        <v>0</v>
      </c>
      <c r="B6" s="2">
        <v>44600</v>
      </c>
      <c r="C6" t="s">
        <v>12</v>
      </c>
      <c r="D6" t="s">
        <v>47</v>
      </c>
      <c r="E6" t="s">
        <v>48</v>
      </c>
      <c r="F6" t="s">
        <v>4</v>
      </c>
      <c r="G6" t="s">
        <v>5</v>
      </c>
      <c r="H6" s="3">
        <v>226.78</v>
      </c>
      <c r="I6" t="s">
        <v>1761</v>
      </c>
      <c r="J6" t="s">
        <v>700</v>
      </c>
      <c r="K6" t="s">
        <v>8</v>
      </c>
      <c r="L6" t="s">
        <v>1762</v>
      </c>
      <c r="M6" t="s">
        <v>16</v>
      </c>
      <c r="N6" t="s">
        <v>1</v>
      </c>
    </row>
    <row r="7" spans="1:24" x14ac:dyDescent="0.25">
      <c r="A7" t="s">
        <v>0</v>
      </c>
      <c r="B7" s="2">
        <v>44637</v>
      </c>
      <c r="C7" t="s">
        <v>17</v>
      </c>
      <c r="D7" t="s">
        <v>697</v>
      </c>
      <c r="E7" t="s">
        <v>698</v>
      </c>
      <c r="F7" t="s">
        <v>4</v>
      </c>
      <c r="G7" t="s">
        <v>5</v>
      </c>
      <c r="H7" s="3">
        <v>4780.07</v>
      </c>
      <c r="I7" t="s">
        <v>699</v>
      </c>
      <c r="J7" t="s">
        <v>700</v>
      </c>
      <c r="K7" t="s">
        <v>701</v>
      </c>
      <c r="L7" t="s">
        <v>702</v>
      </c>
      <c r="M7" t="s">
        <v>16</v>
      </c>
      <c r="N7" t="s">
        <v>1</v>
      </c>
    </row>
    <row r="8" spans="1:24" x14ac:dyDescent="0.25">
      <c r="A8" t="s">
        <v>0</v>
      </c>
      <c r="B8" s="2">
        <v>44637</v>
      </c>
      <c r="C8" t="s">
        <v>17</v>
      </c>
      <c r="D8" t="s">
        <v>697</v>
      </c>
      <c r="E8" t="s">
        <v>698</v>
      </c>
      <c r="F8" t="s">
        <v>4</v>
      </c>
      <c r="G8" t="s">
        <v>5</v>
      </c>
      <c r="H8" s="3">
        <v>4780.07</v>
      </c>
      <c r="I8" t="s">
        <v>703</v>
      </c>
      <c r="J8" t="s">
        <v>700</v>
      </c>
      <c r="K8" t="s">
        <v>704</v>
      </c>
      <c r="L8" t="s">
        <v>705</v>
      </c>
      <c r="M8" t="s">
        <v>16</v>
      </c>
      <c r="N8" t="s">
        <v>1</v>
      </c>
    </row>
    <row r="9" spans="1:24" x14ac:dyDescent="0.25">
      <c r="A9" t="s">
        <v>0</v>
      </c>
      <c r="B9" s="2">
        <v>44662</v>
      </c>
      <c r="C9" t="s">
        <v>43</v>
      </c>
      <c r="D9" t="s">
        <v>697</v>
      </c>
      <c r="E9" t="s">
        <v>698</v>
      </c>
      <c r="F9" t="s">
        <v>4</v>
      </c>
      <c r="G9" t="s">
        <v>5</v>
      </c>
      <c r="H9" s="3">
        <v>4780.07</v>
      </c>
      <c r="I9" t="s">
        <v>706</v>
      </c>
      <c r="J9" t="s">
        <v>700</v>
      </c>
      <c r="K9" t="s">
        <v>707</v>
      </c>
      <c r="L9" t="s">
        <v>708</v>
      </c>
      <c r="M9" t="s">
        <v>29</v>
      </c>
      <c r="N9" t="s">
        <v>1</v>
      </c>
    </row>
    <row r="10" spans="1:24" x14ac:dyDescent="0.25">
      <c r="A10" t="s">
        <v>0</v>
      </c>
      <c r="B10" s="2">
        <v>44691</v>
      </c>
      <c r="C10" t="s">
        <v>77</v>
      </c>
      <c r="D10" t="s">
        <v>697</v>
      </c>
      <c r="E10" t="s">
        <v>698</v>
      </c>
      <c r="F10" t="s">
        <v>4</v>
      </c>
      <c r="G10" t="s">
        <v>5</v>
      </c>
      <c r="H10" s="3">
        <v>4780.07</v>
      </c>
      <c r="I10" t="s">
        <v>709</v>
      </c>
      <c r="J10" t="s">
        <v>700</v>
      </c>
      <c r="K10" t="s">
        <v>710</v>
      </c>
      <c r="L10" t="s">
        <v>711</v>
      </c>
      <c r="M10" t="s">
        <v>29</v>
      </c>
      <c r="N10" t="s">
        <v>1</v>
      </c>
    </row>
    <row r="11" spans="1:24" x14ac:dyDescent="0.25">
      <c r="A11" t="s">
        <v>0</v>
      </c>
      <c r="B11" s="2">
        <v>44721</v>
      </c>
      <c r="C11" t="s">
        <v>22</v>
      </c>
      <c r="D11" t="s">
        <v>697</v>
      </c>
      <c r="E11" t="s">
        <v>698</v>
      </c>
      <c r="F11" t="s">
        <v>4</v>
      </c>
      <c r="G11" t="s">
        <v>5</v>
      </c>
      <c r="H11" s="3">
        <v>4780.07</v>
      </c>
      <c r="I11" t="s">
        <v>712</v>
      </c>
      <c r="J11" t="s">
        <v>700</v>
      </c>
      <c r="K11" t="s">
        <v>713</v>
      </c>
      <c r="L11" t="s">
        <v>714</v>
      </c>
      <c r="M11" t="s">
        <v>524</v>
      </c>
      <c r="N11" t="s">
        <v>1</v>
      </c>
    </row>
    <row r="12" spans="1:24" x14ac:dyDescent="0.25">
      <c r="A12" t="s">
        <v>0</v>
      </c>
      <c r="B12" s="2">
        <v>44754</v>
      </c>
      <c r="C12" t="s">
        <v>72</v>
      </c>
      <c r="D12" t="s">
        <v>697</v>
      </c>
      <c r="E12" t="s">
        <v>698</v>
      </c>
      <c r="F12" t="s">
        <v>4</v>
      </c>
      <c r="G12" t="s">
        <v>5</v>
      </c>
      <c r="H12" s="3">
        <v>4780.07</v>
      </c>
      <c r="I12" t="s">
        <v>715</v>
      </c>
      <c r="J12" t="s">
        <v>700</v>
      </c>
      <c r="K12" t="s">
        <v>716</v>
      </c>
      <c r="L12" t="s">
        <v>717</v>
      </c>
      <c r="M12" t="s">
        <v>16</v>
      </c>
      <c r="N12" t="s">
        <v>1</v>
      </c>
    </row>
    <row r="13" spans="1:24" x14ac:dyDescent="0.25">
      <c r="A13" t="s">
        <v>0</v>
      </c>
      <c r="B13" s="2">
        <v>44776</v>
      </c>
      <c r="C13" t="s">
        <v>82</v>
      </c>
      <c r="D13" t="s">
        <v>697</v>
      </c>
      <c r="E13" t="s">
        <v>698</v>
      </c>
      <c r="F13" t="s">
        <v>4</v>
      </c>
      <c r="G13" t="s">
        <v>5</v>
      </c>
      <c r="H13" s="3">
        <v>4780.07</v>
      </c>
      <c r="I13" t="s">
        <v>718</v>
      </c>
      <c r="J13" t="s">
        <v>700</v>
      </c>
      <c r="K13" t="s">
        <v>719</v>
      </c>
      <c r="L13" t="s">
        <v>720</v>
      </c>
      <c r="M13" t="s">
        <v>16</v>
      </c>
      <c r="N13" t="s">
        <v>1</v>
      </c>
    </row>
    <row r="14" spans="1:24" x14ac:dyDescent="0.25">
      <c r="A14" t="s">
        <v>0</v>
      </c>
      <c r="B14" s="2">
        <v>44813</v>
      </c>
      <c r="C14" t="s">
        <v>87</v>
      </c>
      <c r="D14" t="s">
        <v>697</v>
      </c>
      <c r="E14" t="s">
        <v>698</v>
      </c>
      <c r="F14" t="s">
        <v>4</v>
      </c>
      <c r="G14" t="s">
        <v>5</v>
      </c>
      <c r="H14" s="3">
        <v>4780.07</v>
      </c>
      <c r="I14" t="s">
        <v>721</v>
      </c>
      <c r="J14" t="s">
        <v>700</v>
      </c>
      <c r="K14" t="s">
        <v>722</v>
      </c>
      <c r="L14" t="s">
        <v>723</v>
      </c>
      <c r="M14" t="s">
        <v>16</v>
      </c>
      <c r="N14" t="s">
        <v>1</v>
      </c>
    </row>
    <row r="15" spans="1:24" x14ac:dyDescent="0.25">
      <c r="A15" t="s">
        <v>0</v>
      </c>
      <c r="B15" s="2">
        <v>44844</v>
      </c>
      <c r="C15" t="s">
        <v>30</v>
      </c>
      <c r="D15" t="s">
        <v>697</v>
      </c>
      <c r="E15" t="s">
        <v>698</v>
      </c>
      <c r="F15" t="s">
        <v>4</v>
      </c>
      <c r="G15" t="s">
        <v>5</v>
      </c>
      <c r="H15" s="3">
        <v>4780.07</v>
      </c>
      <c r="I15" t="s">
        <v>724</v>
      </c>
      <c r="J15" t="s">
        <v>700</v>
      </c>
      <c r="K15" t="s">
        <v>725</v>
      </c>
      <c r="L15" t="s">
        <v>726</v>
      </c>
      <c r="M15" t="s">
        <v>16</v>
      </c>
      <c r="N15" t="s">
        <v>1</v>
      </c>
    </row>
    <row r="16" spans="1:24" x14ac:dyDescent="0.25">
      <c r="A16" t="s">
        <v>0</v>
      </c>
      <c r="B16" s="2">
        <v>44872</v>
      </c>
      <c r="C16" t="s">
        <v>289</v>
      </c>
      <c r="D16" t="s">
        <v>697</v>
      </c>
      <c r="E16" t="s">
        <v>698</v>
      </c>
      <c r="F16" t="s">
        <v>4</v>
      </c>
      <c r="G16" t="s">
        <v>5</v>
      </c>
      <c r="H16" s="3">
        <v>4780.07</v>
      </c>
      <c r="I16" t="s">
        <v>727</v>
      </c>
      <c r="J16" t="s">
        <v>700</v>
      </c>
      <c r="K16" t="s">
        <v>728</v>
      </c>
      <c r="L16" t="s">
        <v>729</v>
      </c>
      <c r="M16" t="s">
        <v>29</v>
      </c>
      <c r="N16" t="s">
        <v>1</v>
      </c>
    </row>
    <row r="17" spans="1:23" x14ac:dyDescent="0.25">
      <c r="A17" t="s">
        <v>0</v>
      </c>
      <c r="B17" s="9">
        <v>44904</v>
      </c>
      <c r="C17" t="s">
        <v>246</v>
      </c>
      <c r="D17" t="s">
        <v>697</v>
      </c>
      <c r="E17" t="s">
        <v>698</v>
      </c>
      <c r="F17" t="s">
        <v>4</v>
      </c>
      <c r="G17" t="s">
        <v>5</v>
      </c>
      <c r="H17">
        <v>4780.07</v>
      </c>
      <c r="I17" t="s">
        <v>724</v>
      </c>
      <c r="J17" t="s">
        <v>700</v>
      </c>
      <c r="K17" t="s">
        <v>2327</v>
      </c>
      <c r="L17" t="s">
        <v>2328</v>
      </c>
      <c r="M17" t="s">
        <v>29</v>
      </c>
      <c r="N17" t="s">
        <v>1</v>
      </c>
      <c r="O17" s="9">
        <v>44897</v>
      </c>
      <c r="P17" t="s">
        <v>2329</v>
      </c>
      <c r="Q17" s="9">
        <v>44904</v>
      </c>
      <c r="R17" t="s">
        <v>8</v>
      </c>
    </row>
    <row r="18" spans="1:23" x14ac:dyDescent="0.25">
      <c r="A18" t="s">
        <v>2375</v>
      </c>
      <c r="B18" s="9">
        <v>44936</v>
      </c>
      <c r="C18" t="s">
        <v>1</v>
      </c>
      <c r="D18" t="s">
        <v>697</v>
      </c>
      <c r="E18" t="s">
        <v>698</v>
      </c>
      <c r="F18" t="s">
        <v>4</v>
      </c>
      <c r="G18" t="s">
        <v>5</v>
      </c>
      <c r="H18">
        <v>4780.07</v>
      </c>
      <c r="I18" t="s">
        <v>2385</v>
      </c>
      <c r="J18" t="s">
        <v>700</v>
      </c>
      <c r="K18" t="s">
        <v>2386</v>
      </c>
      <c r="L18" t="s">
        <v>2387</v>
      </c>
      <c r="M18" t="s">
        <v>29</v>
      </c>
      <c r="N18" t="s">
        <v>1</v>
      </c>
      <c r="O18" s="9">
        <v>44932</v>
      </c>
      <c r="P18" t="s">
        <v>2388</v>
      </c>
      <c r="Q18" s="9">
        <v>44936</v>
      </c>
      <c r="R18" t="s">
        <v>8</v>
      </c>
    </row>
    <row r="19" spans="1:23" x14ac:dyDescent="0.25">
      <c r="A19" t="s">
        <v>2375</v>
      </c>
      <c r="B19" s="9">
        <v>44963</v>
      </c>
      <c r="C19" t="s">
        <v>12</v>
      </c>
      <c r="D19" t="s">
        <v>697</v>
      </c>
      <c r="E19" t="s">
        <v>698</v>
      </c>
      <c r="F19" t="s">
        <v>4</v>
      </c>
      <c r="G19" t="s">
        <v>5</v>
      </c>
      <c r="H19">
        <v>5040.58</v>
      </c>
      <c r="I19" t="s">
        <v>2402</v>
      </c>
      <c r="J19" t="s">
        <v>700</v>
      </c>
      <c r="K19" t="s">
        <v>2403</v>
      </c>
      <c r="L19" t="s">
        <v>2404</v>
      </c>
      <c r="M19" t="s">
        <v>524</v>
      </c>
      <c r="N19" t="s">
        <v>1</v>
      </c>
      <c r="O19" s="9">
        <v>44958</v>
      </c>
      <c r="P19" t="s">
        <v>2405</v>
      </c>
      <c r="Q19" s="9">
        <v>44963</v>
      </c>
      <c r="R19" t="s">
        <v>2406</v>
      </c>
    </row>
    <row r="20" spans="1:23" x14ac:dyDescent="0.25">
      <c r="A20" t="s">
        <v>2375</v>
      </c>
      <c r="B20" s="9">
        <v>44986</v>
      </c>
      <c r="C20" s="7">
        <v>3</v>
      </c>
      <c r="D20" t="s">
        <v>697</v>
      </c>
      <c r="E20" t="s">
        <v>698</v>
      </c>
      <c r="F20" t="s">
        <v>4</v>
      </c>
      <c r="G20" t="s">
        <v>5</v>
      </c>
      <c r="H20">
        <v>0</v>
      </c>
      <c r="I20" t="s">
        <v>2441</v>
      </c>
      <c r="J20" t="s">
        <v>700</v>
      </c>
      <c r="K20" t="s">
        <v>2441</v>
      </c>
      <c r="L20" t="s">
        <v>2441</v>
      </c>
      <c r="M20" t="s">
        <v>2441</v>
      </c>
      <c r="N20" t="s">
        <v>2441</v>
      </c>
      <c r="O20" s="9" t="s">
        <v>2441</v>
      </c>
      <c r="P20" t="s">
        <v>2441</v>
      </c>
      <c r="Q20" s="9" t="s">
        <v>2441</v>
      </c>
    </row>
    <row r="21" spans="1:23" x14ac:dyDescent="0.25">
      <c r="A21" t="s">
        <v>2375</v>
      </c>
      <c r="B21" s="2">
        <v>45022</v>
      </c>
      <c r="C21" t="s">
        <v>43</v>
      </c>
      <c r="D21" t="s">
        <v>697</v>
      </c>
      <c r="E21" t="s">
        <v>698</v>
      </c>
      <c r="F21" t="s">
        <v>4</v>
      </c>
      <c r="G21" t="s">
        <v>5</v>
      </c>
      <c r="H21" s="3">
        <v>5040.58</v>
      </c>
      <c r="I21" t="s">
        <v>2470</v>
      </c>
      <c r="J21" t="s">
        <v>700</v>
      </c>
      <c r="K21" t="s">
        <v>2471</v>
      </c>
      <c r="L21" t="s">
        <v>2472</v>
      </c>
      <c r="M21" t="s">
        <v>524</v>
      </c>
      <c r="N21" t="s">
        <v>1</v>
      </c>
      <c r="O21" s="2">
        <v>44988</v>
      </c>
      <c r="P21" t="s">
        <v>2473</v>
      </c>
      <c r="Q21" s="2">
        <v>45022</v>
      </c>
      <c r="R21" t="s">
        <v>2474</v>
      </c>
    </row>
    <row r="22" spans="1:23" x14ac:dyDescent="0.25">
      <c r="A22" t="s">
        <v>2375</v>
      </c>
      <c r="B22" s="2">
        <v>45029</v>
      </c>
      <c r="C22" t="s">
        <v>43</v>
      </c>
      <c r="D22" t="s">
        <v>697</v>
      </c>
      <c r="E22" t="s">
        <v>698</v>
      </c>
      <c r="F22" t="s">
        <v>4</v>
      </c>
      <c r="G22" t="s">
        <v>5</v>
      </c>
      <c r="H22" s="3">
        <v>5040.58</v>
      </c>
      <c r="I22" t="s">
        <v>2475</v>
      </c>
      <c r="J22" t="s">
        <v>700</v>
      </c>
      <c r="K22" t="s">
        <v>2476</v>
      </c>
      <c r="L22" t="s">
        <v>2477</v>
      </c>
      <c r="M22" t="s">
        <v>524</v>
      </c>
      <c r="N22" t="s">
        <v>1</v>
      </c>
      <c r="O22" s="2">
        <v>45020</v>
      </c>
      <c r="P22" t="s">
        <v>2478</v>
      </c>
      <c r="Q22" s="2">
        <v>45029</v>
      </c>
      <c r="R22" t="s">
        <v>2479</v>
      </c>
    </row>
    <row r="23" spans="1:23" x14ac:dyDescent="0.25">
      <c r="A23" t="s">
        <v>2375</v>
      </c>
      <c r="B23" s="9">
        <v>45056</v>
      </c>
      <c r="C23" t="s">
        <v>77</v>
      </c>
      <c r="D23" t="s">
        <v>697</v>
      </c>
      <c r="E23" t="s">
        <v>698</v>
      </c>
      <c r="F23" t="s">
        <v>4</v>
      </c>
      <c r="G23" t="s">
        <v>5</v>
      </c>
      <c r="H23">
        <v>5040.58</v>
      </c>
      <c r="I23" t="s">
        <v>2512</v>
      </c>
      <c r="J23" t="s">
        <v>700</v>
      </c>
      <c r="K23" t="s">
        <v>2513</v>
      </c>
      <c r="L23" t="s">
        <v>2514</v>
      </c>
      <c r="M23" t="s">
        <v>2429</v>
      </c>
      <c r="N23" t="s">
        <v>1</v>
      </c>
      <c r="O23" s="9">
        <v>45049</v>
      </c>
      <c r="P23" t="s">
        <v>2515</v>
      </c>
      <c r="Q23" s="9">
        <v>45056</v>
      </c>
      <c r="R23" t="s">
        <v>2516</v>
      </c>
      <c r="S23" t="s">
        <v>724</v>
      </c>
    </row>
    <row r="24" spans="1:23" x14ac:dyDescent="0.25">
      <c r="A24" s="12" t="s">
        <v>2375</v>
      </c>
      <c r="B24" s="13">
        <v>45090</v>
      </c>
      <c r="C24" s="12" t="s">
        <v>22</v>
      </c>
      <c r="D24" s="12" t="s">
        <v>697</v>
      </c>
      <c r="E24" s="12" t="s">
        <v>698</v>
      </c>
      <c r="F24" s="12" t="s">
        <v>4</v>
      </c>
      <c r="G24" s="12" t="s">
        <v>5</v>
      </c>
      <c r="H24" s="14">
        <v>5040.58</v>
      </c>
      <c r="I24" s="12" t="s">
        <v>2580</v>
      </c>
      <c r="J24" s="12" t="s">
        <v>700</v>
      </c>
      <c r="K24" s="12" t="s">
        <v>2581</v>
      </c>
      <c r="L24" s="12" t="s">
        <v>2582</v>
      </c>
      <c r="M24" s="12" t="s">
        <v>524</v>
      </c>
      <c r="N24" s="12" t="s">
        <v>1</v>
      </c>
      <c r="O24" s="13">
        <v>45079</v>
      </c>
      <c r="P24" s="12" t="s">
        <v>2583</v>
      </c>
      <c r="Q24" s="13">
        <v>45090</v>
      </c>
      <c r="R24" s="12" t="s">
        <v>2584</v>
      </c>
      <c r="S24" s="12" t="s">
        <v>724</v>
      </c>
    </row>
    <row r="25" spans="1:23" x14ac:dyDescent="0.25">
      <c r="A25" t="s">
        <v>2375</v>
      </c>
      <c r="B25" s="2">
        <v>45124</v>
      </c>
      <c r="C25" t="s">
        <v>72</v>
      </c>
      <c r="D25" t="s">
        <v>697</v>
      </c>
      <c r="E25" t="s">
        <v>698</v>
      </c>
      <c r="F25" t="s">
        <v>4</v>
      </c>
      <c r="G25" t="s">
        <v>5</v>
      </c>
      <c r="H25" s="3">
        <v>5040.58</v>
      </c>
      <c r="I25" t="s">
        <v>2641</v>
      </c>
      <c r="J25" t="s">
        <v>700</v>
      </c>
      <c r="K25" t="s">
        <v>2642</v>
      </c>
      <c r="L25" t="s">
        <v>2643</v>
      </c>
      <c r="M25" t="s">
        <v>524</v>
      </c>
      <c r="N25" t="s">
        <v>1</v>
      </c>
      <c r="O25" s="2">
        <v>45117</v>
      </c>
      <c r="P25" t="s">
        <v>2644</v>
      </c>
      <c r="Q25" s="2">
        <v>45124</v>
      </c>
      <c r="R25" t="s">
        <v>2645</v>
      </c>
      <c r="S25" t="s">
        <v>724</v>
      </c>
    </row>
    <row r="26" spans="1:23" x14ac:dyDescent="0.25">
      <c r="A26" t="s">
        <v>2375</v>
      </c>
      <c r="B26" s="2">
        <v>45153</v>
      </c>
      <c r="C26" t="s">
        <v>82</v>
      </c>
      <c r="D26" t="s">
        <v>697</v>
      </c>
      <c r="E26" t="s">
        <v>698</v>
      </c>
      <c r="F26" t="s">
        <v>4</v>
      </c>
      <c r="G26" t="s">
        <v>5</v>
      </c>
      <c r="H26" s="3">
        <v>5040.58</v>
      </c>
      <c r="I26" t="s">
        <v>2673</v>
      </c>
      <c r="J26" t="s">
        <v>700</v>
      </c>
      <c r="K26" t="s">
        <v>2674</v>
      </c>
      <c r="L26" t="s">
        <v>2675</v>
      </c>
      <c r="M26" t="s">
        <v>524</v>
      </c>
      <c r="N26" t="s">
        <v>1</v>
      </c>
      <c r="O26" s="2">
        <v>45145</v>
      </c>
      <c r="P26" t="s">
        <v>2676</v>
      </c>
      <c r="Q26" s="2">
        <v>45153</v>
      </c>
      <c r="R26" t="s">
        <v>2677</v>
      </c>
      <c r="S26" t="s">
        <v>724</v>
      </c>
      <c r="T26" s="18">
        <v>1</v>
      </c>
      <c r="U26" t="s">
        <v>8</v>
      </c>
      <c r="V26" t="s">
        <v>8</v>
      </c>
    </row>
    <row r="27" spans="1:23" x14ac:dyDescent="0.25">
      <c r="A27" t="s">
        <v>2375</v>
      </c>
      <c r="B27" s="2">
        <v>45180</v>
      </c>
      <c r="C27" t="s">
        <v>87</v>
      </c>
      <c r="D27" t="s">
        <v>697</v>
      </c>
      <c r="E27" t="s">
        <v>698</v>
      </c>
      <c r="F27" t="s">
        <v>4</v>
      </c>
      <c r="G27" t="s">
        <v>5</v>
      </c>
      <c r="H27" s="3">
        <v>5040.58</v>
      </c>
      <c r="I27" t="s">
        <v>2733</v>
      </c>
      <c r="J27" t="s">
        <v>700</v>
      </c>
      <c r="K27" t="s">
        <v>2734</v>
      </c>
      <c r="L27" t="s">
        <v>2735</v>
      </c>
      <c r="M27" t="s">
        <v>524</v>
      </c>
      <c r="N27" t="s">
        <v>1</v>
      </c>
      <c r="O27" s="2">
        <v>45173</v>
      </c>
      <c r="P27" t="s">
        <v>2736</v>
      </c>
      <c r="Q27" s="2">
        <v>45180</v>
      </c>
      <c r="R27" t="s">
        <v>2737</v>
      </c>
      <c r="S27" t="s">
        <v>724</v>
      </c>
      <c r="T27" s="18">
        <v>1</v>
      </c>
      <c r="U27" t="s">
        <v>8</v>
      </c>
      <c r="V27" t="s">
        <v>8</v>
      </c>
    </row>
    <row r="28" spans="1:23" x14ac:dyDescent="0.25">
      <c r="A28" t="s">
        <v>2375</v>
      </c>
      <c r="B28" s="2">
        <v>45209</v>
      </c>
      <c r="C28" t="s">
        <v>30</v>
      </c>
      <c r="D28" t="s">
        <v>697</v>
      </c>
      <c r="E28" t="s">
        <v>698</v>
      </c>
      <c r="F28" t="s">
        <v>4</v>
      </c>
      <c r="G28" t="s">
        <v>5</v>
      </c>
      <c r="H28" s="3">
        <v>5040.58</v>
      </c>
      <c r="I28" t="s">
        <v>2779</v>
      </c>
      <c r="J28" t="s">
        <v>700</v>
      </c>
      <c r="K28" t="s">
        <v>2780</v>
      </c>
      <c r="L28" t="s">
        <v>2781</v>
      </c>
      <c r="M28" t="s">
        <v>524</v>
      </c>
      <c r="N28" t="s">
        <v>1</v>
      </c>
      <c r="O28" s="2">
        <v>45204</v>
      </c>
      <c r="P28" t="s">
        <v>2782</v>
      </c>
      <c r="Q28" s="2">
        <v>45209</v>
      </c>
      <c r="R28" t="s">
        <v>2783</v>
      </c>
      <c r="S28" t="s">
        <v>724</v>
      </c>
      <c r="T28" s="18">
        <v>1</v>
      </c>
      <c r="U28" t="s">
        <v>8</v>
      </c>
      <c r="V28" t="s">
        <v>8</v>
      </c>
      <c r="W28" t="s">
        <v>4</v>
      </c>
    </row>
    <row r="29" spans="1:23" x14ac:dyDescent="0.25">
      <c r="A29" t="s">
        <v>2375</v>
      </c>
      <c r="B29" s="2">
        <v>45243</v>
      </c>
      <c r="C29" t="s">
        <v>289</v>
      </c>
      <c r="D29" t="s">
        <v>697</v>
      </c>
      <c r="E29" t="s">
        <v>698</v>
      </c>
      <c r="F29" t="s">
        <v>4</v>
      </c>
      <c r="G29" t="s">
        <v>5</v>
      </c>
      <c r="H29" s="3">
        <v>5040.58</v>
      </c>
      <c r="I29" t="s">
        <v>2821</v>
      </c>
      <c r="J29" t="s">
        <v>700</v>
      </c>
      <c r="K29" t="s">
        <v>2822</v>
      </c>
      <c r="L29" t="s">
        <v>2823</v>
      </c>
      <c r="M29" t="s">
        <v>16</v>
      </c>
      <c r="N29" t="s">
        <v>1</v>
      </c>
      <c r="O29" s="2">
        <v>45236</v>
      </c>
      <c r="P29" t="s">
        <v>2824</v>
      </c>
      <c r="Q29" s="2">
        <v>45243</v>
      </c>
      <c r="R29" t="s">
        <v>2825</v>
      </c>
      <c r="S29" t="s">
        <v>724</v>
      </c>
      <c r="T29" s="18">
        <v>1</v>
      </c>
      <c r="U29" t="s">
        <v>8</v>
      </c>
      <c r="V29" t="s">
        <v>8</v>
      </c>
      <c r="W29" t="s">
        <v>4</v>
      </c>
    </row>
    <row r="30" spans="1:23" x14ac:dyDescent="0.25">
      <c r="A30" t="s">
        <v>2375</v>
      </c>
      <c r="B30" s="2">
        <v>45279</v>
      </c>
      <c r="C30" t="s">
        <v>246</v>
      </c>
      <c r="D30" t="s">
        <v>697</v>
      </c>
      <c r="E30" t="s">
        <v>698</v>
      </c>
      <c r="F30" t="s">
        <v>4</v>
      </c>
      <c r="G30" t="s">
        <v>5</v>
      </c>
      <c r="H30" s="3">
        <v>5040.58</v>
      </c>
      <c r="I30" t="s">
        <v>2875</v>
      </c>
      <c r="J30" t="s">
        <v>700</v>
      </c>
      <c r="K30" t="s">
        <v>2876</v>
      </c>
      <c r="L30" t="s">
        <v>2877</v>
      </c>
      <c r="M30" t="s">
        <v>29</v>
      </c>
      <c r="N30" t="s">
        <v>1</v>
      </c>
      <c r="O30" s="2">
        <v>45264</v>
      </c>
      <c r="P30" t="s">
        <v>2878</v>
      </c>
      <c r="Q30" s="2">
        <v>45279</v>
      </c>
      <c r="R30" t="s">
        <v>2879</v>
      </c>
      <c r="S30" t="s">
        <v>724</v>
      </c>
      <c r="T30" s="18">
        <v>1</v>
      </c>
      <c r="U30" t="s">
        <v>8</v>
      </c>
      <c r="V30" t="s">
        <v>8</v>
      </c>
      <c r="W30" t="s">
        <v>4</v>
      </c>
    </row>
    <row r="31" spans="1:23" x14ac:dyDescent="0.25">
      <c r="A31" t="s">
        <v>2880</v>
      </c>
      <c r="B31" s="2">
        <v>45306</v>
      </c>
      <c r="C31" t="s">
        <v>1</v>
      </c>
      <c r="D31" t="s">
        <v>697</v>
      </c>
      <c r="E31" t="s">
        <v>698</v>
      </c>
      <c r="F31" t="s">
        <v>4</v>
      </c>
      <c r="G31" t="s">
        <v>5</v>
      </c>
      <c r="H31" s="3">
        <v>5040.58</v>
      </c>
      <c r="I31" t="s">
        <v>2881</v>
      </c>
      <c r="J31" t="s">
        <v>700</v>
      </c>
      <c r="K31" t="s">
        <v>2882</v>
      </c>
      <c r="L31" t="s">
        <v>2883</v>
      </c>
      <c r="M31" t="s">
        <v>524</v>
      </c>
      <c r="N31" t="s">
        <v>1</v>
      </c>
      <c r="O31" s="2">
        <v>45301</v>
      </c>
      <c r="P31" t="s">
        <v>2884</v>
      </c>
      <c r="Q31" s="2">
        <v>45306</v>
      </c>
      <c r="R31" t="s">
        <v>2885</v>
      </c>
      <c r="S31" t="s">
        <v>724</v>
      </c>
      <c r="T31" s="18">
        <v>1</v>
      </c>
      <c r="U31" t="s">
        <v>8</v>
      </c>
      <c r="V31" t="s">
        <v>8</v>
      </c>
      <c r="W31" t="s">
        <v>4</v>
      </c>
    </row>
    <row r="32" spans="1:23" x14ac:dyDescent="0.25">
      <c r="A32" t="s">
        <v>2880</v>
      </c>
      <c r="B32" s="2">
        <v>45328</v>
      </c>
      <c r="C32" t="s">
        <v>12</v>
      </c>
      <c r="D32" t="s">
        <v>697</v>
      </c>
      <c r="E32" t="s">
        <v>698</v>
      </c>
      <c r="F32" t="s">
        <v>4</v>
      </c>
      <c r="G32" t="s">
        <v>5</v>
      </c>
      <c r="H32" s="3">
        <v>5040.58</v>
      </c>
      <c r="I32" t="s">
        <v>2886</v>
      </c>
      <c r="J32" t="s">
        <v>700</v>
      </c>
      <c r="K32" t="s">
        <v>2887</v>
      </c>
      <c r="L32" t="s">
        <v>2888</v>
      </c>
      <c r="M32" t="s">
        <v>524</v>
      </c>
      <c r="N32" t="s">
        <v>1</v>
      </c>
      <c r="O32" s="2">
        <v>45324</v>
      </c>
      <c r="P32" t="s">
        <v>2889</v>
      </c>
      <c r="Q32" s="2">
        <v>45328</v>
      </c>
      <c r="R32" t="s">
        <v>2890</v>
      </c>
      <c r="S32" t="s">
        <v>724</v>
      </c>
      <c r="T32" s="18">
        <v>1</v>
      </c>
      <c r="U32" t="s">
        <v>8</v>
      </c>
      <c r="V32" t="s">
        <v>8</v>
      </c>
      <c r="W32" t="s">
        <v>4</v>
      </c>
    </row>
    <row r="33" spans="1:24" x14ac:dyDescent="0.25">
      <c r="A33" t="s">
        <v>2880</v>
      </c>
      <c r="B33" s="2">
        <v>45358</v>
      </c>
      <c r="C33" t="s">
        <v>17</v>
      </c>
      <c r="D33" t="s">
        <v>697</v>
      </c>
      <c r="E33" t="s">
        <v>698</v>
      </c>
      <c r="F33" t="s">
        <v>4</v>
      </c>
      <c r="G33" t="s">
        <v>5</v>
      </c>
      <c r="H33" s="3">
        <v>5040.58</v>
      </c>
      <c r="I33" t="s">
        <v>2957</v>
      </c>
      <c r="J33" t="s">
        <v>700</v>
      </c>
      <c r="K33" t="s">
        <v>2958</v>
      </c>
      <c r="L33" t="s">
        <v>2959</v>
      </c>
      <c r="M33" t="s">
        <v>2493</v>
      </c>
      <c r="N33" t="s">
        <v>1</v>
      </c>
      <c r="O33" s="2">
        <v>45355</v>
      </c>
      <c r="P33" t="s">
        <v>2960</v>
      </c>
      <c r="Q33" s="2">
        <v>45358</v>
      </c>
      <c r="R33" t="s">
        <v>2961</v>
      </c>
      <c r="S33" t="s">
        <v>724</v>
      </c>
      <c r="T33" s="18">
        <v>1</v>
      </c>
      <c r="U33" t="s">
        <v>8</v>
      </c>
      <c r="V33" t="s">
        <v>8</v>
      </c>
      <c r="W33" t="s">
        <v>4</v>
      </c>
    </row>
    <row r="34" spans="1:24" x14ac:dyDescent="0.25">
      <c r="A34" t="s">
        <v>2880</v>
      </c>
      <c r="B34" s="2">
        <v>45386</v>
      </c>
      <c r="C34" t="s">
        <v>43</v>
      </c>
      <c r="D34" t="s">
        <v>2</v>
      </c>
      <c r="E34" t="s">
        <v>3</v>
      </c>
      <c r="F34" t="s">
        <v>4</v>
      </c>
      <c r="G34" t="s">
        <v>5</v>
      </c>
      <c r="H34" s="3">
        <v>5040.58</v>
      </c>
      <c r="I34" t="s">
        <v>930</v>
      </c>
      <c r="J34" t="s">
        <v>700</v>
      </c>
      <c r="K34" t="s">
        <v>3010</v>
      </c>
      <c r="L34" t="s">
        <v>3011</v>
      </c>
      <c r="M34" t="s">
        <v>2493</v>
      </c>
      <c r="N34" t="s">
        <v>1</v>
      </c>
      <c r="O34" s="2">
        <v>45383</v>
      </c>
      <c r="P34" t="s">
        <v>3012</v>
      </c>
      <c r="Q34" s="2">
        <v>45386</v>
      </c>
      <c r="R34" t="s">
        <v>3013</v>
      </c>
      <c r="S34" t="s">
        <v>724</v>
      </c>
      <c r="T34" s="18">
        <v>1</v>
      </c>
      <c r="U34" t="s">
        <v>8</v>
      </c>
      <c r="V34" t="s">
        <v>8</v>
      </c>
      <c r="W34" t="s">
        <v>4</v>
      </c>
    </row>
    <row r="35" spans="1:24" x14ac:dyDescent="0.25">
      <c r="A35" t="s">
        <v>2880</v>
      </c>
      <c r="B35" s="2">
        <v>45394</v>
      </c>
      <c r="C35" t="s">
        <v>43</v>
      </c>
      <c r="D35" t="s">
        <v>2</v>
      </c>
      <c r="E35" t="s">
        <v>3</v>
      </c>
      <c r="F35" t="s">
        <v>4</v>
      </c>
      <c r="G35" t="s">
        <v>5</v>
      </c>
      <c r="H35" s="3">
        <v>4400</v>
      </c>
      <c r="I35" t="s">
        <v>3014</v>
      </c>
      <c r="J35" t="s">
        <v>700</v>
      </c>
      <c r="K35" t="s">
        <v>3015</v>
      </c>
      <c r="L35" t="s">
        <v>3016</v>
      </c>
      <c r="M35" t="s">
        <v>450</v>
      </c>
      <c r="N35" t="s">
        <v>1</v>
      </c>
      <c r="O35" s="2">
        <v>45390</v>
      </c>
      <c r="P35" t="s">
        <v>3017</v>
      </c>
      <c r="Q35" s="2">
        <v>45394</v>
      </c>
      <c r="R35" t="s">
        <v>3018</v>
      </c>
      <c r="S35" t="s">
        <v>3019</v>
      </c>
      <c r="T35" s="18">
        <v>5</v>
      </c>
      <c r="U35" t="s">
        <v>8</v>
      </c>
      <c r="V35" t="s">
        <v>8</v>
      </c>
      <c r="W35" t="s">
        <v>4</v>
      </c>
    </row>
    <row r="36" spans="1:24" x14ac:dyDescent="0.25">
      <c r="A36" t="s">
        <v>2880</v>
      </c>
      <c r="B36" s="9">
        <v>45427</v>
      </c>
      <c r="C36" t="s">
        <v>77</v>
      </c>
      <c r="D36" t="s">
        <v>2</v>
      </c>
      <c r="E36" t="s">
        <v>3</v>
      </c>
      <c r="F36" t="s">
        <v>4</v>
      </c>
      <c r="G36" t="s">
        <v>5</v>
      </c>
      <c r="H36">
        <v>560</v>
      </c>
      <c r="I36" t="s">
        <v>3054</v>
      </c>
      <c r="J36" t="s">
        <v>700</v>
      </c>
      <c r="K36" t="s">
        <v>3015</v>
      </c>
      <c r="L36" t="s">
        <v>3055</v>
      </c>
      <c r="M36" t="s">
        <v>446</v>
      </c>
      <c r="N36" t="s">
        <v>1</v>
      </c>
      <c r="O36" s="9">
        <v>45420</v>
      </c>
      <c r="P36" t="s">
        <v>3056</v>
      </c>
      <c r="Q36" s="9">
        <v>45427</v>
      </c>
      <c r="R36" t="s">
        <v>3057</v>
      </c>
      <c r="S36" t="s">
        <v>3058</v>
      </c>
      <c r="T36">
        <v>2</v>
      </c>
      <c r="U36" t="s">
        <v>8</v>
      </c>
      <c r="V36" t="s">
        <v>8</v>
      </c>
      <c r="W36" t="s">
        <v>4</v>
      </c>
    </row>
    <row r="37" spans="1:24" x14ac:dyDescent="0.25">
      <c r="A37" t="s">
        <v>2880</v>
      </c>
      <c r="B37" s="9">
        <v>45457</v>
      </c>
      <c r="C37" t="s">
        <v>22</v>
      </c>
      <c r="D37" t="s">
        <v>2</v>
      </c>
      <c r="E37" t="s">
        <v>3</v>
      </c>
      <c r="F37" t="s">
        <v>4</v>
      </c>
      <c r="G37" t="s">
        <v>5</v>
      </c>
      <c r="H37" s="8">
        <v>5040.58</v>
      </c>
      <c r="I37" t="s">
        <v>3135</v>
      </c>
      <c r="J37" t="s">
        <v>700</v>
      </c>
      <c r="K37" t="s">
        <v>3136</v>
      </c>
      <c r="L37" t="s">
        <v>3137</v>
      </c>
      <c r="M37" t="s">
        <v>2493</v>
      </c>
      <c r="N37" t="s">
        <v>1</v>
      </c>
      <c r="O37" s="9">
        <v>45450</v>
      </c>
      <c r="P37" t="s">
        <v>3138</v>
      </c>
      <c r="Q37" s="9">
        <v>45457</v>
      </c>
      <c r="R37" t="s">
        <v>3139</v>
      </c>
      <c r="S37" t="s">
        <v>724</v>
      </c>
      <c r="T37">
        <v>1</v>
      </c>
      <c r="U37" t="s">
        <v>8</v>
      </c>
      <c r="V37" t="s">
        <v>8</v>
      </c>
      <c r="W37" t="s">
        <v>4</v>
      </c>
      <c r="X37" t="s">
        <v>3</v>
      </c>
    </row>
    <row r="38" spans="1:24" x14ac:dyDescent="0.25">
      <c r="A38" t="s">
        <v>2880</v>
      </c>
      <c r="B38" s="9">
        <v>45455</v>
      </c>
      <c r="C38" t="s">
        <v>22</v>
      </c>
      <c r="D38" t="s">
        <v>2</v>
      </c>
      <c r="E38" t="s">
        <v>3</v>
      </c>
      <c r="F38" t="s">
        <v>4</v>
      </c>
      <c r="G38" t="s">
        <v>5</v>
      </c>
      <c r="H38" s="8">
        <v>5040.58</v>
      </c>
      <c r="I38" t="s">
        <v>474</v>
      </c>
      <c r="J38" t="s">
        <v>700</v>
      </c>
      <c r="K38" t="s">
        <v>3140</v>
      </c>
      <c r="L38" t="s">
        <v>3141</v>
      </c>
      <c r="M38" t="s">
        <v>2493</v>
      </c>
      <c r="N38" t="s">
        <v>1</v>
      </c>
      <c r="O38" s="9">
        <v>45418</v>
      </c>
      <c r="P38" t="s">
        <v>3142</v>
      </c>
      <c r="Q38" s="9">
        <v>45455</v>
      </c>
      <c r="R38" t="s">
        <v>3143</v>
      </c>
      <c r="S38" t="s">
        <v>724</v>
      </c>
      <c r="T38">
        <v>1</v>
      </c>
      <c r="U38" t="s">
        <v>8</v>
      </c>
      <c r="V38" t="s">
        <v>8</v>
      </c>
      <c r="W38" t="s">
        <v>4</v>
      </c>
      <c r="X38" t="s">
        <v>3</v>
      </c>
    </row>
    <row r="39" spans="1:24" x14ac:dyDescent="0.25">
      <c r="A39" t="s">
        <v>2880</v>
      </c>
      <c r="B39" s="9">
        <v>45478</v>
      </c>
      <c r="C39" t="s">
        <v>72</v>
      </c>
      <c r="D39" t="s">
        <v>2</v>
      </c>
      <c r="E39" t="s">
        <v>3</v>
      </c>
      <c r="F39" t="s">
        <v>4</v>
      </c>
      <c r="G39" t="s">
        <v>5</v>
      </c>
      <c r="H39">
        <v>3168.34</v>
      </c>
      <c r="I39" t="s">
        <v>3144</v>
      </c>
      <c r="J39" t="s">
        <v>700</v>
      </c>
      <c r="K39" t="s">
        <v>3145</v>
      </c>
      <c r="L39" t="s">
        <v>3146</v>
      </c>
      <c r="M39" t="s">
        <v>2493</v>
      </c>
      <c r="N39" t="s">
        <v>1</v>
      </c>
      <c r="O39" s="9">
        <v>45463</v>
      </c>
      <c r="P39" t="s">
        <v>3147</v>
      </c>
      <c r="Q39" s="9">
        <v>45478</v>
      </c>
      <c r="R39" t="s">
        <v>3148</v>
      </c>
      <c r="S39" t="s">
        <v>3149</v>
      </c>
      <c r="T39">
        <v>2</v>
      </c>
      <c r="U39" t="s">
        <v>8</v>
      </c>
      <c r="V39" t="s">
        <v>8</v>
      </c>
      <c r="W39" t="s">
        <v>4</v>
      </c>
      <c r="X39" t="s">
        <v>3</v>
      </c>
    </row>
    <row r="40" spans="1:24" x14ac:dyDescent="0.25">
      <c r="A40" t="s">
        <v>2880</v>
      </c>
      <c r="B40" s="9">
        <v>45509</v>
      </c>
      <c r="C40" t="s">
        <v>82</v>
      </c>
      <c r="D40" t="s">
        <v>2</v>
      </c>
      <c r="E40" t="s">
        <v>3</v>
      </c>
      <c r="F40" t="s">
        <v>4</v>
      </c>
      <c r="G40" t="s">
        <v>5</v>
      </c>
      <c r="H40">
        <v>5040.58</v>
      </c>
      <c r="I40" t="s">
        <v>3198</v>
      </c>
      <c r="J40" t="s">
        <v>700</v>
      </c>
      <c r="K40" t="s">
        <v>3199</v>
      </c>
      <c r="L40" t="s">
        <v>3200</v>
      </c>
      <c r="M40" t="s">
        <v>11</v>
      </c>
      <c r="N40" t="s">
        <v>1</v>
      </c>
      <c r="O40" s="9">
        <v>45476</v>
      </c>
      <c r="P40" t="s">
        <v>3201</v>
      </c>
      <c r="Q40" s="9">
        <v>45509</v>
      </c>
      <c r="R40" t="s">
        <v>3202</v>
      </c>
      <c r="S40" t="s">
        <v>724</v>
      </c>
      <c r="T40">
        <v>1</v>
      </c>
      <c r="U40" t="s">
        <v>8</v>
      </c>
      <c r="V40" t="s">
        <v>8</v>
      </c>
      <c r="W40" t="s">
        <v>4</v>
      </c>
      <c r="X40" t="s">
        <v>3</v>
      </c>
    </row>
    <row r="41" spans="1:24" x14ac:dyDescent="0.25">
      <c r="A41" t="s">
        <v>2880</v>
      </c>
      <c r="B41" s="9">
        <v>45513</v>
      </c>
      <c r="C41" t="s">
        <v>82</v>
      </c>
      <c r="D41" t="s">
        <v>2</v>
      </c>
      <c r="E41" t="s">
        <v>3</v>
      </c>
      <c r="F41" t="s">
        <v>4</v>
      </c>
      <c r="G41" t="s">
        <v>5</v>
      </c>
      <c r="H41">
        <v>5040.58</v>
      </c>
      <c r="I41" t="s">
        <v>3203</v>
      </c>
      <c r="J41" t="s">
        <v>700</v>
      </c>
      <c r="K41" t="s">
        <v>3204</v>
      </c>
      <c r="L41" t="s">
        <v>3205</v>
      </c>
      <c r="M41" t="s">
        <v>21</v>
      </c>
      <c r="N41" t="s">
        <v>1</v>
      </c>
      <c r="O41" s="9">
        <v>45505</v>
      </c>
      <c r="P41" t="s">
        <v>3206</v>
      </c>
      <c r="Q41" s="9">
        <v>45513</v>
      </c>
      <c r="R41" t="s">
        <v>3207</v>
      </c>
      <c r="S41" t="s">
        <v>724</v>
      </c>
      <c r="T41">
        <v>1</v>
      </c>
      <c r="U41" t="s">
        <v>8</v>
      </c>
      <c r="V41" t="s">
        <v>8</v>
      </c>
      <c r="W41" t="s">
        <v>4</v>
      </c>
      <c r="X41" t="s">
        <v>3</v>
      </c>
    </row>
    <row r="42" spans="1:24" x14ac:dyDescent="0.25">
      <c r="A42" t="s">
        <v>2880</v>
      </c>
      <c r="B42" s="9">
        <v>45562</v>
      </c>
      <c r="C42" t="s">
        <v>87</v>
      </c>
      <c r="D42" t="s">
        <v>2</v>
      </c>
      <c r="E42" t="s">
        <v>3</v>
      </c>
      <c r="F42" t="s">
        <v>4</v>
      </c>
      <c r="G42" t="s">
        <v>5</v>
      </c>
      <c r="H42">
        <v>5040.58</v>
      </c>
      <c r="I42" t="s">
        <v>3229</v>
      </c>
      <c r="J42" t="s">
        <v>700</v>
      </c>
      <c r="K42" t="s">
        <v>3230</v>
      </c>
      <c r="L42" t="s">
        <v>3231</v>
      </c>
      <c r="M42" t="s">
        <v>21</v>
      </c>
      <c r="N42" t="s">
        <v>1</v>
      </c>
      <c r="O42" s="9">
        <v>45538</v>
      </c>
      <c r="P42" t="s">
        <v>3232</v>
      </c>
      <c r="Q42" s="9">
        <v>45562</v>
      </c>
      <c r="R42" t="s">
        <v>3233</v>
      </c>
      <c r="S42" t="s">
        <v>724</v>
      </c>
      <c r="T42">
        <v>1</v>
      </c>
      <c r="U42" t="s">
        <v>8</v>
      </c>
      <c r="V42" t="s">
        <v>8</v>
      </c>
      <c r="W42" t="s">
        <v>4</v>
      </c>
      <c r="X42" t="s">
        <v>3</v>
      </c>
    </row>
    <row r="43" spans="1:24" x14ac:dyDescent="0.25">
      <c r="A43" t="s">
        <v>2880</v>
      </c>
      <c r="B43" s="2">
        <v>45582</v>
      </c>
      <c r="C43" t="s">
        <v>30</v>
      </c>
      <c r="D43" t="s">
        <v>2</v>
      </c>
      <c r="E43" t="s">
        <v>3</v>
      </c>
      <c r="F43" t="s">
        <v>4</v>
      </c>
      <c r="G43" t="s">
        <v>5</v>
      </c>
      <c r="H43" s="3">
        <v>5040.58</v>
      </c>
      <c r="I43" t="s">
        <v>3272</v>
      </c>
      <c r="J43" t="s">
        <v>700</v>
      </c>
      <c r="K43" t="s">
        <v>3273</v>
      </c>
      <c r="L43" t="s">
        <v>3274</v>
      </c>
      <c r="M43" t="s">
        <v>21</v>
      </c>
      <c r="N43" t="s">
        <v>1</v>
      </c>
      <c r="O43" s="2">
        <v>45566</v>
      </c>
      <c r="P43" t="s">
        <v>3275</v>
      </c>
      <c r="Q43" s="2">
        <v>45582</v>
      </c>
      <c r="R43" t="s">
        <v>3276</v>
      </c>
      <c r="S43" t="s">
        <v>724</v>
      </c>
      <c r="T43" s="18">
        <v>1</v>
      </c>
      <c r="U43" t="s">
        <v>8</v>
      </c>
      <c r="V43" t="s">
        <v>8</v>
      </c>
      <c r="W43" t="s">
        <v>4</v>
      </c>
      <c r="X43" t="s">
        <v>3</v>
      </c>
    </row>
    <row r="44" spans="1:24" x14ac:dyDescent="0.25">
      <c r="A44" t="s">
        <v>2880</v>
      </c>
      <c r="B44" s="2">
        <v>45602</v>
      </c>
      <c r="C44" t="s">
        <v>289</v>
      </c>
      <c r="D44" t="s">
        <v>410</v>
      </c>
      <c r="E44" t="s">
        <v>411</v>
      </c>
      <c r="F44" t="s">
        <v>4</v>
      </c>
      <c r="G44" t="s">
        <v>5</v>
      </c>
      <c r="H44" s="3">
        <v>5040.58</v>
      </c>
      <c r="I44" t="s">
        <v>3344</v>
      </c>
      <c r="J44" t="s">
        <v>700</v>
      </c>
      <c r="K44" t="s">
        <v>3345</v>
      </c>
      <c r="L44" t="s">
        <v>3346</v>
      </c>
      <c r="M44" t="s">
        <v>3291</v>
      </c>
      <c r="N44" t="s">
        <v>1</v>
      </c>
      <c r="O44" s="2">
        <v>45597</v>
      </c>
      <c r="P44" t="s">
        <v>3347</v>
      </c>
      <c r="Q44" s="2">
        <v>45602</v>
      </c>
      <c r="R44" t="s">
        <v>3348</v>
      </c>
      <c r="S44" t="s">
        <v>724</v>
      </c>
      <c r="T44" s="18">
        <v>1</v>
      </c>
      <c r="U44" t="s">
        <v>8</v>
      </c>
      <c r="V44" t="s">
        <v>8</v>
      </c>
      <c r="W44" t="s">
        <v>4</v>
      </c>
      <c r="X44" t="s">
        <v>3228</v>
      </c>
    </row>
    <row r="45" spans="1:24" x14ac:dyDescent="0.25">
      <c r="A45" t="s">
        <v>2880</v>
      </c>
      <c r="B45" s="2">
        <v>45629</v>
      </c>
      <c r="C45" t="s">
        <v>246</v>
      </c>
      <c r="D45" t="s">
        <v>410</v>
      </c>
      <c r="E45" t="s">
        <v>411</v>
      </c>
      <c r="F45" t="s">
        <v>4</v>
      </c>
      <c r="G45" t="s">
        <v>5</v>
      </c>
      <c r="H45" s="3">
        <v>5040.58</v>
      </c>
      <c r="I45" t="s">
        <v>3428</v>
      </c>
      <c r="J45" t="s">
        <v>700</v>
      </c>
      <c r="K45" t="s">
        <v>3429</v>
      </c>
      <c r="L45" t="s">
        <v>3430</v>
      </c>
      <c r="M45" t="s">
        <v>3291</v>
      </c>
      <c r="N45" t="s">
        <v>1</v>
      </c>
      <c r="O45" s="2">
        <v>45628</v>
      </c>
      <c r="P45" t="s">
        <v>3431</v>
      </c>
      <c r="Q45" s="2">
        <v>45629</v>
      </c>
      <c r="R45" t="s">
        <v>3432</v>
      </c>
      <c r="S45" t="s">
        <v>724</v>
      </c>
      <c r="T45" s="18">
        <v>1</v>
      </c>
      <c r="U45" t="s">
        <v>8</v>
      </c>
      <c r="V45" t="s">
        <v>8</v>
      </c>
      <c r="W45" t="s">
        <v>4</v>
      </c>
      <c r="X45" t="s">
        <v>3228</v>
      </c>
    </row>
    <row r="46" spans="1:24" x14ac:dyDescent="0.25">
      <c r="A46" t="s">
        <v>3433</v>
      </c>
      <c r="B46" s="9">
        <v>45663</v>
      </c>
      <c r="C46" t="s">
        <v>1</v>
      </c>
      <c r="D46" t="s">
        <v>410</v>
      </c>
      <c r="E46" t="s">
        <v>411</v>
      </c>
      <c r="F46" t="s">
        <v>4</v>
      </c>
      <c r="G46" t="s">
        <v>5</v>
      </c>
      <c r="H46" s="25">
        <v>5040.58</v>
      </c>
      <c r="I46" t="s">
        <v>3434</v>
      </c>
      <c r="J46" t="s">
        <v>700</v>
      </c>
      <c r="K46" t="s">
        <v>3435</v>
      </c>
      <c r="L46" t="s">
        <v>3436</v>
      </c>
      <c r="M46" t="s">
        <v>3291</v>
      </c>
      <c r="N46" t="s">
        <v>1</v>
      </c>
      <c r="O46" s="9">
        <v>45662</v>
      </c>
      <c r="P46" t="s">
        <v>3437</v>
      </c>
      <c r="Q46" s="9">
        <v>45663</v>
      </c>
      <c r="R46" t="s">
        <v>3438</v>
      </c>
      <c r="S46" t="s">
        <v>724</v>
      </c>
      <c r="T46">
        <v>1</v>
      </c>
      <c r="U46" t="s">
        <v>8</v>
      </c>
      <c r="V46" t="s">
        <v>8</v>
      </c>
      <c r="W46" t="s">
        <v>4</v>
      </c>
      <c r="X46" t="s">
        <v>3228</v>
      </c>
    </row>
    <row r="47" spans="1:24" x14ac:dyDescent="0.25">
      <c r="A47" t="s">
        <v>3433</v>
      </c>
      <c r="B47" s="9">
        <v>45693</v>
      </c>
      <c r="C47" t="s">
        <v>12</v>
      </c>
      <c r="D47" t="s">
        <v>410</v>
      </c>
      <c r="E47" t="s">
        <v>411</v>
      </c>
      <c r="F47" t="s">
        <v>4</v>
      </c>
      <c r="G47" t="s">
        <v>5</v>
      </c>
      <c r="H47" s="25">
        <v>5040.58</v>
      </c>
      <c r="I47" t="s">
        <v>3465</v>
      </c>
      <c r="J47" t="s">
        <v>700</v>
      </c>
      <c r="K47" t="s">
        <v>3466</v>
      </c>
      <c r="L47" t="s">
        <v>3467</v>
      </c>
      <c r="M47" t="s">
        <v>21</v>
      </c>
      <c r="N47" t="s">
        <v>1</v>
      </c>
      <c r="O47" s="9">
        <v>45692</v>
      </c>
      <c r="P47" t="s">
        <v>3468</v>
      </c>
      <c r="Q47" s="9">
        <v>45693</v>
      </c>
      <c r="R47" t="s">
        <v>3469</v>
      </c>
      <c r="S47" t="s">
        <v>724</v>
      </c>
      <c r="T47">
        <v>1</v>
      </c>
      <c r="U47" t="s">
        <v>8</v>
      </c>
      <c r="V47" t="s">
        <v>8</v>
      </c>
      <c r="W47" t="s">
        <v>4</v>
      </c>
      <c r="X47" t="s">
        <v>3228</v>
      </c>
    </row>
    <row r="48" spans="1:24" x14ac:dyDescent="0.25">
      <c r="A48" t="s">
        <v>3433</v>
      </c>
      <c r="B48" s="9">
        <v>45726</v>
      </c>
      <c r="C48" t="s">
        <v>17</v>
      </c>
      <c r="D48" t="s">
        <v>410</v>
      </c>
      <c r="E48" t="s">
        <v>411</v>
      </c>
      <c r="F48" t="s">
        <v>4</v>
      </c>
      <c r="G48" t="s">
        <v>5</v>
      </c>
      <c r="H48" s="25">
        <v>5040.58</v>
      </c>
      <c r="I48" t="s">
        <v>3498</v>
      </c>
      <c r="J48" t="s">
        <v>700</v>
      </c>
      <c r="K48" t="s">
        <v>3499</v>
      </c>
      <c r="L48" t="s">
        <v>3500</v>
      </c>
      <c r="M48" t="s">
        <v>3280</v>
      </c>
      <c r="N48" t="s">
        <v>1</v>
      </c>
      <c r="O48" s="9">
        <v>45724</v>
      </c>
      <c r="P48" t="s">
        <v>3501</v>
      </c>
      <c r="Q48" s="9">
        <v>45726</v>
      </c>
      <c r="R48" t="s">
        <v>3502</v>
      </c>
      <c r="S48" t="s">
        <v>724</v>
      </c>
      <c r="T48">
        <v>1</v>
      </c>
      <c r="U48" t="s">
        <v>8</v>
      </c>
      <c r="V48" t="s">
        <v>8</v>
      </c>
      <c r="W48" t="s">
        <v>4</v>
      </c>
      <c r="X48" t="s">
        <v>3228</v>
      </c>
    </row>
    <row r="49" spans="1:24" x14ac:dyDescent="0.25">
      <c r="A49" t="s">
        <v>3433</v>
      </c>
      <c r="B49" s="9">
        <v>45750</v>
      </c>
      <c r="C49" t="s">
        <v>43</v>
      </c>
      <c r="D49" t="s">
        <v>410</v>
      </c>
      <c r="E49" t="s">
        <v>411</v>
      </c>
      <c r="F49" t="s">
        <v>4</v>
      </c>
      <c r="G49" t="s">
        <v>5</v>
      </c>
      <c r="H49" s="25">
        <v>5040.58</v>
      </c>
      <c r="I49" t="s">
        <v>3537</v>
      </c>
      <c r="J49" t="s">
        <v>700</v>
      </c>
      <c r="K49" t="s">
        <v>3538</v>
      </c>
      <c r="L49" t="s">
        <v>3539</v>
      </c>
      <c r="M49" t="s">
        <v>2493</v>
      </c>
      <c r="N49" t="s">
        <v>1</v>
      </c>
      <c r="O49" s="9">
        <v>45748</v>
      </c>
      <c r="P49" t="s">
        <v>3540</v>
      </c>
      <c r="Q49" s="9">
        <v>45750</v>
      </c>
      <c r="R49" t="s">
        <v>3541</v>
      </c>
      <c r="S49" t="s">
        <v>724</v>
      </c>
      <c r="T49">
        <v>1</v>
      </c>
      <c r="U49" t="s">
        <v>8</v>
      </c>
      <c r="V49" t="s">
        <v>8</v>
      </c>
      <c r="W49" t="s">
        <v>4</v>
      </c>
      <c r="X49" t="s">
        <v>3228</v>
      </c>
    </row>
    <row r="50" spans="1:24" x14ac:dyDescent="0.25">
      <c r="A50" t="s">
        <v>3433</v>
      </c>
      <c r="B50" s="9">
        <v>45785</v>
      </c>
      <c r="C50" t="s">
        <v>77</v>
      </c>
      <c r="D50" s="19" t="s">
        <v>47</v>
      </c>
      <c r="E50" s="19" t="s">
        <v>48</v>
      </c>
      <c r="F50" t="s">
        <v>4</v>
      </c>
      <c r="G50" t="s">
        <v>5</v>
      </c>
      <c r="H50" s="25">
        <v>5040.58</v>
      </c>
      <c r="I50" t="s">
        <v>3593</v>
      </c>
      <c r="J50" t="s">
        <v>700</v>
      </c>
      <c r="K50" t="s">
        <v>3594</v>
      </c>
      <c r="L50" t="s">
        <v>3595</v>
      </c>
      <c r="M50" t="s">
        <v>2493</v>
      </c>
      <c r="N50" t="s">
        <v>1</v>
      </c>
      <c r="O50" s="9">
        <v>45783</v>
      </c>
      <c r="P50" t="s">
        <v>3596</v>
      </c>
      <c r="Q50" s="9">
        <v>45785</v>
      </c>
      <c r="R50" t="s">
        <v>3597</v>
      </c>
      <c r="S50" t="s">
        <v>724</v>
      </c>
      <c r="T50">
        <v>1</v>
      </c>
      <c r="U50" t="s">
        <v>8</v>
      </c>
      <c r="V50" t="s">
        <v>8</v>
      </c>
      <c r="W50" t="s">
        <v>4</v>
      </c>
      <c r="X50" t="s">
        <v>3403</v>
      </c>
    </row>
    <row r="51" spans="1:24" x14ac:dyDescent="0.25">
      <c r="A51" t="s">
        <v>3433</v>
      </c>
      <c r="B51" s="2">
        <v>45810</v>
      </c>
      <c r="C51" t="s">
        <v>22</v>
      </c>
      <c r="D51" s="19" t="s">
        <v>47</v>
      </c>
      <c r="E51" s="19" t="s">
        <v>48</v>
      </c>
      <c r="F51" t="s">
        <v>4</v>
      </c>
      <c r="G51" t="s">
        <v>5</v>
      </c>
      <c r="H51" s="3">
        <v>5040.58</v>
      </c>
      <c r="I51" t="s">
        <v>3617</v>
      </c>
      <c r="J51" t="s">
        <v>700</v>
      </c>
      <c r="K51" t="s">
        <v>3618</v>
      </c>
      <c r="L51" t="s">
        <v>3619</v>
      </c>
      <c r="M51" t="s">
        <v>21</v>
      </c>
      <c r="N51" t="s">
        <v>1</v>
      </c>
      <c r="O51" s="2">
        <v>45810</v>
      </c>
      <c r="P51" t="s">
        <v>3620</v>
      </c>
      <c r="Q51" s="2">
        <v>45810</v>
      </c>
      <c r="R51" t="s">
        <v>3621</v>
      </c>
      <c r="S51" t="s">
        <v>724</v>
      </c>
      <c r="T51" s="18">
        <v>1</v>
      </c>
      <c r="U51" t="s">
        <v>8</v>
      </c>
      <c r="V51" t="s">
        <v>8</v>
      </c>
      <c r="W51" t="s">
        <v>4</v>
      </c>
      <c r="X51" t="s">
        <v>3403</v>
      </c>
    </row>
    <row r="52" spans="1:24" x14ac:dyDescent="0.25">
      <c r="A52" t="s">
        <v>3433</v>
      </c>
      <c r="B52" s="9">
        <v>45841</v>
      </c>
      <c r="C52" t="s">
        <v>72</v>
      </c>
      <c r="D52" t="s">
        <v>47</v>
      </c>
      <c r="E52" t="s">
        <v>48</v>
      </c>
      <c r="F52" t="s">
        <v>4</v>
      </c>
      <c r="G52" t="s">
        <v>5</v>
      </c>
      <c r="H52">
        <v>4574.33</v>
      </c>
      <c r="I52" t="s">
        <v>3658</v>
      </c>
      <c r="J52" t="s">
        <v>700</v>
      </c>
      <c r="K52">
        <v>661021938</v>
      </c>
      <c r="L52" t="s">
        <v>3660</v>
      </c>
      <c r="M52" t="s">
        <v>3280</v>
      </c>
      <c r="N52" t="s">
        <v>1</v>
      </c>
      <c r="O52" s="9">
        <v>45839</v>
      </c>
      <c r="P52" t="s">
        <v>3661</v>
      </c>
      <c r="Q52" s="9">
        <v>45841</v>
      </c>
      <c r="R52" t="s">
        <v>3662</v>
      </c>
      <c r="S52" t="s">
        <v>724</v>
      </c>
      <c r="T52">
        <v>0.93899999999999995</v>
      </c>
      <c r="U52" t="s">
        <v>8</v>
      </c>
      <c r="V52" t="s">
        <v>8</v>
      </c>
      <c r="W52" t="s">
        <v>4</v>
      </c>
      <c r="X52" t="s">
        <v>3403</v>
      </c>
    </row>
    <row r="53" spans="1:24" x14ac:dyDescent="0.25">
      <c r="A53" t="s">
        <v>3433</v>
      </c>
      <c r="B53" s="9">
        <v>45863</v>
      </c>
      <c r="C53" t="s">
        <v>72</v>
      </c>
      <c r="D53" t="s">
        <v>2</v>
      </c>
      <c r="E53" t="s">
        <v>3</v>
      </c>
      <c r="F53" t="s">
        <v>3663</v>
      </c>
      <c r="G53" t="s">
        <v>3664</v>
      </c>
      <c r="H53" s="26">
        <v>2560</v>
      </c>
      <c r="I53" t="s">
        <v>3665</v>
      </c>
      <c r="J53" t="s">
        <v>700</v>
      </c>
      <c r="K53" t="s">
        <v>3666</v>
      </c>
      <c r="L53" t="s">
        <v>3667</v>
      </c>
      <c r="M53" t="s">
        <v>2493</v>
      </c>
      <c r="N53" t="s">
        <v>1</v>
      </c>
      <c r="O53" s="9">
        <v>45861</v>
      </c>
      <c r="P53" t="s">
        <v>3668</v>
      </c>
      <c r="Q53" s="9">
        <v>45863</v>
      </c>
      <c r="R53" t="s">
        <v>3669</v>
      </c>
      <c r="S53" t="s">
        <v>3670</v>
      </c>
      <c r="T53">
        <v>2</v>
      </c>
      <c r="U53" t="s">
        <v>8</v>
      </c>
      <c r="V53" t="s">
        <v>8</v>
      </c>
      <c r="W53" t="s">
        <v>3663</v>
      </c>
      <c r="X53" t="s">
        <v>3</v>
      </c>
    </row>
    <row r="54" spans="1:24" x14ac:dyDescent="0.25">
      <c r="A54" t="s">
        <v>3433</v>
      </c>
      <c r="B54" s="9">
        <v>45870</v>
      </c>
      <c r="C54" t="s">
        <v>82</v>
      </c>
      <c r="D54" t="s">
        <v>47</v>
      </c>
      <c r="E54" t="s">
        <v>48</v>
      </c>
      <c r="F54" t="s">
        <v>4</v>
      </c>
      <c r="G54" t="s">
        <v>5</v>
      </c>
      <c r="H54">
        <v>-4574.33</v>
      </c>
      <c r="I54" t="s">
        <v>724</v>
      </c>
      <c r="J54" t="s">
        <v>700</v>
      </c>
      <c r="K54" t="s">
        <v>3659</v>
      </c>
      <c r="L54" t="s">
        <v>3737</v>
      </c>
      <c r="M54" t="s">
        <v>3280</v>
      </c>
      <c r="N54" t="s">
        <v>1</v>
      </c>
      <c r="O54" s="9">
        <v>45839</v>
      </c>
      <c r="P54" t="s">
        <v>3738</v>
      </c>
      <c r="Q54" s="9">
        <v>45870</v>
      </c>
      <c r="R54" t="s">
        <v>3662</v>
      </c>
      <c r="S54" t="s">
        <v>724</v>
      </c>
      <c r="T54">
        <v>-0.93899999999999995</v>
      </c>
      <c r="U54" t="s">
        <v>8</v>
      </c>
      <c r="V54" t="s">
        <v>8</v>
      </c>
      <c r="W54" t="s">
        <v>4</v>
      </c>
      <c r="X54" t="s">
        <v>3403</v>
      </c>
    </row>
    <row r="55" spans="1:24" x14ac:dyDescent="0.25">
      <c r="A55" t="s">
        <v>3433</v>
      </c>
      <c r="B55" s="9">
        <v>45870</v>
      </c>
      <c r="C55" t="s">
        <v>82</v>
      </c>
      <c r="D55" t="s">
        <v>47</v>
      </c>
      <c r="E55" t="s">
        <v>48</v>
      </c>
      <c r="F55" t="s">
        <v>4</v>
      </c>
      <c r="G55" t="s">
        <v>5</v>
      </c>
      <c r="H55">
        <v>5370.23</v>
      </c>
      <c r="I55" t="s">
        <v>3739</v>
      </c>
      <c r="J55" t="s">
        <v>700</v>
      </c>
      <c r="K55" t="s">
        <v>3659</v>
      </c>
      <c r="L55" t="s">
        <v>3740</v>
      </c>
      <c r="M55" t="s">
        <v>21</v>
      </c>
      <c r="N55" t="s">
        <v>1</v>
      </c>
      <c r="O55" s="9">
        <v>45840</v>
      </c>
      <c r="P55" t="s">
        <v>3741</v>
      </c>
      <c r="Q55" s="9">
        <v>45870</v>
      </c>
      <c r="R55" t="s">
        <v>3742</v>
      </c>
      <c r="S55" t="s">
        <v>724</v>
      </c>
      <c r="T55">
        <v>1</v>
      </c>
      <c r="U55" t="s">
        <v>8</v>
      </c>
      <c r="V55" t="s">
        <v>8</v>
      </c>
      <c r="W55" t="s">
        <v>4</v>
      </c>
      <c r="X55" t="s">
        <v>3403</v>
      </c>
    </row>
    <row r="56" spans="1:24" x14ac:dyDescent="0.25">
      <c r="A56" t="s">
        <v>3433</v>
      </c>
      <c r="B56" s="9">
        <v>45873</v>
      </c>
      <c r="C56" t="s">
        <v>82</v>
      </c>
      <c r="D56" t="s">
        <v>47</v>
      </c>
      <c r="E56" t="s">
        <v>48</v>
      </c>
      <c r="F56" t="s">
        <v>4</v>
      </c>
      <c r="G56" t="s">
        <v>5</v>
      </c>
      <c r="H56">
        <v>5370.23</v>
      </c>
      <c r="I56" t="s">
        <v>3743</v>
      </c>
      <c r="J56" t="s">
        <v>700</v>
      </c>
      <c r="K56" t="s">
        <v>3744</v>
      </c>
      <c r="L56" t="s">
        <v>3745</v>
      </c>
      <c r="M56" t="s">
        <v>21</v>
      </c>
      <c r="N56" t="s">
        <v>1</v>
      </c>
      <c r="O56" s="9">
        <v>45870</v>
      </c>
      <c r="P56" t="s">
        <v>3746</v>
      </c>
      <c r="Q56" s="9">
        <v>45873</v>
      </c>
      <c r="R56" t="s">
        <v>3747</v>
      </c>
      <c r="S56" t="s">
        <v>724</v>
      </c>
      <c r="T56">
        <v>1</v>
      </c>
      <c r="U56" t="s">
        <v>8</v>
      </c>
      <c r="V56" t="s">
        <v>8</v>
      </c>
      <c r="W56" t="s">
        <v>4</v>
      </c>
      <c r="X56" t="s">
        <v>3403</v>
      </c>
    </row>
    <row r="57" spans="1:24" x14ac:dyDescent="0.25">
      <c r="A57" t="s">
        <v>3433</v>
      </c>
      <c r="B57" s="9">
        <v>45903</v>
      </c>
      <c r="C57" t="s">
        <v>87</v>
      </c>
      <c r="D57" t="s">
        <v>47</v>
      </c>
      <c r="E57" t="s">
        <v>48</v>
      </c>
      <c r="F57" t="s">
        <v>4</v>
      </c>
      <c r="G57" t="s">
        <v>5</v>
      </c>
      <c r="H57">
        <v>5370.23</v>
      </c>
      <c r="I57" t="s">
        <v>3791</v>
      </c>
      <c r="J57" t="s">
        <v>700</v>
      </c>
      <c r="K57" t="s">
        <v>3792</v>
      </c>
      <c r="L57" t="s">
        <v>3793</v>
      </c>
      <c r="M57" t="s">
        <v>2493</v>
      </c>
      <c r="N57" t="s">
        <v>1</v>
      </c>
      <c r="O57" s="9">
        <v>45901</v>
      </c>
      <c r="P57" t="s">
        <v>3794</v>
      </c>
      <c r="Q57" s="9">
        <v>45903</v>
      </c>
      <c r="R57" t="s">
        <v>3795</v>
      </c>
      <c r="S57" t="s">
        <v>724</v>
      </c>
      <c r="T57">
        <v>1</v>
      </c>
      <c r="U57" t="s">
        <v>8</v>
      </c>
      <c r="V57" t="s">
        <v>8</v>
      </c>
      <c r="W57" t="s">
        <v>4</v>
      </c>
      <c r="X57" t="s">
        <v>3403</v>
      </c>
    </row>
    <row r="58" spans="1:24" x14ac:dyDescent="0.25">
      <c r="A58" t="s">
        <v>3433</v>
      </c>
      <c r="B58" s="9">
        <v>45926</v>
      </c>
      <c r="C58" t="s">
        <v>87</v>
      </c>
      <c r="D58" t="s">
        <v>3796</v>
      </c>
      <c r="E58" t="s">
        <v>3797</v>
      </c>
      <c r="F58" t="s">
        <v>3663</v>
      </c>
      <c r="G58" t="s">
        <v>3664</v>
      </c>
      <c r="H58" s="21">
        <v>2560</v>
      </c>
      <c r="I58" t="s">
        <v>3798</v>
      </c>
      <c r="J58" t="s">
        <v>700</v>
      </c>
      <c r="K58" t="s">
        <v>3799</v>
      </c>
      <c r="L58" t="s">
        <v>3800</v>
      </c>
      <c r="M58" t="s">
        <v>21</v>
      </c>
      <c r="N58" t="s">
        <v>1</v>
      </c>
      <c r="O58" s="9">
        <v>45889</v>
      </c>
      <c r="P58" t="s">
        <v>3801</v>
      </c>
      <c r="Q58" s="9">
        <v>45926</v>
      </c>
      <c r="R58" t="s">
        <v>3802</v>
      </c>
      <c r="S58" t="s">
        <v>3670</v>
      </c>
      <c r="T58">
        <v>2</v>
      </c>
      <c r="U58" t="s">
        <v>8</v>
      </c>
      <c r="V58" t="s">
        <v>8</v>
      </c>
      <c r="W58" t="s">
        <v>3663</v>
      </c>
      <c r="X58" t="s">
        <v>3797</v>
      </c>
    </row>
    <row r="59" spans="1:24" x14ac:dyDescent="0.25">
      <c r="A59" t="s">
        <v>3433</v>
      </c>
      <c r="B59" s="9">
        <v>45929</v>
      </c>
      <c r="C59" t="s">
        <v>87</v>
      </c>
      <c r="D59" t="s">
        <v>3796</v>
      </c>
      <c r="E59" t="s">
        <v>3797</v>
      </c>
      <c r="F59" t="s">
        <v>3663</v>
      </c>
      <c r="G59" t="s">
        <v>3664</v>
      </c>
      <c r="H59" s="21">
        <v>368</v>
      </c>
      <c r="I59" t="s">
        <v>3803</v>
      </c>
      <c r="J59" t="s">
        <v>700</v>
      </c>
      <c r="K59" t="s">
        <v>3804</v>
      </c>
      <c r="L59" t="s">
        <v>3805</v>
      </c>
      <c r="M59" t="s">
        <v>3280</v>
      </c>
      <c r="N59" t="s">
        <v>1</v>
      </c>
      <c r="O59" s="9">
        <v>45929</v>
      </c>
      <c r="P59" t="s">
        <v>3806</v>
      </c>
      <c r="Q59" s="9">
        <v>45929</v>
      </c>
      <c r="R59" t="s">
        <v>3807</v>
      </c>
      <c r="S59" t="s">
        <v>3808</v>
      </c>
      <c r="T59">
        <v>2</v>
      </c>
      <c r="U59" t="s">
        <v>8</v>
      </c>
      <c r="V59" t="s">
        <v>8</v>
      </c>
      <c r="W59" t="s">
        <v>3663</v>
      </c>
      <c r="X59" t="s">
        <v>3797</v>
      </c>
    </row>
    <row r="60" spans="1:24" x14ac:dyDescent="0.25">
      <c r="A60" t="s">
        <v>3433</v>
      </c>
      <c r="B60" s="9">
        <v>45929</v>
      </c>
      <c r="C60" t="s">
        <v>87</v>
      </c>
      <c r="D60" t="s">
        <v>3796</v>
      </c>
      <c r="E60" t="s">
        <v>3797</v>
      </c>
      <c r="F60" t="s">
        <v>3663</v>
      </c>
      <c r="G60" t="s">
        <v>3664</v>
      </c>
      <c r="H60" s="21">
        <v>2560</v>
      </c>
      <c r="I60" t="s">
        <v>3803</v>
      </c>
      <c r="J60" t="s">
        <v>700</v>
      </c>
      <c r="K60" t="s">
        <v>3804</v>
      </c>
      <c r="L60" t="s">
        <v>3805</v>
      </c>
      <c r="M60" t="s">
        <v>3280</v>
      </c>
      <c r="N60" t="s">
        <v>12</v>
      </c>
      <c r="O60" s="9">
        <v>45929</v>
      </c>
      <c r="P60" t="s">
        <v>3806</v>
      </c>
      <c r="Q60" s="9">
        <v>45929</v>
      </c>
      <c r="R60" t="s">
        <v>3807</v>
      </c>
      <c r="S60" t="s">
        <v>3670</v>
      </c>
      <c r="T60">
        <v>2</v>
      </c>
      <c r="U60" t="s">
        <v>8</v>
      </c>
      <c r="V60" t="s">
        <v>8</v>
      </c>
      <c r="W60" t="s">
        <v>3663</v>
      </c>
      <c r="X60" t="s">
        <v>3797</v>
      </c>
    </row>
    <row r="61" spans="1:24" x14ac:dyDescent="0.25">
      <c r="A61" t="s">
        <v>3433</v>
      </c>
      <c r="B61" s="9">
        <v>45932</v>
      </c>
      <c r="C61" t="s">
        <v>30</v>
      </c>
      <c r="D61" t="s">
        <v>47</v>
      </c>
      <c r="E61" t="s">
        <v>48</v>
      </c>
      <c r="F61" t="s">
        <v>4</v>
      </c>
      <c r="G61" t="s">
        <v>5</v>
      </c>
      <c r="H61">
        <v>5370.23</v>
      </c>
      <c r="I61" t="s">
        <v>3892</v>
      </c>
      <c r="J61" t="s">
        <v>700</v>
      </c>
      <c r="K61" t="s">
        <v>3893</v>
      </c>
      <c r="L61" t="s">
        <v>3894</v>
      </c>
      <c r="M61" t="s">
        <v>3280</v>
      </c>
      <c r="N61" t="s">
        <v>1</v>
      </c>
      <c r="O61" s="9">
        <v>45931</v>
      </c>
      <c r="P61" t="s">
        <v>3895</v>
      </c>
      <c r="Q61" s="9">
        <v>45932</v>
      </c>
      <c r="R61" t="s">
        <v>3896</v>
      </c>
      <c r="S61" t="s">
        <v>724</v>
      </c>
      <c r="T61">
        <v>1</v>
      </c>
      <c r="U61" t="s">
        <v>8</v>
      </c>
      <c r="V61" t="s">
        <v>8</v>
      </c>
      <c r="W61" t="s">
        <v>4</v>
      </c>
      <c r="X61" t="s">
        <v>3403</v>
      </c>
    </row>
    <row r="62" spans="1:24" outlineLevel="2" x14ac:dyDescent="0.25">
      <c r="A62" t="s">
        <v>3912</v>
      </c>
      <c r="B62" s="2">
        <v>46030</v>
      </c>
      <c r="C62" t="s">
        <v>1</v>
      </c>
      <c r="D62" t="s">
        <v>47</v>
      </c>
      <c r="E62" t="s">
        <v>48</v>
      </c>
      <c r="F62" t="s">
        <v>4</v>
      </c>
      <c r="G62" t="s">
        <v>5</v>
      </c>
      <c r="H62" s="3">
        <v>5370.23</v>
      </c>
      <c r="I62" t="s">
        <v>3913</v>
      </c>
      <c r="J62" t="s">
        <v>700</v>
      </c>
      <c r="K62" t="s">
        <v>3914</v>
      </c>
      <c r="L62" t="s">
        <v>3915</v>
      </c>
      <c r="M62" t="s">
        <v>3886</v>
      </c>
      <c r="N62" t="s">
        <v>1</v>
      </c>
      <c r="O62" s="2">
        <v>46029</v>
      </c>
      <c r="P62" t="s">
        <v>3916</v>
      </c>
      <c r="Q62" s="2">
        <v>46030</v>
      </c>
      <c r="R62" t="s">
        <v>3917</v>
      </c>
      <c r="S62" t="s">
        <v>724</v>
      </c>
      <c r="T62" s="18">
        <v>1</v>
      </c>
      <c r="U62" t="s">
        <v>8</v>
      </c>
      <c r="V62" t="s">
        <v>8</v>
      </c>
      <c r="W62" t="s">
        <v>4</v>
      </c>
      <c r="X62" t="s">
        <v>3403</v>
      </c>
    </row>
    <row r="63" spans="1:24" outlineLevel="2" x14ac:dyDescent="0.25">
      <c r="A63" t="s">
        <v>3912</v>
      </c>
      <c r="B63" s="2">
        <v>46057</v>
      </c>
      <c r="C63" t="s">
        <v>12</v>
      </c>
      <c r="D63" t="s">
        <v>47</v>
      </c>
      <c r="E63" t="s">
        <v>48</v>
      </c>
      <c r="F63" t="s">
        <v>4</v>
      </c>
      <c r="G63" t="s">
        <v>5</v>
      </c>
      <c r="H63" s="3">
        <v>5370.23</v>
      </c>
      <c r="I63" t="s">
        <v>3918</v>
      </c>
      <c r="J63" t="s">
        <v>700</v>
      </c>
      <c r="K63" t="s">
        <v>3919</v>
      </c>
      <c r="L63" t="s">
        <v>3920</v>
      </c>
      <c r="M63" t="s">
        <v>3886</v>
      </c>
      <c r="N63" t="s">
        <v>1</v>
      </c>
      <c r="O63" s="2">
        <v>46055</v>
      </c>
      <c r="P63" t="s">
        <v>3921</v>
      </c>
      <c r="Q63" s="2">
        <v>46057</v>
      </c>
      <c r="R63" t="s">
        <v>3922</v>
      </c>
      <c r="S63" t="s">
        <v>724</v>
      </c>
      <c r="T63" s="18">
        <v>1</v>
      </c>
      <c r="U63" t="s">
        <v>8</v>
      </c>
      <c r="V63" t="s">
        <v>8</v>
      </c>
      <c r="W63" t="s">
        <v>4</v>
      </c>
      <c r="X63" t="s">
        <v>3403</v>
      </c>
    </row>
    <row r="64" spans="1:24" x14ac:dyDescent="0.25">
      <c r="A64" t="s">
        <v>3912</v>
      </c>
      <c r="B64" s="2">
        <v>46087</v>
      </c>
      <c r="C64" t="s">
        <v>17</v>
      </c>
      <c r="D64" t="s">
        <v>47</v>
      </c>
      <c r="E64" t="s">
        <v>48</v>
      </c>
      <c r="F64" t="s">
        <v>4</v>
      </c>
      <c r="G64" t="s">
        <v>5</v>
      </c>
      <c r="H64" s="3">
        <v>5370.23</v>
      </c>
      <c r="I64" t="s">
        <v>4023</v>
      </c>
      <c r="J64" t="s">
        <v>700</v>
      </c>
      <c r="K64" t="s">
        <v>4024</v>
      </c>
      <c r="L64" t="s">
        <v>4025</v>
      </c>
      <c r="M64" t="s">
        <v>3886</v>
      </c>
      <c r="N64" t="s">
        <v>1</v>
      </c>
      <c r="O64" s="2">
        <v>46083</v>
      </c>
      <c r="P64" t="s">
        <v>4026</v>
      </c>
      <c r="Q64" s="2">
        <v>46087</v>
      </c>
      <c r="R64" t="s">
        <v>4027</v>
      </c>
      <c r="S64" t="s">
        <v>724</v>
      </c>
      <c r="T64" s="18">
        <v>1</v>
      </c>
      <c r="U64" t="s">
        <v>8</v>
      </c>
      <c r="V64" t="s">
        <v>8</v>
      </c>
      <c r="W64" t="s">
        <v>4</v>
      </c>
      <c r="X64" t="s">
        <v>3403</v>
      </c>
    </row>
    <row r="65" spans="1:24" x14ac:dyDescent="0.25">
      <c r="A65" t="s">
        <v>3912</v>
      </c>
      <c r="B65" s="2">
        <v>46091</v>
      </c>
      <c r="C65" t="s">
        <v>17</v>
      </c>
      <c r="D65" t="s">
        <v>47</v>
      </c>
      <c r="E65" t="s">
        <v>48</v>
      </c>
      <c r="F65" t="s">
        <v>4</v>
      </c>
      <c r="G65" t="s">
        <v>5</v>
      </c>
      <c r="H65" s="3">
        <v>38490.65</v>
      </c>
      <c r="I65" t="s">
        <v>4028</v>
      </c>
      <c r="J65" t="s">
        <v>700</v>
      </c>
      <c r="K65" t="s">
        <v>4029</v>
      </c>
      <c r="L65" t="s">
        <v>4030</v>
      </c>
      <c r="M65" t="s">
        <v>3886</v>
      </c>
      <c r="N65" t="s">
        <v>1</v>
      </c>
      <c r="O65" s="2">
        <v>46086</v>
      </c>
      <c r="P65" t="s">
        <v>4031</v>
      </c>
      <c r="Q65" s="2">
        <v>46091</v>
      </c>
      <c r="R65" t="s">
        <v>4032</v>
      </c>
      <c r="S65" t="s">
        <v>4033</v>
      </c>
      <c r="T65" s="18">
        <v>55</v>
      </c>
      <c r="U65" t="s">
        <v>8</v>
      </c>
      <c r="V65" t="s">
        <v>8</v>
      </c>
      <c r="W65" t="s">
        <v>4</v>
      </c>
      <c r="X65" t="s">
        <v>3403</v>
      </c>
    </row>
    <row r="66" spans="1:24" x14ac:dyDescent="0.25">
      <c r="A66" t="s">
        <v>3912</v>
      </c>
      <c r="B66" s="9">
        <v>46122</v>
      </c>
      <c r="C66" t="s">
        <v>43</v>
      </c>
      <c r="D66" t="s">
        <v>47</v>
      </c>
      <c r="E66" t="s">
        <v>48</v>
      </c>
      <c r="F66" t="s">
        <v>4</v>
      </c>
      <c r="G66" t="s">
        <v>5</v>
      </c>
      <c r="H66">
        <v>5370.23</v>
      </c>
      <c r="I66" t="s">
        <v>4059</v>
      </c>
      <c r="J66" t="s">
        <v>700</v>
      </c>
      <c r="K66" t="s">
        <v>4060</v>
      </c>
      <c r="L66" t="s">
        <v>4061</v>
      </c>
      <c r="M66" t="s">
        <v>3886</v>
      </c>
      <c r="N66" t="s">
        <v>1</v>
      </c>
      <c r="O66" s="9">
        <v>46118</v>
      </c>
      <c r="P66" t="s">
        <v>4062</v>
      </c>
      <c r="Q66" s="9">
        <v>46122</v>
      </c>
      <c r="R66" t="s">
        <v>4063</v>
      </c>
      <c r="S66" t="s">
        <v>724</v>
      </c>
      <c r="T66">
        <v>1</v>
      </c>
      <c r="U66" t="s">
        <v>8</v>
      </c>
      <c r="V66" t="s">
        <v>8</v>
      </c>
      <c r="W66" t="s">
        <v>4</v>
      </c>
      <c r="X66" t="s">
        <v>3403</v>
      </c>
    </row>
    <row r="67" spans="1:24" x14ac:dyDescent="0.25">
      <c r="A67" t="s">
        <v>3912</v>
      </c>
      <c r="B67" s="9">
        <v>46153</v>
      </c>
      <c r="C67" t="s">
        <v>77</v>
      </c>
      <c r="D67" t="s">
        <v>47</v>
      </c>
      <c r="E67" t="s">
        <v>48</v>
      </c>
      <c r="F67" t="s">
        <v>4</v>
      </c>
      <c r="G67" t="s">
        <v>5</v>
      </c>
      <c r="H67">
        <v>5370.23</v>
      </c>
      <c r="I67" t="s">
        <v>4083</v>
      </c>
      <c r="J67" t="s">
        <v>700</v>
      </c>
      <c r="K67" t="s">
        <v>4084</v>
      </c>
      <c r="L67" t="s">
        <v>4085</v>
      </c>
      <c r="M67" t="s">
        <v>3280</v>
      </c>
      <c r="N67" t="s">
        <v>1</v>
      </c>
      <c r="O67" s="9">
        <v>46146</v>
      </c>
      <c r="P67" t="s">
        <v>4086</v>
      </c>
      <c r="Q67" s="9">
        <v>46153</v>
      </c>
      <c r="R67" t="s">
        <v>4087</v>
      </c>
      <c r="S67" t="s">
        <v>724</v>
      </c>
      <c r="T67">
        <v>1</v>
      </c>
      <c r="U67" t="s">
        <v>8</v>
      </c>
      <c r="V67" t="s">
        <v>8</v>
      </c>
      <c r="W67" t="s">
        <v>4</v>
      </c>
      <c r="X67" t="s">
        <v>3403</v>
      </c>
    </row>
    <row r="68" spans="1:24" x14ac:dyDescent="0.25">
      <c r="A68" t="s">
        <v>3912</v>
      </c>
      <c r="B68" s="2">
        <v>46206</v>
      </c>
      <c r="C68" t="s">
        <v>72</v>
      </c>
      <c r="D68" t="s">
        <v>47</v>
      </c>
      <c r="E68" t="s">
        <v>48</v>
      </c>
      <c r="F68" t="s">
        <v>4</v>
      </c>
      <c r="G68" t="s">
        <v>5</v>
      </c>
      <c r="H68" s="3">
        <v>5370.23</v>
      </c>
      <c r="I68" t="s">
        <v>4124</v>
      </c>
      <c r="J68" t="s">
        <v>700</v>
      </c>
      <c r="K68" t="s">
        <v>4125</v>
      </c>
      <c r="L68" t="s">
        <v>4126</v>
      </c>
      <c r="M68" t="s">
        <v>21</v>
      </c>
      <c r="N68" t="s">
        <v>1</v>
      </c>
      <c r="O68" s="2">
        <v>46195</v>
      </c>
      <c r="P68" t="s">
        <v>4127</v>
      </c>
      <c r="Q68" s="2">
        <v>46206</v>
      </c>
      <c r="R68" t="s">
        <v>4128</v>
      </c>
      <c r="S68" t="s">
        <v>724</v>
      </c>
      <c r="T68" s="18">
        <v>1</v>
      </c>
      <c r="U68" t="s">
        <v>8</v>
      </c>
      <c r="V68" t="s">
        <v>8</v>
      </c>
      <c r="W68" t="s">
        <v>4</v>
      </c>
      <c r="X68" t="s">
        <v>3403</v>
      </c>
    </row>
    <row r="69" spans="1:24" x14ac:dyDescent="0.25">
      <c r="A69" t="s">
        <v>3912</v>
      </c>
      <c r="B69" s="2">
        <v>46217</v>
      </c>
      <c r="C69" t="s">
        <v>72</v>
      </c>
      <c r="D69" t="s">
        <v>47</v>
      </c>
      <c r="E69" t="s">
        <v>48</v>
      </c>
      <c r="F69" t="s">
        <v>4</v>
      </c>
      <c r="G69" t="s">
        <v>5</v>
      </c>
      <c r="H69" s="3">
        <v>5370.23</v>
      </c>
      <c r="I69" t="s">
        <v>4129</v>
      </c>
      <c r="J69" t="s">
        <v>700</v>
      </c>
      <c r="K69" t="s">
        <v>4130</v>
      </c>
      <c r="L69" t="s">
        <v>4131</v>
      </c>
      <c r="M69" t="s">
        <v>21</v>
      </c>
      <c r="N69" t="s">
        <v>1</v>
      </c>
      <c r="O69" s="2">
        <v>46205</v>
      </c>
      <c r="P69" t="s">
        <v>4132</v>
      </c>
      <c r="Q69" s="2">
        <v>46217</v>
      </c>
      <c r="R69" t="s">
        <v>4133</v>
      </c>
      <c r="S69" t="s">
        <v>724</v>
      </c>
      <c r="T69" s="18">
        <v>1</v>
      </c>
      <c r="U69" t="s">
        <v>8</v>
      </c>
      <c r="V69" t="s">
        <v>8</v>
      </c>
      <c r="W69" t="s">
        <v>4</v>
      </c>
      <c r="X69" t="s">
        <v>3403</v>
      </c>
    </row>
    <row r="70" spans="1:24" x14ac:dyDescent="0.25">
      <c r="A70" t="s">
        <v>3912</v>
      </c>
      <c r="B70" s="9">
        <v>46239</v>
      </c>
      <c r="C70" t="s">
        <v>82</v>
      </c>
      <c r="D70" t="s">
        <v>47</v>
      </c>
      <c r="E70" t="s">
        <v>48</v>
      </c>
      <c r="F70" t="s">
        <v>4</v>
      </c>
      <c r="G70" t="s">
        <v>5</v>
      </c>
      <c r="H70">
        <v>5370.23</v>
      </c>
      <c r="I70" t="s">
        <v>4177</v>
      </c>
      <c r="J70" t="s">
        <v>700</v>
      </c>
      <c r="K70" t="s">
        <v>4178</v>
      </c>
      <c r="L70" t="s">
        <v>4179</v>
      </c>
      <c r="M70" t="s">
        <v>3280</v>
      </c>
      <c r="N70" t="s">
        <v>1</v>
      </c>
      <c r="O70" s="9">
        <v>46238</v>
      </c>
      <c r="P70" t="s">
        <v>4180</v>
      </c>
      <c r="Q70" s="9">
        <v>46239</v>
      </c>
      <c r="R70" t="s">
        <v>4181</v>
      </c>
      <c r="S70" t="s">
        <v>724</v>
      </c>
      <c r="T70">
        <v>1</v>
      </c>
      <c r="U70" t="s">
        <v>8</v>
      </c>
      <c r="V70" t="s">
        <v>8</v>
      </c>
      <c r="W70" t="s">
        <v>4</v>
      </c>
      <c r="X70" t="s">
        <v>3403</v>
      </c>
    </row>
  </sheetData>
  <autoFilter ref="A1:N16" xr:uid="{00000000-0001-0000-0000-000000000000}">
    <sortState xmlns:xlrd2="http://schemas.microsoft.com/office/spreadsheetml/2017/richdata2" ref="A2:N16">
      <sortCondition ref="B1:B16"/>
    </sortState>
  </autoFilter>
  <pageMargins left="0.75" right="0.75" top="1" bottom="1" header="0.5" footer="0.5"/>
  <pageSetup paperSize="9" orientation="portrait" horizontalDpi="90" verticalDpi="90" r:id="rId1"/>
  <headerFooter alignWithMargins="0">
    <oddFooter>&amp;R&amp;1#&amp;"Calibri"&amp;22&amp;KFF8939RESTRICTED</oddFooter>
  </headerFooter>
  <customProperties>
    <customPr name="_pios_id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F3E1C-CA35-41F8-96DB-920ED720C36F}">
  <sheetPr codeName="Planilha5" filterMode="1"/>
  <dimension ref="A1:Y68"/>
  <sheetViews>
    <sheetView topLeftCell="A42" zoomScale="85" zoomScaleNormal="85" workbookViewId="0">
      <selection activeCell="A69" sqref="A69"/>
    </sheetView>
  </sheetViews>
  <sheetFormatPr defaultRowHeight="12.5" outlineLevelRow="2" x14ac:dyDescent="0.25"/>
  <cols>
    <col min="1" max="1" width="13" bestFit="1" customWidth="1"/>
    <col min="2" max="2" width="13" style="9" bestFit="1" customWidth="1"/>
    <col min="3" max="3" width="8" bestFit="1" customWidth="1"/>
    <col min="4" max="4" width="14" bestFit="1" customWidth="1"/>
    <col min="5" max="5" width="22" bestFit="1" customWidth="1"/>
    <col min="6" max="6" width="13" bestFit="1" customWidth="1"/>
    <col min="7" max="7" width="22" bestFit="1" customWidth="1"/>
    <col min="8" max="8" width="17" bestFit="1" customWidth="1"/>
    <col min="9" max="9" width="52" bestFit="1" customWidth="1"/>
    <col min="10" max="10" width="37" bestFit="1" customWidth="1"/>
    <col min="11" max="11" width="42" bestFit="1" customWidth="1"/>
    <col min="12" max="12" width="11" bestFit="1" customWidth="1"/>
    <col min="13" max="13" width="21" bestFit="1" customWidth="1"/>
    <col min="14" max="14" width="17" bestFit="1" customWidth="1"/>
    <col min="15" max="15" width="15.90625" customWidth="1"/>
    <col min="16" max="16" width="13" bestFit="1" customWidth="1"/>
    <col min="17" max="17" width="13.90625" customWidth="1"/>
  </cols>
  <sheetData>
    <row r="1" spans="1:25" ht="22.5" customHeight="1" x14ac:dyDescent="0.25">
      <c r="A1" s="1" t="s">
        <v>2304</v>
      </c>
      <c r="B1" s="1" t="s">
        <v>2305</v>
      </c>
      <c r="C1" s="1" t="s">
        <v>2306</v>
      </c>
      <c r="D1" s="1" t="s">
        <v>2307</v>
      </c>
      <c r="E1" s="1" t="s">
        <v>2308</v>
      </c>
      <c r="F1" s="1" t="s">
        <v>2309</v>
      </c>
      <c r="G1" s="1" t="s">
        <v>2310</v>
      </c>
      <c r="H1" s="1" t="s">
        <v>2311</v>
      </c>
      <c r="I1" s="1" t="s">
        <v>2312</v>
      </c>
      <c r="J1" s="1" t="s">
        <v>2313</v>
      </c>
      <c r="K1" s="4" t="s">
        <v>2315</v>
      </c>
      <c r="L1" s="1" t="s">
        <v>2317</v>
      </c>
      <c r="M1" s="1" t="s">
        <v>2318</v>
      </c>
      <c r="N1" s="1" t="s">
        <v>2319</v>
      </c>
      <c r="O1" s="1" t="s">
        <v>2595</v>
      </c>
      <c r="P1" s="1" t="s">
        <v>2596</v>
      </c>
      <c r="Q1" s="1" t="s">
        <v>2597</v>
      </c>
      <c r="R1" s="1" t="s">
        <v>2598</v>
      </c>
      <c r="S1" s="1" t="s">
        <v>2599</v>
      </c>
      <c r="T1" s="1" t="s">
        <v>2715</v>
      </c>
      <c r="U1" s="1" t="s">
        <v>2716</v>
      </c>
      <c r="V1" s="1" t="s">
        <v>2717</v>
      </c>
      <c r="W1" s="1" t="s">
        <v>3475</v>
      </c>
      <c r="X1" s="1" t="s">
        <v>3476</v>
      </c>
      <c r="Y1" s="1" t="s">
        <v>2717</v>
      </c>
    </row>
    <row r="2" spans="1:25" x14ac:dyDescent="0.25">
      <c r="A2" t="s">
        <v>0</v>
      </c>
      <c r="B2" s="2">
        <v>44579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3">
        <v>322580.15999999997</v>
      </c>
      <c r="I2" t="s">
        <v>6</v>
      </c>
      <c r="J2" t="s">
        <v>7</v>
      </c>
      <c r="K2" t="s">
        <v>8</v>
      </c>
      <c r="L2" t="s">
        <v>9</v>
      </c>
      <c r="M2" t="s">
        <v>8</v>
      </c>
      <c r="N2" t="s">
        <v>10</v>
      </c>
      <c r="O2" t="s">
        <v>11</v>
      </c>
      <c r="P2" t="s">
        <v>1</v>
      </c>
    </row>
    <row r="3" spans="1:25" x14ac:dyDescent="0.25">
      <c r="A3" t="s">
        <v>0</v>
      </c>
      <c r="B3" s="2">
        <v>44602</v>
      </c>
      <c r="C3" t="s">
        <v>12</v>
      </c>
      <c r="D3" t="s">
        <v>2</v>
      </c>
      <c r="E3" t="s">
        <v>3</v>
      </c>
      <c r="F3" t="s">
        <v>4</v>
      </c>
      <c r="G3" t="s">
        <v>5</v>
      </c>
      <c r="H3" s="3">
        <v>322580.15999999997</v>
      </c>
      <c r="I3" t="s">
        <v>13</v>
      </c>
      <c r="J3" t="s">
        <v>7</v>
      </c>
      <c r="K3" t="s">
        <v>8</v>
      </c>
      <c r="L3" t="s">
        <v>14</v>
      </c>
      <c r="M3" t="s">
        <v>8</v>
      </c>
      <c r="N3" t="s">
        <v>15</v>
      </c>
      <c r="O3" t="s">
        <v>16</v>
      </c>
      <c r="P3" t="s">
        <v>1</v>
      </c>
    </row>
    <row r="4" spans="1:25" x14ac:dyDescent="0.25">
      <c r="A4" t="s">
        <v>0</v>
      </c>
      <c r="B4" s="2">
        <v>44649</v>
      </c>
      <c r="C4" t="s">
        <v>17</v>
      </c>
      <c r="D4" t="s">
        <v>2</v>
      </c>
      <c r="E4" t="s">
        <v>3</v>
      </c>
      <c r="F4" t="s">
        <v>4</v>
      </c>
      <c r="G4" t="s">
        <v>5</v>
      </c>
      <c r="H4" s="3">
        <v>322580.15000000002</v>
      </c>
      <c r="I4" t="s">
        <v>18</v>
      </c>
      <c r="J4" t="s">
        <v>7</v>
      </c>
      <c r="K4" t="s">
        <v>8</v>
      </c>
      <c r="L4" t="s">
        <v>19</v>
      </c>
      <c r="M4" t="s">
        <v>8</v>
      </c>
      <c r="N4" t="s">
        <v>20</v>
      </c>
      <c r="O4" t="s">
        <v>21</v>
      </c>
      <c r="P4" t="s">
        <v>1</v>
      </c>
    </row>
    <row r="5" spans="1:25" x14ac:dyDescent="0.25">
      <c r="A5" t="s">
        <v>0</v>
      </c>
      <c r="B5" s="2">
        <v>44669</v>
      </c>
      <c r="C5" t="s">
        <v>43</v>
      </c>
      <c r="D5" t="s">
        <v>2</v>
      </c>
      <c r="E5" t="s">
        <v>3</v>
      </c>
      <c r="F5" t="s">
        <v>4</v>
      </c>
      <c r="G5" t="s">
        <v>5</v>
      </c>
      <c r="H5" s="3">
        <v>321140.63</v>
      </c>
      <c r="I5" t="s">
        <v>44</v>
      </c>
      <c r="J5" t="s">
        <v>7</v>
      </c>
      <c r="K5" t="s">
        <v>8</v>
      </c>
      <c r="L5" t="s">
        <v>45</v>
      </c>
      <c r="M5" t="s">
        <v>8</v>
      </c>
      <c r="N5" t="s">
        <v>46</v>
      </c>
      <c r="O5" t="s">
        <v>34</v>
      </c>
      <c r="P5" t="s">
        <v>1</v>
      </c>
    </row>
    <row r="6" spans="1:25" x14ac:dyDescent="0.25">
      <c r="A6" t="s">
        <v>0</v>
      </c>
      <c r="B6" s="9">
        <v>44682</v>
      </c>
      <c r="C6" s="5" t="s">
        <v>77</v>
      </c>
      <c r="D6" t="s">
        <v>2</v>
      </c>
      <c r="E6" t="s">
        <v>3</v>
      </c>
      <c r="F6" t="s">
        <v>4</v>
      </c>
      <c r="G6" t="s">
        <v>5</v>
      </c>
      <c r="H6">
        <v>0</v>
      </c>
      <c r="I6" t="s">
        <v>2330</v>
      </c>
      <c r="J6" t="s">
        <v>7</v>
      </c>
    </row>
    <row r="7" spans="1:25" x14ac:dyDescent="0.25">
      <c r="A7" t="s">
        <v>0</v>
      </c>
      <c r="B7" s="2">
        <v>44714</v>
      </c>
      <c r="C7" t="s">
        <v>22</v>
      </c>
      <c r="D7" t="s">
        <v>2</v>
      </c>
      <c r="E7" t="s">
        <v>3</v>
      </c>
      <c r="F7" t="s">
        <v>4</v>
      </c>
      <c r="G7" t="s">
        <v>5</v>
      </c>
      <c r="H7" s="3">
        <v>322580.15000000002</v>
      </c>
      <c r="I7" t="s">
        <v>23</v>
      </c>
      <c r="J7" t="s">
        <v>7</v>
      </c>
      <c r="K7" t="s">
        <v>8</v>
      </c>
      <c r="L7" t="s">
        <v>24</v>
      </c>
      <c r="M7" t="s">
        <v>8</v>
      </c>
      <c r="N7" t="s">
        <v>25</v>
      </c>
      <c r="O7" t="s">
        <v>11</v>
      </c>
      <c r="P7" t="s">
        <v>1</v>
      </c>
    </row>
    <row r="8" spans="1:25" x14ac:dyDescent="0.25">
      <c r="A8" t="s">
        <v>0</v>
      </c>
      <c r="B8" s="2">
        <v>44725</v>
      </c>
      <c r="C8" t="s">
        <v>22</v>
      </c>
      <c r="D8" t="s">
        <v>2</v>
      </c>
      <c r="E8" t="s">
        <v>3</v>
      </c>
      <c r="F8" t="s">
        <v>4</v>
      </c>
      <c r="G8" t="s">
        <v>5</v>
      </c>
      <c r="H8" s="3">
        <v>322580.15000000002</v>
      </c>
      <c r="I8" t="s">
        <v>26</v>
      </c>
      <c r="J8" t="s">
        <v>7</v>
      </c>
      <c r="K8" t="s">
        <v>8</v>
      </c>
      <c r="L8" t="s">
        <v>27</v>
      </c>
      <c r="M8" t="s">
        <v>8</v>
      </c>
      <c r="N8" t="s">
        <v>28</v>
      </c>
      <c r="O8" t="s">
        <v>29</v>
      </c>
      <c r="P8" t="s">
        <v>1</v>
      </c>
    </row>
    <row r="9" spans="1:25" x14ac:dyDescent="0.25">
      <c r="A9" t="s">
        <v>0</v>
      </c>
      <c r="B9" s="9">
        <v>44743</v>
      </c>
      <c r="C9" s="5" t="s">
        <v>72</v>
      </c>
      <c r="D9" t="s">
        <v>2</v>
      </c>
      <c r="E9" t="s">
        <v>3</v>
      </c>
      <c r="F9" t="s">
        <v>4</v>
      </c>
      <c r="G9" t="s">
        <v>5</v>
      </c>
      <c r="H9">
        <v>0</v>
      </c>
      <c r="I9" t="s">
        <v>2330</v>
      </c>
      <c r="J9" t="s">
        <v>7</v>
      </c>
    </row>
    <row r="10" spans="1:25" x14ac:dyDescent="0.25">
      <c r="A10" t="s">
        <v>0</v>
      </c>
      <c r="B10" s="9">
        <v>44774</v>
      </c>
      <c r="C10" s="5" t="s">
        <v>82</v>
      </c>
      <c r="D10" t="s">
        <v>2</v>
      </c>
      <c r="E10" t="s">
        <v>3</v>
      </c>
      <c r="F10" t="s">
        <v>4</v>
      </c>
      <c r="G10" t="s">
        <v>5</v>
      </c>
      <c r="H10">
        <v>0</v>
      </c>
      <c r="I10" t="s">
        <v>2330</v>
      </c>
      <c r="J10" t="s">
        <v>7</v>
      </c>
    </row>
    <row r="11" spans="1:25" x14ac:dyDescent="0.25">
      <c r="A11" t="s">
        <v>0</v>
      </c>
      <c r="B11" s="9">
        <v>44805</v>
      </c>
      <c r="C11" s="5" t="s">
        <v>87</v>
      </c>
      <c r="D11" t="s">
        <v>2</v>
      </c>
      <c r="E11" t="s">
        <v>3</v>
      </c>
      <c r="F11" t="s">
        <v>4</v>
      </c>
      <c r="G11" t="s">
        <v>5</v>
      </c>
      <c r="H11">
        <v>0</v>
      </c>
      <c r="I11" t="s">
        <v>2330</v>
      </c>
      <c r="J11" t="s">
        <v>7</v>
      </c>
    </row>
    <row r="12" spans="1:25" x14ac:dyDescent="0.25">
      <c r="A12" t="s">
        <v>0</v>
      </c>
      <c r="B12" s="2">
        <v>44839</v>
      </c>
      <c r="C12" t="s">
        <v>30</v>
      </c>
      <c r="D12" t="s">
        <v>2</v>
      </c>
      <c r="E12" t="s">
        <v>3</v>
      </c>
      <c r="F12" t="s">
        <v>4</v>
      </c>
      <c r="G12" t="s">
        <v>5</v>
      </c>
      <c r="H12" s="3">
        <v>322580.15000000002</v>
      </c>
      <c r="I12" t="s">
        <v>31</v>
      </c>
      <c r="J12" t="s">
        <v>7</v>
      </c>
      <c r="K12" t="s">
        <v>8</v>
      </c>
      <c r="L12" t="s">
        <v>32</v>
      </c>
      <c r="M12" t="s">
        <v>8</v>
      </c>
      <c r="N12" t="s">
        <v>33</v>
      </c>
      <c r="O12" t="s">
        <v>34</v>
      </c>
      <c r="P12" t="s">
        <v>1</v>
      </c>
      <c r="Q12">
        <v>44908</v>
      </c>
      <c r="R12" t="s">
        <v>2334</v>
      </c>
    </row>
    <row r="13" spans="1:25" x14ac:dyDescent="0.25">
      <c r="A13" t="s">
        <v>0</v>
      </c>
      <c r="B13" s="2">
        <v>44839</v>
      </c>
      <c r="C13" t="s">
        <v>30</v>
      </c>
      <c r="D13" t="s">
        <v>2</v>
      </c>
      <c r="E13" t="s">
        <v>3</v>
      </c>
      <c r="F13" t="s">
        <v>4</v>
      </c>
      <c r="G13" t="s">
        <v>5</v>
      </c>
      <c r="H13" s="3">
        <v>322580.15000000002</v>
      </c>
      <c r="I13" t="s">
        <v>35</v>
      </c>
      <c r="J13" t="s">
        <v>7</v>
      </c>
      <c r="K13" t="s">
        <v>8</v>
      </c>
      <c r="L13" t="s">
        <v>36</v>
      </c>
      <c r="M13" t="s">
        <v>8</v>
      </c>
      <c r="N13" t="s">
        <v>37</v>
      </c>
      <c r="O13" t="s">
        <v>34</v>
      </c>
      <c r="P13" t="s">
        <v>1</v>
      </c>
      <c r="Q13">
        <v>44896</v>
      </c>
      <c r="R13" t="s">
        <v>8</v>
      </c>
    </row>
    <row r="14" spans="1:25" x14ac:dyDescent="0.25">
      <c r="A14" t="s">
        <v>0</v>
      </c>
      <c r="B14" s="2">
        <v>44841</v>
      </c>
      <c r="C14" t="s">
        <v>30</v>
      </c>
      <c r="D14" t="s">
        <v>2</v>
      </c>
      <c r="E14" t="s">
        <v>3</v>
      </c>
      <c r="F14" t="s">
        <v>4</v>
      </c>
      <c r="G14" t="s">
        <v>5</v>
      </c>
      <c r="H14" s="3">
        <v>322580.15000000002</v>
      </c>
      <c r="I14" t="s">
        <v>38</v>
      </c>
      <c r="J14" t="s">
        <v>7</v>
      </c>
      <c r="K14" t="s">
        <v>8</v>
      </c>
      <c r="L14" t="s">
        <v>39</v>
      </c>
      <c r="M14" t="s">
        <v>8</v>
      </c>
      <c r="N14" t="s">
        <v>40</v>
      </c>
      <c r="O14" t="s">
        <v>11</v>
      </c>
      <c r="P14" t="s">
        <v>1</v>
      </c>
    </row>
    <row r="15" spans="1:25" x14ac:dyDescent="0.25">
      <c r="A15" t="s">
        <v>0</v>
      </c>
      <c r="B15" s="2">
        <v>44851</v>
      </c>
      <c r="C15" t="s">
        <v>30</v>
      </c>
      <c r="D15" t="s">
        <v>2</v>
      </c>
      <c r="E15" t="s">
        <v>3</v>
      </c>
      <c r="F15" t="s">
        <v>4</v>
      </c>
      <c r="G15" t="s">
        <v>5</v>
      </c>
      <c r="H15" s="3">
        <v>322580.15000000002</v>
      </c>
      <c r="I15" t="s">
        <v>26</v>
      </c>
      <c r="J15" t="s">
        <v>7</v>
      </c>
      <c r="K15" t="s">
        <v>8</v>
      </c>
      <c r="L15" t="s">
        <v>41</v>
      </c>
      <c r="M15" t="s">
        <v>8</v>
      </c>
      <c r="N15" t="s">
        <v>42</v>
      </c>
      <c r="O15" t="s">
        <v>34</v>
      </c>
      <c r="P15" t="s">
        <v>1</v>
      </c>
    </row>
    <row r="16" spans="1:25" x14ac:dyDescent="0.25">
      <c r="A16" t="s">
        <v>0</v>
      </c>
      <c r="B16" s="9">
        <v>44866</v>
      </c>
      <c r="C16" s="5" t="s">
        <v>289</v>
      </c>
      <c r="D16" t="s">
        <v>2</v>
      </c>
      <c r="E16" t="s">
        <v>3</v>
      </c>
      <c r="F16" t="s">
        <v>4</v>
      </c>
      <c r="G16" t="s">
        <v>5</v>
      </c>
      <c r="H16">
        <v>0</v>
      </c>
      <c r="I16" t="s">
        <v>2330</v>
      </c>
      <c r="J16" t="s">
        <v>7</v>
      </c>
    </row>
    <row r="17" spans="1:22" x14ac:dyDescent="0.25">
      <c r="A17" t="s">
        <v>0</v>
      </c>
      <c r="B17" s="2">
        <v>44896</v>
      </c>
      <c r="C17" t="s">
        <v>246</v>
      </c>
      <c r="D17" t="s">
        <v>2</v>
      </c>
      <c r="E17" t="s">
        <v>3</v>
      </c>
      <c r="F17" t="s">
        <v>4</v>
      </c>
      <c r="G17" t="s">
        <v>5</v>
      </c>
      <c r="H17">
        <v>12634.6</v>
      </c>
      <c r="I17" t="s">
        <v>2335</v>
      </c>
      <c r="J17" t="s">
        <v>7</v>
      </c>
      <c r="K17" t="s">
        <v>8</v>
      </c>
      <c r="L17" t="s">
        <v>2336</v>
      </c>
      <c r="M17" t="s">
        <v>29</v>
      </c>
      <c r="N17" t="s">
        <v>1</v>
      </c>
      <c r="O17">
        <v>44888</v>
      </c>
      <c r="P17" t="s">
        <v>2337</v>
      </c>
    </row>
    <row r="18" spans="1:22" x14ac:dyDescent="0.25">
      <c r="A18" t="s">
        <v>0</v>
      </c>
      <c r="B18" s="2">
        <v>44908</v>
      </c>
      <c r="C18" t="s">
        <v>246</v>
      </c>
      <c r="D18" t="s">
        <v>2</v>
      </c>
      <c r="E18" t="s">
        <v>3</v>
      </c>
      <c r="F18" t="s">
        <v>4</v>
      </c>
      <c r="G18" t="s">
        <v>5</v>
      </c>
      <c r="H18">
        <v>357038.16</v>
      </c>
      <c r="I18" t="s">
        <v>2330</v>
      </c>
      <c r="J18" t="s">
        <v>7</v>
      </c>
      <c r="K18" t="s">
        <v>2331</v>
      </c>
      <c r="L18" t="s">
        <v>2332</v>
      </c>
      <c r="M18" t="s">
        <v>11</v>
      </c>
      <c r="N18" t="s">
        <v>1</v>
      </c>
      <c r="O18">
        <v>44897</v>
      </c>
      <c r="P18" t="s">
        <v>2333</v>
      </c>
    </row>
    <row r="19" spans="1:22" x14ac:dyDescent="0.25">
      <c r="A19" t="s">
        <v>0</v>
      </c>
      <c r="B19" s="2">
        <v>44922</v>
      </c>
      <c r="C19" t="s">
        <v>246</v>
      </c>
      <c r="D19" t="s">
        <v>2</v>
      </c>
      <c r="E19" t="s">
        <v>3</v>
      </c>
      <c r="F19" t="s">
        <v>4</v>
      </c>
      <c r="G19" t="s">
        <v>5</v>
      </c>
      <c r="H19">
        <v>357038.16</v>
      </c>
      <c r="I19" t="s">
        <v>2353</v>
      </c>
      <c r="J19" t="s">
        <v>7</v>
      </c>
      <c r="K19" t="s">
        <v>2354</v>
      </c>
      <c r="L19" t="s">
        <v>2355</v>
      </c>
      <c r="M19" t="s">
        <v>524</v>
      </c>
      <c r="N19" t="s">
        <v>1</v>
      </c>
      <c r="O19">
        <v>44908</v>
      </c>
      <c r="P19" t="s">
        <v>2356</v>
      </c>
      <c r="Q19">
        <v>44922</v>
      </c>
      <c r="R19" t="s">
        <v>8</v>
      </c>
    </row>
    <row r="20" spans="1:22" x14ac:dyDescent="0.25">
      <c r="A20" t="s">
        <v>2375</v>
      </c>
      <c r="B20" s="9">
        <v>44944</v>
      </c>
      <c r="C20" t="s">
        <v>1</v>
      </c>
      <c r="D20" t="s">
        <v>2</v>
      </c>
      <c r="E20" t="s">
        <v>3</v>
      </c>
      <c r="F20" t="s">
        <v>4</v>
      </c>
      <c r="G20" t="s">
        <v>5</v>
      </c>
      <c r="H20">
        <v>357038.16</v>
      </c>
      <c r="I20" t="s">
        <v>2389</v>
      </c>
      <c r="J20" t="s">
        <v>7</v>
      </c>
      <c r="K20" t="s">
        <v>2390</v>
      </c>
      <c r="L20" t="s">
        <v>2391</v>
      </c>
      <c r="M20" t="s">
        <v>21</v>
      </c>
      <c r="N20" t="s">
        <v>1</v>
      </c>
      <c r="O20">
        <v>44938</v>
      </c>
      <c r="P20" t="s">
        <v>2392</v>
      </c>
      <c r="Q20">
        <v>44944</v>
      </c>
      <c r="R20" t="s">
        <v>2393</v>
      </c>
    </row>
    <row r="21" spans="1:22" x14ac:dyDescent="0.25">
      <c r="A21" t="s">
        <v>2375</v>
      </c>
      <c r="B21" s="9">
        <v>44958</v>
      </c>
      <c r="C21" s="7">
        <v>2</v>
      </c>
      <c r="H21">
        <v>0</v>
      </c>
      <c r="J21" t="s">
        <v>7</v>
      </c>
    </row>
    <row r="22" spans="1:22" x14ac:dyDescent="0.25">
      <c r="A22" t="s">
        <v>2375</v>
      </c>
      <c r="B22" s="9">
        <v>45014</v>
      </c>
      <c r="C22" t="s">
        <v>17</v>
      </c>
      <c r="D22" t="s">
        <v>2</v>
      </c>
      <c r="E22" t="s">
        <v>3</v>
      </c>
      <c r="F22" t="s">
        <v>4</v>
      </c>
      <c r="G22" t="s">
        <v>5</v>
      </c>
      <c r="H22">
        <v>357038.16</v>
      </c>
      <c r="I22" t="s">
        <v>2442</v>
      </c>
      <c r="J22" t="s">
        <v>7</v>
      </c>
      <c r="K22" t="s">
        <v>2443</v>
      </c>
      <c r="L22" t="s">
        <v>2444</v>
      </c>
      <c r="M22" t="s">
        <v>524</v>
      </c>
      <c r="N22" t="s">
        <v>1</v>
      </c>
      <c r="O22">
        <v>45006</v>
      </c>
      <c r="P22" t="s">
        <v>2445</v>
      </c>
      <c r="Q22">
        <v>45014</v>
      </c>
      <c r="R22" t="s">
        <v>2446</v>
      </c>
    </row>
    <row r="23" spans="1:22" x14ac:dyDescent="0.25">
      <c r="A23" t="s">
        <v>2375</v>
      </c>
      <c r="B23" s="9">
        <v>45017</v>
      </c>
      <c r="C23" s="5" t="s">
        <v>43</v>
      </c>
      <c r="D23" t="s">
        <v>2</v>
      </c>
      <c r="E23" t="s">
        <v>3</v>
      </c>
      <c r="F23" t="s">
        <v>4</v>
      </c>
      <c r="G23" t="s">
        <v>5</v>
      </c>
      <c r="H23">
        <v>0</v>
      </c>
      <c r="I23" t="s">
        <v>2442</v>
      </c>
      <c r="J23" t="s">
        <v>7</v>
      </c>
    </row>
    <row r="24" spans="1:22" x14ac:dyDescent="0.25">
      <c r="A24" t="s">
        <v>2375</v>
      </c>
      <c r="B24" s="9">
        <v>45051</v>
      </c>
      <c r="C24" t="s">
        <v>77</v>
      </c>
      <c r="D24" t="s">
        <v>2</v>
      </c>
      <c r="E24" t="s">
        <v>3</v>
      </c>
      <c r="F24" t="s">
        <v>4</v>
      </c>
      <c r="G24" t="s">
        <v>5</v>
      </c>
      <c r="H24">
        <v>357038.16</v>
      </c>
      <c r="I24" t="s">
        <v>2517</v>
      </c>
      <c r="J24" t="s">
        <v>7</v>
      </c>
      <c r="K24" t="s">
        <v>2518</v>
      </c>
      <c r="L24" t="s">
        <v>2519</v>
      </c>
      <c r="M24" t="s">
        <v>16</v>
      </c>
      <c r="N24" t="s">
        <v>1</v>
      </c>
      <c r="O24">
        <v>44972</v>
      </c>
      <c r="P24" t="s">
        <v>2520</v>
      </c>
      <c r="Q24">
        <v>45051</v>
      </c>
      <c r="R24" t="s">
        <v>2521</v>
      </c>
      <c r="S24" t="s">
        <v>26</v>
      </c>
    </row>
    <row r="25" spans="1:22" x14ac:dyDescent="0.25">
      <c r="A25" s="12" t="s">
        <v>2375</v>
      </c>
      <c r="B25" s="13">
        <v>45099</v>
      </c>
      <c r="C25" s="12" t="s">
        <v>22</v>
      </c>
      <c r="D25" s="12" t="s">
        <v>2</v>
      </c>
      <c r="E25" s="12" t="s">
        <v>3</v>
      </c>
      <c r="F25" s="12" t="s">
        <v>4</v>
      </c>
      <c r="G25" s="12" t="s">
        <v>5</v>
      </c>
      <c r="H25" s="14">
        <v>357038.16</v>
      </c>
      <c r="I25" s="12" t="s">
        <v>2585</v>
      </c>
      <c r="J25" s="12" t="s">
        <v>7</v>
      </c>
      <c r="K25" s="12" t="s">
        <v>2586</v>
      </c>
      <c r="L25" s="12" t="s">
        <v>2587</v>
      </c>
      <c r="M25" s="12" t="s">
        <v>524</v>
      </c>
      <c r="N25" s="12" t="s">
        <v>1</v>
      </c>
      <c r="O25" s="13">
        <v>45036</v>
      </c>
      <c r="P25" s="12" t="s">
        <v>2588</v>
      </c>
      <c r="Q25" s="13">
        <v>45099</v>
      </c>
      <c r="R25" s="12" t="s">
        <v>2589</v>
      </c>
      <c r="S25" s="12" t="s">
        <v>26</v>
      </c>
    </row>
    <row r="26" spans="1:22" x14ac:dyDescent="0.25">
      <c r="A26" t="s">
        <v>2375</v>
      </c>
      <c r="B26" s="2">
        <v>45131</v>
      </c>
      <c r="C26" t="s">
        <v>72</v>
      </c>
      <c r="D26" t="s">
        <v>2</v>
      </c>
      <c r="E26" t="s">
        <v>3</v>
      </c>
      <c r="F26" t="s">
        <v>4</v>
      </c>
      <c r="G26" t="s">
        <v>5</v>
      </c>
      <c r="H26" s="3">
        <v>357038.15</v>
      </c>
      <c r="I26" t="s">
        <v>2646</v>
      </c>
      <c r="J26" t="s">
        <v>7</v>
      </c>
      <c r="K26" t="s">
        <v>2647</v>
      </c>
      <c r="L26" t="s">
        <v>2648</v>
      </c>
      <c r="M26" t="s">
        <v>2429</v>
      </c>
      <c r="N26" t="s">
        <v>1</v>
      </c>
      <c r="O26" s="2">
        <v>45124</v>
      </c>
      <c r="P26" t="s">
        <v>2649</v>
      </c>
      <c r="Q26" s="2">
        <v>45131</v>
      </c>
      <c r="R26" t="s">
        <v>2650</v>
      </c>
      <c r="S26" t="s">
        <v>26</v>
      </c>
    </row>
    <row r="27" spans="1:22" x14ac:dyDescent="0.25">
      <c r="A27" t="s">
        <v>2375</v>
      </c>
      <c r="B27" s="2">
        <v>45140</v>
      </c>
      <c r="C27" t="s">
        <v>82</v>
      </c>
      <c r="D27" t="s">
        <v>2</v>
      </c>
      <c r="E27" t="s">
        <v>3</v>
      </c>
      <c r="F27" t="s">
        <v>4</v>
      </c>
      <c r="G27" t="s">
        <v>5</v>
      </c>
      <c r="H27" s="3">
        <v>357038.16</v>
      </c>
      <c r="I27" t="s">
        <v>2678</v>
      </c>
      <c r="J27" t="s">
        <v>7</v>
      </c>
      <c r="K27" t="s">
        <v>2679</v>
      </c>
      <c r="L27" t="s">
        <v>2680</v>
      </c>
      <c r="M27" t="s">
        <v>524</v>
      </c>
      <c r="N27" t="s">
        <v>1</v>
      </c>
      <c r="O27" s="2">
        <v>45064</v>
      </c>
      <c r="P27" t="s">
        <v>2681</v>
      </c>
      <c r="Q27" s="2">
        <v>45140</v>
      </c>
      <c r="R27" t="s">
        <v>2682</v>
      </c>
      <c r="S27" t="s">
        <v>26</v>
      </c>
      <c r="T27" s="18">
        <v>1</v>
      </c>
      <c r="U27" t="s">
        <v>8</v>
      </c>
      <c r="V27" t="s">
        <v>8</v>
      </c>
    </row>
    <row r="28" spans="1:22" x14ac:dyDescent="0.25">
      <c r="A28" t="s">
        <v>2375</v>
      </c>
      <c r="B28" s="2">
        <v>45140</v>
      </c>
      <c r="C28" t="s">
        <v>82</v>
      </c>
      <c r="D28" t="s">
        <v>2</v>
      </c>
      <c r="E28" t="s">
        <v>3</v>
      </c>
      <c r="F28" t="s">
        <v>4</v>
      </c>
      <c r="G28" t="s">
        <v>5</v>
      </c>
      <c r="H28" s="3">
        <v>357038.15</v>
      </c>
      <c r="I28" t="s">
        <v>2683</v>
      </c>
      <c r="J28" t="s">
        <v>7</v>
      </c>
      <c r="K28" t="s">
        <v>2684</v>
      </c>
      <c r="L28" t="s">
        <v>2685</v>
      </c>
      <c r="M28" t="s">
        <v>524</v>
      </c>
      <c r="N28" t="s">
        <v>1</v>
      </c>
      <c r="O28" s="2">
        <v>45098</v>
      </c>
      <c r="P28" t="s">
        <v>2686</v>
      </c>
      <c r="Q28" s="2">
        <v>45140</v>
      </c>
      <c r="R28" t="s">
        <v>2687</v>
      </c>
      <c r="S28" t="s">
        <v>26</v>
      </c>
      <c r="T28" s="18">
        <v>1</v>
      </c>
      <c r="U28" t="s">
        <v>8</v>
      </c>
      <c r="V28" t="s">
        <v>8</v>
      </c>
    </row>
    <row r="29" spans="1:22" x14ac:dyDescent="0.25">
      <c r="A29" t="s">
        <v>2375</v>
      </c>
      <c r="B29" s="2">
        <v>45166</v>
      </c>
      <c r="C29" t="s">
        <v>82</v>
      </c>
      <c r="D29" t="s">
        <v>2</v>
      </c>
      <c r="E29" t="s">
        <v>3</v>
      </c>
      <c r="F29" t="s">
        <v>4</v>
      </c>
      <c r="G29" t="s">
        <v>5</v>
      </c>
      <c r="H29" s="3">
        <v>2054.7199999999998</v>
      </c>
      <c r="I29" t="s">
        <v>2688</v>
      </c>
      <c r="J29" t="s">
        <v>7</v>
      </c>
      <c r="K29" t="s">
        <v>8</v>
      </c>
      <c r="L29" t="s">
        <v>2689</v>
      </c>
      <c r="M29" t="s">
        <v>524</v>
      </c>
      <c r="N29" t="s">
        <v>1</v>
      </c>
      <c r="O29" s="2">
        <v>45100</v>
      </c>
      <c r="P29" t="s">
        <v>2690</v>
      </c>
      <c r="Q29" s="2">
        <v>45166</v>
      </c>
      <c r="R29" t="s">
        <v>2691</v>
      </c>
      <c r="S29" t="s">
        <v>8</v>
      </c>
      <c r="T29" s="17">
        <v>0</v>
      </c>
      <c r="U29" t="s">
        <v>8</v>
      </c>
      <c r="V29" t="s">
        <v>8</v>
      </c>
    </row>
    <row r="30" spans="1:22" x14ac:dyDescent="0.25">
      <c r="A30" t="s">
        <v>2375</v>
      </c>
      <c r="B30" s="2">
        <v>45168</v>
      </c>
      <c r="C30" t="s">
        <v>82</v>
      </c>
      <c r="D30" t="s">
        <v>2</v>
      </c>
      <c r="E30" t="s">
        <v>3</v>
      </c>
      <c r="F30" t="s">
        <v>4</v>
      </c>
      <c r="G30" t="s">
        <v>5</v>
      </c>
      <c r="H30" s="3">
        <v>898.94</v>
      </c>
      <c r="I30" t="s">
        <v>2692</v>
      </c>
      <c r="J30" t="s">
        <v>7</v>
      </c>
      <c r="K30" t="s">
        <v>8</v>
      </c>
      <c r="L30" t="s">
        <v>2693</v>
      </c>
      <c r="M30" t="s">
        <v>524</v>
      </c>
      <c r="N30" t="s">
        <v>1</v>
      </c>
      <c r="O30" s="2">
        <v>45154</v>
      </c>
      <c r="P30" t="s">
        <v>2694</v>
      </c>
      <c r="Q30" s="2">
        <v>45168</v>
      </c>
      <c r="R30" t="s">
        <v>2695</v>
      </c>
      <c r="S30" t="s">
        <v>8</v>
      </c>
      <c r="T30" s="17">
        <v>0</v>
      </c>
      <c r="U30" t="s">
        <v>8</v>
      </c>
      <c r="V30" t="s">
        <v>8</v>
      </c>
    </row>
    <row r="31" spans="1:22" x14ac:dyDescent="0.25">
      <c r="A31" t="s">
        <v>2375</v>
      </c>
      <c r="B31" s="2">
        <v>45169</v>
      </c>
      <c r="C31" t="s">
        <v>82</v>
      </c>
      <c r="D31" t="s">
        <v>2</v>
      </c>
      <c r="E31" t="s">
        <v>3</v>
      </c>
      <c r="F31" t="s">
        <v>4</v>
      </c>
      <c r="G31" t="s">
        <v>5</v>
      </c>
      <c r="H31" s="3">
        <v>357038.15</v>
      </c>
      <c r="I31" t="s">
        <v>2696</v>
      </c>
      <c r="J31" t="s">
        <v>7</v>
      </c>
      <c r="K31" t="s">
        <v>2697</v>
      </c>
      <c r="L31" t="s">
        <v>2698</v>
      </c>
      <c r="M31" t="s">
        <v>524</v>
      </c>
      <c r="N31" t="s">
        <v>1</v>
      </c>
      <c r="O31" s="2">
        <v>45154</v>
      </c>
      <c r="P31" t="s">
        <v>2699</v>
      </c>
      <c r="Q31" s="2">
        <v>45169</v>
      </c>
      <c r="R31" t="s">
        <v>2700</v>
      </c>
      <c r="S31" t="s">
        <v>26</v>
      </c>
      <c r="T31" s="18">
        <v>1</v>
      </c>
      <c r="U31" t="s">
        <v>8</v>
      </c>
      <c r="V31" t="s">
        <v>8</v>
      </c>
    </row>
    <row r="32" spans="1:22" x14ac:dyDescent="0.25">
      <c r="A32" t="s">
        <v>2375</v>
      </c>
      <c r="B32" s="2">
        <v>45189</v>
      </c>
      <c r="C32" t="s">
        <v>87</v>
      </c>
      <c r="D32" t="s">
        <v>2</v>
      </c>
      <c r="E32" t="s">
        <v>3</v>
      </c>
      <c r="F32" t="s">
        <v>4</v>
      </c>
      <c r="G32" t="s">
        <v>5</v>
      </c>
      <c r="H32" s="3">
        <v>357038.16</v>
      </c>
      <c r="I32" t="s">
        <v>2718</v>
      </c>
      <c r="J32" t="s">
        <v>7</v>
      </c>
      <c r="K32" t="s">
        <v>2719</v>
      </c>
      <c r="L32" t="s">
        <v>2720</v>
      </c>
      <c r="M32" t="s">
        <v>524</v>
      </c>
      <c r="N32" t="s">
        <v>1</v>
      </c>
      <c r="O32" s="2">
        <v>45181</v>
      </c>
      <c r="P32" t="s">
        <v>2721</v>
      </c>
      <c r="Q32" s="2">
        <v>45189</v>
      </c>
      <c r="R32" t="s">
        <v>2722</v>
      </c>
      <c r="S32" t="s">
        <v>26</v>
      </c>
      <c r="T32" s="18">
        <v>1</v>
      </c>
      <c r="U32" t="s">
        <v>8</v>
      </c>
      <c r="V32" t="s">
        <v>8</v>
      </c>
    </row>
    <row r="33" spans="1:24" x14ac:dyDescent="0.25">
      <c r="A33" t="s">
        <v>2375</v>
      </c>
      <c r="B33" s="2">
        <v>45216</v>
      </c>
      <c r="C33" t="s">
        <v>30</v>
      </c>
      <c r="D33" t="s">
        <v>2</v>
      </c>
      <c r="E33" t="s">
        <v>3</v>
      </c>
      <c r="F33" t="s">
        <v>4</v>
      </c>
      <c r="G33" t="s">
        <v>5</v>
      </c>
      <c r="H33" s="3">
        <v>357038.15</v>
      </c>
      <c r="I33" t="s">
        <v>2784</v>
      </c>
      <c r="J33" t="s">
        <v>7</v>
      </c>
      <c r="K33" t="s">
        <v>2785</v>
      </c>
      <c r="L33" t="s">
        <v>2786</v>
      </c>
      <c r="M33" t="s">
        <v>524</v>
      </c>
      <c r="N33" t="s">
        <v>1</v>
      </c>
      <c r="O33" s="2">
        <v>45208</v>
      </c>
      <c r="P33" t="s">
        <v>2787</v>
      </c>
      <c r="Q33" s="2">
        <v>45216</v>
      </c>
      <c r="R33" t="s">
        <v>2788</v>
      </c>
      <c r="S33" t="s">
        <v>26</v>
      </c>
      <c r="T33" s="18">
        <v>1</v>
      </c>
      <c r="U33" t="s">
        <v>8</v>
      </c>
      <c r="V33" t="s">
        <v>8</v>
      </c>
      <c r="W33" t="s">
        <v>4</v>
      </c>
    </row>
    <row r="34" spans="1:24" x14ac:dyDescent="0.25">
      <c r="A34" t="s">
        <v>2375</v>
      </c>
      <c r="C34" s="5" t="s">
        <v>289</v>
      </c>
      <c r="D34" t="s">
        <v>2</v>
      </c>
      <c r="E34" t="s">
        <v>3</v>
      </c>
      <c r="F34" t="s">
        <v>4</v>
      </c>
      <c r="G34" t="s">
        <v>5</v>
      </c>
      <c r="H34">
        <v>0</v>
      </c>
      <c r="J34" t="s">
        <v>7</v>
      </c>
    </row>
    <row r="35" spans="1:24" x14ac:dyDescent="0.25">
      <c r="A35" t="s">
        <v>2375</v>
      </c>
      <c r="B35" s="2">
        <v>45279</v>
      </c>
      <c r="C35" t="s">
        <v>246</v>
      </c>
      <c r="D35" t="s">
        <v>2</v>
      </c>
      <c r="E35" t="s">
        <v>3</v>
      </c>
      <c r="F35" t="s">
        <v>4</v>
      </c>
      <c r="G35" t="s">
        <v>5</v>
      </c>
      <c r="H35" s="3">
        <v>380138.54</v>
      </c>
      <c r="I35" t="s">
        <v>2870</v>
      </c>
      <c r="J35" t="s">
        <v>7</v>
      </c>
      <c r="K35" t="s">
        <v>2871</v>
      </c>
      <c r="L35" t="s">
        <v>2872</v>
      </c>
      <c r="M35" t="s">
        <v>524</v>
      </c>
      <c r="N35" t="s">
        <v>1</v>
      </c>
      <c r="O35" s="2">
        <v>45271</v>
      </c>
      <c r="P35" t="s">
        <v>2873</v>
      </c>
      <c r="Q35" s="2">
        <v>45279</v>
      </c>
      <c r="R35" t="s">
        <v>2874</v>
      </c>
      <c r="S35" t="s">
        <v>26</v>
      </c>
      <c r="T35" s="18">
        <v>1</v>
      </c>
      <c r="U35" t="s">
        <v>8</v>
      </c>
      <c r="V35" t="s">
        <v>8</v>
      </c>
      <c r="W35" t="s">
        <v>4</v>
      </c>
    </row>
    <row r="36" spans="1:24" x14ac:dyDescent="0.25">
      <c r="A36" t="s">
        <v>2375</v>
      </c>
      <c r="B36" s="2">
        <v>45264</v>
      </c>
      <c r="C36" t="s">
        <v>246</v>
      </c>
      <c r="D36" t="s">
        <v>2</v>
      </c>
      <c r="E36" t="s">
        <v>3</v>
      </c>
      <c r="F36" t="s">
        <v>4</v>
      </c>
      <c r="G36" t="s">
        <v>5</v>
      </c>
      <c r="H36" s="3">
        <v>380138.54</v>
      </c>
      <c r="I36" t="s">
        <v>2845</v>
      </c>
      <c r="J36" t="s">
        <v>7</v>
      </c>
      <c r="K36" t="s">
        <v>2846</v>
      </c>
      <c r="L36" t="s">
        <v>2847</v>
      </c>
      <c r="M36" t="s">
        <v>524</v>
      </c>
      <c r="N36" t="s">
        <v>1</v>
      </c>
      <c r="O36" s="2">
        <v>45254</v>
      </c>
      <c r="P36" t="s">
        <v>2848</v>
      </c>
      <c r="Q36" s="2">
        <v>45264</v>
      </c>
      <c r="R36" t="s">
        <v>2849</v>
      </c>
      <c r="S36" t="s">
        <v>26</v>
      </c>
      <c r="T36" s="18">
        <v>1</v>
      </c>
      <c r="U36" t="s">
        <v>8</v>
      </c>
      <c r="V36" t="s">
        <v>8</v>
      </c>
      <c r="W36" t="s">
        <v>4</v>
      </c>
    </row>
    <row r="37" spans="1:24" x14ac:dyDescent="0.25">
      <c r="A37" t="s">
        <v>2880</v>
      </c>
      <c r="B37" s="2">
        <v>45315</v>
      </c>
      <c r="C37" t="s">
        <v>1</v>
      </c>
      <c r="D37" t="s">
        <v>2</v>
      </c>
      <c r="E37" t="s">
        <v>3</v>
      </c>
      <c r="F37" t="s">
        <v>4</v>
      </c>
      <c r="G37" t="s">
        <v>5</v>
      </c>
      <c r="H37" s="3">
        <v>380138.54</v>
      </c>
      <c r="I37" t="s">
        <v>2941</v>
      </c>
      <c r="J37" t="s">
        <v>7</v>
      </c>
      <c r="K37" t="s">
        <v>2942</v>
      </c>
      <c r="L37" t="s">
        <v>2943</v>
      </c>
      <c r="M37" t="s">
        <v>524</v>
      </c>
      <c r="N37" t="s">
        <v>1</v>
      </c>
      <c r="O37" s="2">
        <v>45307</v>
      </c>
      <c r="P37" t="s">
        <v>2944</v>
      </c>
      <c r="Q37" s="2">
        <v>45315</v>
      </c>
      <c r="R37" t="s">
        <v>2945</v>
      </c>
      <c r="S37" t="s">
        <v>26</v>
      </c>
      <c r="T37" s="18">
        <v>1</v>
      </c>
      <c r="U37" t="s">
        <v>8</v>
      </c>
      <c r="V37" t="s">
        <v>8</v>
      </c>
      <c r="W37" t="s">
        <v>4</v>
      </c>
    </row>
    <row r="38" spans="1:24" x14ac:dyDescent="0.25">
      <c r="A38" t="s">
        <v>2880</v>
      </c>
      <c r="B38" s="2">
        <v>45307</v>
      </c>
      <c r="C38" t="s">
        <v>1</v>
      </c>
      <c r="D38" t="s">
        <v>2</v>
      </c>
      <c r="E38" t="s">
        <v>3</v>
      </c>
      <c r="F38" t="s">
        <v>4</v>
      </c>
      <c r="G38" t="s">
        <v>5</v>
      </c>
      <c r="H38" s="3">
        <v>8470.14</v>
      </c>
      <c r="I38" t="s">
        <v>2946</v>
      </c>
      <c r="J38" t="s">
        <v>7</v>
      </c>
      <c r="K38" t="s">
        <v>8</v>
      </c>
      <c r="L38" t="s">
        <v>2947</v>
      </c>
      <c r="M38" t="s">
        <v>21</v>
      </c>
      <c r="N38" t="s">
        <v>1</v>
      </c>
      <c r="O38" s="2">
        <v>45302</v>
      </c>
      <c r="P38" t="s">
        <v>2948</v>
      </c>
      <c r="Q38" s="2">
        <v>45307</v>
      </c>
      <c r="R38" t="s">
        <v>2949</v>
      </c>
      <c r="S38" t="s">
        <v>8</v>
      </c>
      <c r="T38" s="17">
        <v>0</v>
      </c>
      <c r="U38" t="s">
        <v>8</v>
      </c>
      <c r="V38" t="s">
        <v>8</v>
      </c>
      <c r="W38" t="s">
        <v>4</v>
      </c>
    </row>
    <row r="39" spans="1:24" x14ac:dyDescent="0.25">
      <c r="A39" t="s">
        <v>2880</v>
      </c>
      <c r="B39" s="2">
        <v>45343</v>
      </c>
      <c r="C39" t="s">
        <v>12</v>
      </c>
      <c r="D39" t="s">
        <v>2</v>
      </c>
      <c r="E39" t="s">
        <v>3</v>
      </c>
      <c r="F39" t="s">
        <v>4</v>
      </c>
      <c r="G39" t="s">
        <v>5</v>
      </c>
      <c r="H39" s="3">
        <v>380138.54</v>
      </c>
      <c r="I39" t="s">
        <v>2936</v>
      </c>
      <c r="J39" t="s">
        <v>7</v>
      </c>
      <c r="K39" t="s">
        <v>2937</v>
      </c>
      <c r="L39" t="s">
        <v>2938</v>
      </c>
      <c r="M39" t="s">
        <v>524</v>
      </c>
      <c r="N39" t="s">
        <v>1</v>
      </c>
      <c r="O39" s="2">
        <v>45335</v>
      </c>
      <c r="P39" t="s">
        <v>2939</v>
      </c>
      <c r="Q39" s="2">
        <v>45343</v>
      </c>
      <c r="R39" t="s">
        <v>2940</v>
      </c>
      <c r="S39" t="s">
        <v>26</v>
      </c>
      <c r="T39" s="18">
        <v>1</v>
      </c>
      <c r="U39" t="s">
        <v>8</v>
      </c>
      <c r="V39" t="s">
        <v>8</v>
      </c>
      <c r="W39" t="s">
        <v>4</v>
      </c>
    </row>
    <row r="40" spans="1:24" x14ac:dyDescent="0.25">
      <c r="A40" t="s">
        <v>2880</v>
      </c>
      <c r="B40" s="2">
        <v>45371</v>
      </c>
      <c r="C40" t="s">
        <v>17</v>
      </c>
      <c r="D40" t="s">
        <v>2</v>
      </c>
      <c r="E40" t="s">
        <v>3</v>
      </c>
      <c r="F40" t="s">
        <v>4</v>
      </c>
      <c r="G40" t="s">
        <v>5</v>
      </c>
      <c r="H40" s="3">
        <v>380138.54</v>
      </c>
      <c r="I40" t="s">
        <v>2962</v>
      </c>
      <c r="J40" t="s">
        <v>7</v>
      </c>
      <c r="K40" t="s">
        <v>2963</v>
      </c>
      <c r="L40" t="s">
        <v>2964</v>
      </c>
      <c r="M40" t="s">
        <v>2493</v>
      </c>
      <c r="N40" t="s">
        <v>1</v>
      </c>
      <c r="O40" s="2">
        <v>45365</v>
      </c>
      <c r="P40" t="s">
        <v>2965</v>
      </c>
      <c r="Q40" s="2">
        <v>45371</v>
      </c>
      <c r="R40" t="s">
        <v>2966</v>
      </c>
      <c r="S40" t="s">
        <v>26</v>
      </c>
      <c r="T40" s="18">
        <v>1</v>
      </c>
      <c r="U40" t="s">
        <v>8</v>
      </c>
      <c r="V40" t="s">
        <v>8</v>
      </c>
      <c r="W40" t="s">
        <v>4</v>
      </c>
    </row>
    <row r="41" spans="1:24" x14ac:dyDescent="0.25">
      <c r="A41" t="s">
        <v>2880</v>
      </c>
      <c r="B41" s="2">
        <v>45392</v>
      </c>
      <c r="C41" t="s">
        <v>43</v>
      </c>
      <c r="D41" t="s">
        <v>2</v>
      </c>
      <c r="E41" t="s">
        <v>3</v>
      </c>
      <c r="F41" t="s">
        <v>4</v>
      </c>
      <c r="G41" t="s">
        <v>5</v>
      </c>
      <c r="H41" s="3">
        <v>380138.54</v>
      </c>
      <c r="I41" t="s">
        <v>3020</v>
      </c>
      <c r="J41" t="s">
        <v>7</v>
      </c>
      <c r="K41" t="s">
        <v>3021</v>
      </c>
      <c r="L41" t="s">
        <v>3022</v>
      </c>
      <c r="M41" t="s">
        <v>524</v>
      </c>
      <c r="N41" t="s">
        <v>1</v>
      </c>
      <c r="O41" s="2">
        <v>45386</v>
      </c>
      <c r="P41" t="s">
        <v>3023</v>
      </c>
      <c r="Q41" s="2">
        <v>45392</v>
      </c>
      <c r="R41" t="s">
        <v>3024</v>
      </c>
      <c r="S41" t="s">
        <v>26</v>
      </c>
      <c r="T41" s="18">
        <v>1</v>
      </c>
      <c r="U41" t="s">
        <v>8</v>
      </c>
      <c r="V41" t="s">
        <v>8</v>
      </c>
      <c r="W41" t="s">
        <v>4</v>
      </c>
    </row>
    <row r="42" spans="1:24" x14ac:dyDescent="0.25">
      <c r="A42" t="s">
        <v>2880</v>
      </c>
      <c r="B42" s="9">
        <v>45435</v>
      </c>
      <c r="C42" t="s">
        <v>77</v>
      </c>
      <c r="D42" t="s">
        <v>2</v>
      </c>
      <c r="E42" t="s">
        <v>3</v>
      </c>
      <c r="F42" t="s">
        <v>4</v>
      </c>
      <c r="G42" t="s">
        <v>5</v>
      </c>
      <c r="H42" s="20">
        <v>380138.54</v>
      </c>
      <c r="I42" t="s">
        <v>3059</v>
      </c>
      <c r="J42" t="s">
        <v>7</v>
      </c>
      <c r="K42" t="s">
        <v>3060</v>
      </c>
      <c r="L42" t="s">
        <v>3061</v>
      </c>
      <c r="M42" t="s">
        <v>2493</v>
      </c>
      <c r="N42" t="s">
        <v>1</v>
      </c>
      <c r="O42" s="9">
        <v>45425</v>
      </c>
      <c r="P42" t="s">
        <v>3062</v>
      </c>
      <c r="Q42">
        <v>45435</v>
      </c>
      <c r="R42" t="s">
        <v>3063</v>
      </c>
      <c r="S42" t="s">
        <v>26</v>
      </c>
      <c r="T42">
        <v>1</v>
      </c>
      <c r="U42" t="s">
        <v>8</v>
      </c>
      <c r="V42" t="s">
        <v>8</v>
      </c>
      <c r="W42" t="s">
        <v>4</v>
      </c>
    </row>
    <row r="43" spans="1:24" x14ac:dyDescent="0.25">
      <c r="A43" t="s">
        <v>2880</v>
      </c>
      <c r="B43" s="9">
        <v>45476</v>
      </c>
      <c r="C43" t="s">
        <v>72</v>
      </c>
      <c r="D43" t="s">
        <v>2</v>
      </c>
      <c r="E43" t="s">
        <v>3</v>
      </c>
      <c r="F43" t="s">
        <v>4</v>
      </c>
      <c r="G43" t="s">
        <v>5</v>
      </c>
      <c r="H43" s="20">
        <v>380138.54</v>
      </c>
      <c r="I43" t="s">
        <v>3150</v>
      </c>
      <c r="J43" t="s">
        <v>7</v>
      </c>
      <c r="K43" t="s">
        <v>3151</v>
      </c>
      <c r="L43" t="s">
        <v>3152</v>
      </c>
      <c r="M43" t="s">
        <v>2493</v>
      </c>
      <c r="N43" t="s">
        <v>1</v>
      </c>
      <c r="O43" s="9">
        <v>45460</v>
      </c>
      <c r="P43" t="s">
        <v>3153</v>
      </c>
      <c r="Q43">
        <v>45476</v>
      </c>
      <c r="R43" t="s">
        <v>3154</v>
      </c>
      <c r="S43" t="s">
        <v>26</v>
      </c>
      <c r="T43">
        <v>1</v>
      </c>
      <c r="U43" t="s">
        <v>8</v>
      </c>
      <c r="V43" t="s">
        <v>8</v>
      </c>
      <c r="W43" t="s">
        <v>4</v>
      </c>
      <c r="X43" t="s">
        <v>3</v>
      </c>
    </row>
    <row r="44" spans="1:24" x14ac:dyDescent="0.25">
      <c r="A44" t="s">
        <v>2880</v>
      </c>
      <c r="B44" s="9">
        <v>45525</v>
      </c>
      <c r="C44" t="s">
        <v>82</v>
      </c>
      <c r="D44" t="s">
        <v>2</v>
      </c>
      <c r="E44" t="s">
        <v>3</v>
      </c>
      <c r="F44" t="s">
        <v>4</v>
      </c>
      <c r="G44" t="s">
        <v>5</v>
      </c>
      <c r="H44" s="8">
        <v>380138.54</v>
      </c>
      <c r="I44" t="s">
        <v>3208</v>
      </c>
      <c r="J44" t="s">
        <v>7</v>
      </c>
      <c r="K44" t="s">
        <v>3209</v>
      </c>
      <c r="L44" t="s">
        <v>3210</v>
      </c>
      <c r="M44" t="s">
        <v>2493</v>
      </c>
      <c r="N44" t="s">
        <v>1</v>
      </c>
      <c r="O44" s="9">
        <v>45489</v>
      </c>
      <c r="P44" t="s">
        <v>3211</v>
      </c>
      <c r="Q44">
        <v>45525</v>
      </c>
      <c r="R44" t="s">
        <v>3212</v>
      </c>
      <c r="S44" t="s">
        <v>26</v>
      </c>
      <c r="T44">
        <v>1</v>
      </c>
      <c r="U44" t="s">
        <v>8</v>
      </c>
      <c r="V44" t="s">
        <v>8</v>
      </c>
      <c r="W44" t="s">
        <v>4</v>
      </c>
      <c r="X44" t="s">
        <v>3</v>
      </c>
    </row>
    <row r="45" spans="1:24" x14ac:dyDescent="0.25">
      <c r="A45" t="s">
        <v>2880</v>
      </c>
      <c r="B45" s="9">
        <v>45533</v>
      </c>
      <c r="C45" t="s">
        <v>82</v>
      </c>
      <c r="D45" t="s">
        <v>2</v>
      </c>
      <c r="E45" t="s">
        <v>3</v>
      </c>
      <c r="F45" t="s">
        <v>4</v>
      </c>
      <c r="G45" t="s">
        <v>5</v>
      </c>
      <c r="H45" s="8">
        <v>380138.54</v>
      </c>
      <c r="I45" t="s">
        <v>3213</v>
      </c>
      <c r="J45" t="s">
        <v>7</v>
      </c>
      <c r="K45" t="s">
        <v>3214</v>
      </c>
      <c r="L45" t="s">
        <v>3215</v>
      </c>
      <c r="M45" t="s">
        <v>21</v>
      </c>
      <c r="N45" t="s">
        <v>1</v>
      </c>
      <c r="O45" s="9">
        <v>45511</v>
      </c>
      <c r="P45" t="s">
        <v>3216</v>
      </c>
      <c r="Q45">
        <v>45533</v>
      </c>
      <c r="R45" t="s">
        <v>3217</v>
      </c>
      <c r="S45" t="s">
        <v>26</v>
      </c>
      <c r="T45">
        <v>1</v>
      </c>
      <c r="U45" t="s">
        <v>8</v>
      </c>
      <c r="V45" t="s">
        <v>8</v>
      </c>
      <c r="W45" t="s">
        <v>4</v>
      </c>
      <c r="X45" t="s">
        <v>3</v>
      </c>
    </row>
    <row r="46" spans="1:24" x14ac:dyDescent="0.25">
      <c r="A46" t="s">
        <v>2880</v>
      </c>
      <c r="B46" s="2">
        <v>45583</v>
      </c>
      <c r="C46" t="s">
        <v>30</v>
      </c>
      <c r="D46" t="s">
        <v>2</v>
      </c>
      <c r="E46" t="s">
        <v>3</v>
      </c>
      <c r="F46" t="s">
        <v>4</v>
      </c>
      <c r="G46" t="s">
        <v>5</v>
      </c>
      <c r="H46" s="3">
        <v>380138.54</v>
      </c>
      <c r="I46" t="s">
        <v>3277</v>
      </c>
      <c r="J46" t="s">
        <v>7</v>
      </c>
      <c r="K46" t="s">
        <v>3278</v>
      </c>
      <c r="L46" t="s">
        <v>3279</v>
      </c>
      <c r="M46" t="s">
        <v>3280</v>
      </c>
      <c r="N46" t="s">
        <v>1</v>
      </c>
      <c r="O46" s="2">
        <v>45540</v>
      </c>
      <c r="P46" t="s">
        <v>3281</v>
      </c>
      <c r="Q46" s="2">
        <v>45583</v>
      </c>
      <c r="R46" t="s">
        <v>3282</v>
      </c>
      <c r="S46" t="s">
        <v>26</v>
      </c>
      <c r="T46" s="18">
        <v>1</v>
      </c>
      <c r="U46" t="s">
        <v>8</v>
      </c>
      <c r="V46" t="s">
        <v>8</v>
      </c>
      <c r="W46" t="s">
        <v>4</v>
      </c>
      <c r="X46" t="s">
        <v>3</v>
      </c>
    </row>
    <row r="47" spans="1:24" x14ac:dyDescent="0.25">
      <c r="A47" t="s">
        <v>2880</v>
      </c>
      <c r="B47" s="2">
        <v>45589</v>
      </c>
      <c r="C47" t="s">
        <v>30</v>
      </c>
      <c r="D47" t="s">
        <v>2</v>
      </c>
      <c r="E47" t="s">
        <v>3</v>
      </c>
      <c r="F47" t="s">
        <v>4</v>
      </c>
      <c r="G47" t="s">
        <v>5</v>
      </c>
      <c r="H47" s="3">
        <v>380138.54</v>
      </c>
      <c r="I47" t="s">
        <v>3283</v>
      </c>
      <c r="J47" t="s">
        <v>7</v>
      </c>
      <c r="K47" t="s">
        <v>3284</v>
      </c>
      <c r="L47" t="s">
        <v>3285</v>
      </c>
      <c r="M47" t="s">
        <v>3280</v>
      </c>
      <c r="N47" t="s">
        <v>1</v>
      </c>
      <c r="O47" s="2">
        <v>45574</v>
      </c>
      <c r="P47" t="s">
        <v>3286</v>
      </c>
      <c r="Q47" s="2">
        <v>45589</v>
      </c>
      <c r="R47" t="s">
        <v>3287</v>
      </c>
      <c r="S47" t="s">
        <v>26</v>
      </c>
      <c r="T47" s="18">
        <v>1</v>
      </c>
      <c r="U47" t="s">
        <v>8</v>
      </c>
      <c r="V47" t="s">
        <v>8</v>
      </c>
      <c r="W47" t="s">
        <v>4</v>
      </c>
      <c r="X47" t="s">
        <v>3</v>
      </c>
    </row>
    <row r="48" spans="1:24" x14ac:dyDescent="0.25">
      <c r="A48" t="s">
        <v>2880</v>
      </c>
      <c r="B48" s="9">
        <v>45637</v>
      </c>
      <c r="C48" t="s">
        <v>246</v>
      </c>
      <c r="D48" t="s">
        <v>2</v>
      </c>
      <c r="E48" t="s">
        <v>3</v>
      </c>
      <c r="F48" t="s">
        <v>4</v>
      </c>
      <c r="G48" t="s">
        <v>5</v>
      </c>
      <c r="H48">
        <v>398765.33</v>
      </c>
      <c r="I48" t="s">
        <v>3383</v>
      </c>
      <c r="J48" t="s">
        <v>7</v>
      </c>
      <c r="K48" t="s">
        <v>3384</v>
      </c>
      <c r="L48" t="s">
        <v>3385</v>
      </c>
      <c r="M48" t="s">
        <v>3386</v>
      </c>
      <c r="N48" t="s">
        <v>1</v>
      </c>
      <c r="O48" s="9">
        <v>45617</v>
      </c>
      <c r="P48" t="s">
        <v>3387</v>
      </c>
      <c r="Q48" s="9">
        <v>45637</v>
      </c>
      <c r="R48" t="s">
        <v>3388</v>
      </c>
      <c r="S48" t="s">
        <v>26</v>
      </c>
      <c r="T48">
        <v>1</v>
      </c>
      <c r="U48" t="s">
        <v>8</v>
      </c>
      <c r="V48" t="s">
        <v>8</v>
      </c>
      <c r="W48" t="s">
        <v>4</v>
      </c>
      <c r="X48" t="s">
        <v>3</v>
      </c>
    </row>
    <row r="49" spans="1:24" x14ac:dyDescent="0.25">
      <c r="A49" t="s">
        <v>2880</v>
      </c>
      <c r="B49" s="9">
        <v>45637</v>
      </c>
      <c r="C49" t="s">
        <v>246</v>
      </c>
      <c r="D49" t="s">
        <v>2</v>
      </c>
      <c r="E49" t="s">
        <v>3</v>
      </c>
      <c r="F49" t="s">
        <v>4</v>
      </c>
      <c r="G49" t="s">
        <v>5</v>
      </c>
      <c r="H49">
        <v>18626.79</v>
      </c>
      <c r="I49" t="s">
        <v>3389</v>
      </c>
      <c r="J49" t="s">
        <v>7</v>
      </c>
      <c r="K49" t="s">
        <v>8</v>
      </c>
      <c r="L49" t="s">
        <v>3390</v>
      </c>
      <c r="M49" t="s">
        <v>3386</v>
      </c>
      <c r="N49" t="s">
        <v>1</v>
      </c>
      <c r="O49" s="9">
        <v>45617</v>
      </c>
      <c r="P49" t="s">
        <v>3391</v>
      </c>
      <c r="Q49" s="9">
        <v>45637</v>
      </c>
      <c r="R49" t="s">
        <v>3392</v>
      </c>
      <c r="S49" t="s">
        <v>8</v>
      </c>
      <c r="T49">
        <v>0</v>
      </c>
      <c r="U49" t="s">
        <v>8</v>
      </c>
      <c r="V49" t="s">
        <v>8</v>
      </c>
      <c r="W49" t="s">
        <v>4</v>
      </c>
      <c r="X49" t="s">
        <v>3</v>
      </c>
    </row>
    <row r="50" spans="1:24" x14ac:dyDescent="0.25">
      <c r="A50" t="s">
        <v>2880</v>
      </c>
      <c r="B50" s="9">
        <v>45641</v>
      </c>
      <c r="C50" t="s">
        <v>246</v>
      </c>
      <c r="D50" t="s">
        <v>2</v>
      </c>
      <c r="E50" t="s">
        <v>3</v>
      </c>
      <c r="F50" t="s">
        <v>4</v>
      </c>
      <c r="G50" t="s">
        <v>5</v>
      </c>
      <c r="H50">
        <v>398765.33</v>
      </c>
      <c r="I50" t="s">
        <v>3393</v>
      </c>
      <c r="J50" t="s">
        <v>7</v>
      </c>
      <c r="K50" t="s">
        <v>3394</v>
      </c>
      <c r="L50" t="s">
        <v>3395</v>
      </c>
      <c r="M50" t="s">
        <v>3280</v>
      </c>
      <c r="N50" t="s">
        <v>1</v>
      </c>
      <c r="O50" s="9">
        <v>45636</v>
      </c>
      <c r="P50" t="s">
        <v>3396</v>
      </c>
      <c r="Q50" s="9">
        <v>45641</v>
      </c>
      <c r="R50" t="s">
        <v>3397</v>
      </c>
      <c r="S50" t="s">
        <v>26</v>
      </c>
      <c r="T50">
        <v>1</v>
      </c>
      <c r="U50" t="s">
        <v>8</v>
      </c>
      <c r="V50" t="s">
        <v>8</v>
      </c>
      <c r="W50" t="s">
        <v>4</v>
      </c>
      <c r="X50" t="s">
        <v>3</v>
      </c>
    </row>
    <row r="51" spans="1:24" x14ac:dyDescent="0.25">
      <c r="A51" t="s">
        <v>3433</v>
      </c>
      <c r="B51" s="9">
        <v>45698</v>
      </c>
      <c r="C51" t="s">
        <v>12</v>
      </c>
      <c r="D51" t="s">
        <v>2</v>
      </c>
      <c r="E51" t="s">
        <v>3</v>
      </c>
      <c r="F51" t="s">
        <v>4</v>
      </c>
      <c r="G51" t="s">
        <v>5</v>
      </c>
      <c r="H51">
        <v>398765.33</v>
      </c>
      <c r="I51" t="s">
        <v>3470</v>
      </c>
      <c r="J51" t="s">
        <v>7</v>
      </c>
      <c r="K51" t="s">
        <v>3471</v>
      </c>
      <c r="L51" t="s">
        <v>3472</v>
      </c>
      <c r="M51" t="s">
        <v>3280</v>
      </c>
      <c r="N51" t="s">
        <v>1</v>
      </c>
      <c r="O51" s="9">
        <v>45666</v>
      </c>
      <c r="P51" t="s">
        <v>3473</v>
      </c>
      <c r="Q51" s="9">
        <v>45698</v>
      </c>
      <c r="R51" t="s">
        <v>3474</v>
      </c>
      <c r="S51" t="s">
        <v>26</v>
      </c>
      <c r="T51">
        <v>1</v>
      </c>
      <c r="U51" t="s">
        <v>8</v>
      </c>
      <c r="V51" t="s">
        <v>8</v>
      </c>
      <c r="W51" t="s">
        <v>4</v>
      </c>
      <c r="X51" t="s">
        <v>3</v>
      </c>
    </row>
    <row r="52" spans="1:24" x14ac:dyDescent="0.25">
      <c r="A52" t="s">
        <v>3433</v>
      </c>
      <c r="B52" s="9">
        <v>45720</v>
      </c>
      <c r="C52" t="s">
        <v>17</v>
      </c>
      <c r="D52" t="s">
        <v>2</v>
      </c>
      <c r="E52" t="s">
        <v>3</v>
      </c>
      <c r="F52" t="s">
        <v>4</v>
      </c>
      <c r="G52" t="s">
        <v>5</v>
      </c>
      <c r="H52">
        <v>398765.33</v>
      </c>
      <c r="I52" t="s">
        <v>3503</v>
      </c>
      <c r="J52" t="s">
        <v>7</v>
      </c>
      <c r="K52" t="s">
        <v>3504</v>
      </c>
      <c r="L52" t="s">
        <v>3505</v>
      </c>
      <c r="M52" t="s">
        <v>21</v>
      </c>
      <c r="N52" t="s">
        <v>1</v>
      </c>
      <c r="O52" s="9">
        <v>45713</v>
      </c>
      <c r="P52" t="s">
        <v>3506</v>
      </c>
      <c r="Q52" s="9">
        <v>45720</v>
      </c>
      <c r="R52" t="s">
        <v>3507</v>
      </c>
      <c r="S52" t="s">
        <v>26</v>
      </c>
      <c r="T52">
        <v>1</v>
      </c>
      <c r="U52" t="s">
        <v>8</v>
      </c>
      <c r="V52" t="s">
        <v>8</v>
      </c>
      <c r="W52" t="s">
        <v>4</v>
      </c>
      <c r="X52" t="s">
        <v>3</v>
      </c>
    </row>
    <row r="53" spans="1:24" x14ac:dyDescent="0.25">
      <c r="A53" t="s">
        <v>3433</v>
      </c>
      <c r="B53" s="9">
        <v>45742</v>
      </c>
      <c r="C53" t="s">
        <v>17</v>
      </c>
      <c r="D53" t="s">
        <v>2</v>
      </c>
      <c r="E53" t="s">
        <v>3</v>
      </c>
      <c r="F53" t="s">
        <v>4</v>
      </c>
      <c r="G53" t="s">
        <v>5</v>
      </c>
      <c r="H53">
        <v>398765.3</v>
      </c>
      <c r="I53" t="s">
        <v>3508</v>
      </c>
      <c r="J53" t="s">
        <v>7</v>
      </c>
      <c r="K53" t="s">
        <v>3509</v>
      </c>
      <c r="L53" t="s">
        <v>3510</v>
      </c>
      <c r="M53" t="s">
        <v>3280</v>
      </c>
      <c r="N53" t="s">
        <v>1</v>
      </c>
      <c r="O53" s="9">
        <v>45737</v>
      </c>
      <c r="P53" t="s">
        <v>3511</v>
      </c>
      <c r="Q53" s="9">
        <v>45742</v>
      </c>
      <c r="R53" t="s">
        <v>3512</v>
      </c>
      <c r="S53" t="s">
        <v>26</v>
      </c>
      <c r="T53">
        <v>1</v>
      </c>
      <c r="U53" t="s">
        <v>8</v>
      </c>
      <c r="V53" t="s">
        <v>8</v>
      </c>
      <c r="W53" t="s">
        <v>4</v>
      </c>
      <c r="X53" t="s">
        <v>3</v>
      </c>
    </row>
    <row r="54" spans="1:24" x14ac:dyDescent="0.25">
      <c r="A54" t="s">
        <v>3433</v>
      </c>
      <c r="B54" s="9">
        <v>45762</v>
      </c>
      <c r="C54" t="s">
        <v>43</v>
      </c>
      <c r="D54" t="s">
        <v>2</v>
      </c>
      <c r="E54" t="s">
        <v>3</v>
      </c>
      <c r="F54" t="s">
        <v>4</v>
      </c>
      <c r="G54" t="s">
        <v>5</v>
      </c>
      <c r="H54">
        <v>398765.33</v>
      </c>
      <c r="I54" t="s">
        <v>3542</v>
      </c>
      <c r="J54" t="s">
        <v>7</v>
      </c>
      <c r="K54" t="s">
        <v>3543</v>
      </c>
      <c r="L54" t="s">
        <v>3544</v>
      </c>
      <c r="M54" t="s">
        <v>3280</v>
      </c>
      <c r="N54" t="s">
        <v>1</v>
      </c>
      <c r="O54" s="9">
        <v>45757</v>
      </c>
      <c r="P54" t="s">
        <v>3545</v>
      </c>
      <c r="Q54" s="9">
        <v>45762</v>
      </c>
      <c r="R54" t="s">
        <v>3546</v>
      </c>
      <c r="S54" t="s">
        <v>26</v>
      </c>
      <c r="T54">
        <v>1</v>
      </c>
      <c r="U54" t="s">
        <v>8</v>
      </c>
      <c r="V54" t="s">
        <v>8</v>
      </c>
      <c r="W54" t="s">
        <v>4</v>
      </c>
      <c r="X54" t="s">
        <v>3</v>
      </c>
    </row>
    <row r="55" spans="1:24" x14ac:dyDescent="0.25">
      <c r="A55" t="s">
        <v>3433</v>
      </c>
      <c r="B55" s="9">
        <v>45798</v>
      </c>
      <c r="C55" t="s">
        <v>77</v>
      </c>
      <c r="D55" t="s">
        <v>2</v>
      </c>
      <c r="E55" t="s">
        <v>3</v>
      </c>
      <c r="F55" t="s">
        <v>4</v>
      </c>
      <c r="G55" t="s">
        <v>5</v>
      </c>
      <c r="H55">
        <v>398765.33</v>
      </c>
      <c r="I55" t="s">
        <v>3598</v>
      </c>
      <c r="J55" t="s">
        <v>7</v>
      </c>
      <c r="K55" t="s">
        <v>3599</v>
      </c>
      <c r="L55" t="s">
        <v>3600</v>
      </c>
      <c r="M55" t="s">
        <v>21</v>
      </c>
      <c r="N55" t="s">
        <v>1</v>
      </c>
      <c r="O55" s="9">
        <v>45784</v>
      </c>
      <c r="P55" t="s">
        <v>3601</v>
      </c>
      <c r="Q55" s="9">
        <v>45798</v>
      </c>
      <c r="R55" t="s">
        <v>3602</v>
      </c>
      <c r="S55" t="s">
        <v>26</v>
      </c>
      <c r="T55">
        <v>1</v>
      </c>
      <c r="U55" t="s">
        <v>8</v>
      </c>
      <c r="V55" t="s">
        <v>8</v>
      </c>
      <c r="W55" t="s">
        <v>4</v>
      </c>
      <c r="X55" t="s">
        <v>3</v>
      </c>
    </row>
    <row r="56" spans="1:24" x14ac:dyDescent="0.25">
      <c r="A56" t="s">
        <v>3433</v>
      </c>
      <c r="B56" s="2">
        <v>45840</v>
      </c>
      <c r="C56" t="s">
        <v>72</v>
      </c>
      <c r="D56" t="s">
        <v>2</v>
      </c>
      <c r="E56" t="s">
        <v>3</v>
      </c>
      <c r="F56" t="s">
        <v>4</v>
      </c>
      <c r="G56" t="s">
        <v>5</v>
      </c>
      <c r="H56" s="3">
        <v>398765.33</v>
      </c>
      <c r="I56" t="s">
        <v>3653</v>
      </c>
      <c r="J56" t="s">
        <v>7</v>
      </c>
      <c r="K56" t="s">
        <v>3654</v>
      </c>
      <c r="L56" t="s">
        <v>3655</v>
      </c>
      <c r="M56" t="s">
        <v>21</v>
      </c>
      <c r="N56" t="s">
        <v>1</v>
      </c>
      <c r="O56" s="2">
        <v>45815</v>
      </c>
      <c r="P56" t="s">
        <v>3656</v>
      </c>
      <c r="Q56" s="2">
        <v>45840</v>
      </c>
      <c r="R56" t="s">
        <v>3657</v>
      </c>
      <c r="S56" t="s">
        <v>26</v>
      </c>
      <c r="T56" s="18">
        <v>1</v>
      </c>
      <c r="U56" t="s">
        <v>8</v>
      </c>
      <c r="V56" t="s">
        <v>8</v>
      </c>
      <c r="W56" t="s">
        <v>4</v>
      </c>
      <c r="X56" t="s">
        <v>3</v>
      </c>
    </row>
    <row r="57" spans="1:24" x14ac:dyDescent="0.25">
      <c r="A57" t="s">
        <v>3433</v>
      </c>
      <c r="B57" s="9">
        <v>45853</v>
      </c>
      <c r="C57" t="s">
        <v>72</v>
      </c>
      <c r="D57" t="s">
        <v>2</v>
      </c>
      <c r="E57" t="s">
        <v>3</v>
      </c>
      <c r="F57" t="s">
        <v>4</v>
      </c>
      <c r="G57" t="s">
        <v>5</v>
      </c>
      <c r="H57">
        <v>398765.33</v>
      </c>
      <c r="I57" t="s">
        <v>3671</v>
      </c>
      <c r="J57" t="s">
        <v>7</v>
      </c>
      <c r="K57" t="s">
        <v>3672</v>
      </c>
      <c r="L57" t="s">
        <v>3673</v>
      </c>
      <c r="M57" t="s">
        <v>21</v>
      </c>
      <c r="N57" t="s">
        <v>1</v>
      </c>
      <c r="O57" s="9">
        <v>45848</v>
      </c>
      <c r="P57" t="s">
        <v>3674</v>
      </c>
      <c r="Q57" s="9">
        <v>45853</v>
      </c>
      <c r="R57" t="s">
        <v>3675</v>
      </c>
      <c r="S57" t="s">
        <v>26</v>
      </c>
      <c r="T57">
        <v>1</v>
      </c>
      <c r="U57" t="s">
        <v>8</v>
      </c>
      <c r="V57" t="s">
        <v>8</v>
      </c>
      <c r="W57" t="s">
        <v>4</v>
      </c>
      <c r="X57" t="s">
        <v>3</v>
      </c>
    </row>
    <row r="58" spans="1:24" x14ac:dyDescent="0.25">
      <c r="A58" t="s">
        <v>3433</v>
      </c>
      <c r="B58" s="2">
        <v>45883</v>
      </c>
      <c r="C58" t="s">
        <v>82</v>
      </c>
      <c r="D58" t="s">
        <v>2</v>
      </c>
      <c r="E58" t="s">
        <v>3</v>
      </c>
      <c r="F58" t="s">
        <v>4</v>
      </c>
      <c r="G58" t="s">
        <v>5</v>
      </c>
      <c r="H58" s="3">
        <v>398765.3</v>
      </c>
      <c r="I58" t="s">
        <v>3748</v>
      </c>
      <c r="J58" t="s">
        <v>7</v>
      </c>
      <c r="K58" t="s">
        <v>3749</v>
      </c>
      <c r="L58" t="s">
        <v>3750</v>
      </c>
      <c r="M58" t="s">
        <v>3280</v>
      </c>
      <c r="N58" t="s">
        <v>1</v>
      </c>
      <c r="O58" s="2">
        <v>45881</v>
      </c>
      <c r="P58" t="s">
        <v>3751</v>
      </c>
      <c r="Q58" s="2">
        <v>45883</v>
      </c>
      <c r="R58" t="s">
        <v>3752</v>
      </c>
      <c r="S58" t="s">
        <v>26</v>
      </c>
      <c r="T58" s="18">
        <v>1</v>
      </c>
      <c r="U58" t="s">
        <v>8</v>
      </c>
      <c r="V58" t="s">
        <v>8</v>
      </c>
      <c r="W58" t="s">
        <v>4</v>
      </c>
      <c r="X58" t="s">
        <v>3</v>
      </c>
    </row>
    <row r="59" spans="1:24" x14ac:dyDescent="0.25">
      <c r="A59" t="s">
        <v>3433</v>
      </c>
      <c r="B59" s="9">
        <v>45905</v>
      </c>
      <c r="C59" t="s">
        <v>87</v>
      </c>
      <c r="D59" t="s">
        <v>2</v>
      </c>
      <c r="E59" t="s">
        <v>3</v>
      </c>
      <c r="F59" t="s">
        <v>4</v>
      </c>
      <c r="G59" t="s">
        <v>5</v>
      </c>
      <c r="H59">
        <v>1700.03</v>
      </c>
      <c r="I59" t="s">
        <v>3809</v>
      </c>
      <c r="J59" t="s">
        <v>7</v>
      </c>
      <c r="K59" t="s">
        <v>8</v>
      </c>
      <c r="L59" t="s">
        <v>3810</v>
      </c>
      <c r="M59" t="s">
        <v>3280</v>
      </c>
      <c r="N59" t="s">
        <v>1</v>
      </c>
      <c r="O59">
        <v>45881</v>
      </c>
      <c r="P59" t="s">
        <v>3811</v>
      </c>
      <c r="Q59">
        <v>45905</v>
      </c>
      <c r="R59" t="s">
        <v>3812</v>
      </c>
      <c r="S59" t="s">
        <v>8</v>
      </c>
      <c r="T59">
        <v>0</v>
      </c>
      <c r="U59" t="s">
        <v>8</v>
      </c>
      <c r="V59" t="s">
        <v>8</v>
      </c>
      <c r="W59" t="s">
        <v>4</v>
      </c>
      <c r="X59" t="s">
        <v>3</v>
      </c>
    </row>
    <row r="60" spans="1:24" x14ac:dyDescent="0.25">
      <c r="A60" t="s">
        <v>3433</v>
      </c>
      <c r="B60" s="9">
        <v>45916</v>
      </c>
      <c r="C60" t="s">
        <v>87</v>
      </c>
      <c r="D60" t="s">
        <v>2</v>
      </c>
      <c r="E60" t="s">
        <v>3</v>
      </c>
      <c r="F60" t="s">
        <v>4</v>
      </c>
      <c r="G60" t="s">
        <v>5</v>
      </c>
      <c r="H60">
        <v>398765.33</v>
      </c>
      <c r="I60" t="s">
        <v>3813</v>
      </c>
      <c r="J60" t="s">
        <v>7</v>
      </c>
      <c r="K60" t="s">
        <v>3814</v>
      </c>
      <c r="L60" t="s">
        <v>3815</v>
      </c>
      <c r="M60" t="s">
        <v>21</v>
      </c>
      <c r="N60" t="s">
        <v>1</v>
      </c>
      <c r="O60">
        <v>45911</v>
      </c>
      <c r="P60" t="s">
        <v>3816</v>
      </c>
      <c r="Q60">
        <v>45916</v>
      </c>
      <c r="R60" t="s">
        <v>3817</v>
      </c>
      <c r="S60" t="s">
        <v>26</v>
      </c>
      <c r="T60">
        <v>1</v>
      </c>
      <c r="U60" t="s">
        <v>8</v>
      </c>
      <c r="V60" t="s">
        <v>8</v>
      </c>
      <c r="W60" t="s">
        <v>4</v>
      </c>
      <c r="X60" t="s">
        <v>3</v>
      </c>
    </row>
    <row r="61" spans="1:24" x14ac:dyDescent="0.25">
      <c r="A61" t="s">
        <v>3433</v>
      </c>
      <c r="B61" s="9">
        <v>45957</v>
      </c>
      <c r="C61" t="s">
        <v>30</v>
      </c>
      <c r="D61" t="s">
        <v>2</v>
      </c>
      <c r="E61" t="s">
        <v>3</v>
      </c>
      <c r="F61" t="s">
        <v>4</v>
      </c>
      <c r="G61" t="s">
        <v>5</v>
      </c>
      <c r="H61">
        <v>418583.97</v>
      </c>
      <c r="I61" t="s">
        <v>3887</v>
      </c>
      <c r="J61" t="s">
        <v>7</v>
      </c>
      <c r="K61" t="s">
        <v>3888</v>
      </c>
      <c r="L61" t="s">
        <v>3889</v>
      </c>
      <c r="M61" t="s">
        <v>3886</v>
      </c>
      <c r="N61" t="s">
        <v>1</v>
      </c>
      <c r="O61">
        <v>45946</v>
      </c>
      <c r="P61" t="s">
        <v>3890</v>
      </c>
      <c r="Q61">
        <v>45957</v>
      </c>
      <c r="R61" t="s">
        <v>3891</v>
      </c>
      <c r="S61" t="s">
        <v>26</v>
      </c>
      <c r="T61">
        <v>1</v>
      </c>
      <c r="U61" t="s">
        <v>8</v>
      </c>
      <c r="V61" t="s">
        <v>8</v>
      </c>
      <c r="W61" t="s">
        <v>4</v>
      </c>
      <c r="X61" t="s">
        <v>3</v>
      </c>
    </row>
    <row r="62" spans="1:24" outlineLevel="2" x14ac:dyDescent="0.25">
      <c r="A62" t="s">
        <v>3912</v>
      </c>
      <c r="B62" s="2">
        <v>46044</v>
      </c>
      <c r="C62" t="s">
        <v>1</v>
      </c>
      <c r="D62" t="s">
        <v>1378</v>
      </c>
      <c r="E62" t="s">
        <v>1379</v>
      </c>
      <c r="F62" t="s">
        <v>4</v>
      </c>
      <c r="G62" t="s">
        <v>5</v>
      </c>
      <c r="H62" s="3">
        <v>2880.37</v>
      </c>
      <c r="I62" t="s">
        <v>3923</v>
      </c>
      <c r="J62" t="s">
        <v>7</v>
      </c>
      <c r="K62" t="s">
        <v>8</v>
      </c>
      <c r="L62" t="s">
        <v>3924</v>
      </c>
      <c r="M62" t="s">
        <v>3886</v>
      </c>
      <c r="N62" t="s">
        <v>1</v>
      </c>
      <c r="O62" s="2">
        <v>46043</v>
      </c>
      <c r="P62" t="s">
        <v>3925</v>
      </c>
      <c r="Q62" s="2">
        <v>46044</v>
      </c>
      <c r="R62" t="s">
        <v>3926</v>
      </c>
      <c r="S62" t="s">
        <v>8</v>
      </c>
      <c r="T62" s="17">
        <v>0</v>
      </c>
      <c r="U62" t="s">
        <v>8</v>
      </c>
      <c r="V62" t="s">
        <v>8</v>
      </c>
      <c r="W62" t="s">
        <v>4</v>
      </c>
      <c r="X62" t="s">
        <v>3927</v>
      </c>
    </row>
    <row r="63" spans="1:24" outlineLevel="2" x14ac:dyDescent="0.25">
      <c r="A63" t="s">
        <v>3912</v>
      </c>
      <c r="B63" s="2">
        <v>46044</v>
      </c>
      <c r="C63" t="s">
        <v>1</v>
      </c>
      <c r="D63" t="s">
        <v>2</v>
      </c>
      <c r="E63" t="s">
        <v>3</v>
      </c>
      <c r="F63" t="s">
        <v>4</v>
      </c>
      <c r="G63" t="s">
        <v>5</v>
      </c>
      <c r="H63" s="3">
        <v>379864.95</v>
      </c>
      <c r="I63" t="s">
        <v>3928</v>
      </c>
      <c r="J63" t="s">
        <v>7</v>
      </c>
      <c r="K63" t="s">
        <v>3929</v>
      </c>
      <c r="L63" t="s">
        <v>3930</v>
      </c>
      <c r="M63" t="s">
        <v>3886</v>
      </c>
      <c r="N63" t="s">
        <v>1</v>
      </c>
      <c r="O63" s="2">
        <v>46043</v>
      </c>
      <c r="P63" t="s">
        <v>3931</v>
      </c>
      <c r="Q63" s="2">
        <v>46044</v>
      </c>
      <c r="R63" t="s">
        <v>3932</v>
      </c>
      <c r="S63" t="s">
        <v>26</v>
      </c>
      <c r="T63" s="18">
        <v>1</v>
      </c>
      <c r="U63" t="s">
        <v>8</v>
      </c>
      <c r="V63" t="s">
        <v>8</v>
      </c>
      <c r="W63" t="s">
        <v>4</v>
      </c>
      <c r="X63" t="s">
        <v>3</v>
      </c>
    </row>
    <row r="64" spans="1:24" x14ac:dyDescent="0.25">
      <c r="A64" t="s">
        <v>3912</v>
      </c>
      <c r="B64" s="2">
        <v>46097</v>
      </c>
      <c r="C64" t="s">
        <v>17</v>
      </c>
      <c r="D64" t="s">
        <v>2</v>
      </c>
      <c r="E64" t="s">
        <v>3</v>
      </c>
      <c r="F64" t="s">
        <v>4</v>
      </c>
      <c r="G64" t="s">
        <v>5</v>
      </c>
      <c r="H64" s="3">
        <v>419218.76</v>
      </c>
      <c r="I64" t="s">
        <v>4034</v>
      </c>
      <c r="J64" t="s">
        <v>7</v>
      </c>
      <c r="K64" t="s">
        <v>4035</v>
      </c>
      <c r="L64" t="s">
        <v>4036</v>
      </c>
      <c r="M64" t="s">
        <v>3886</v>
      </c>
      <c r="N64" t="s">
        <v>1</v>
      </c>
      <c r="O64" s="2">
        <v>46072</v>
      </c>
      <c r="P64" t="s">
        <v>4037</v>
      </c>
      <c r="Q64" s="2">
        <v>46097</v>
      </c>
      <c r="R64" t="s">
        <v>4038</v>
      </c>
      <c r="S64" t="s">
        <v>26</v>
      </c>
      <c r="T64" s="18">
        <v>1</v>
      </c>
      <c r="U64" t="s">
        <v>8</v>
      </c>
      <c r="V64" t="s">
        <v>8</v>
      </c>
      <c r="W64" t="s">
        <v>4</v>
      </c>
      <c r="X64" t="s">
        <v>3</v>
      </c>
    </row>
    <row r="65" spans="1:24" x14ac:dyDescent="0.25">
      <c r="A65" t="s">
        <v>3912</v>
      </c>
      <c r="B65" s="9">
        <v>46153</v>
      </c>
      <c r="C65" t="s">
        <v>77</v>
      </c>
      <c r="D65" t="s">
        <v>2</v>
      </c>
      <c r="E65" t="s">
        <v>3</v>
      </c>
      <c r="F65" t="s">
        <v>4</v>
      </c>
      <c r="G65" t="s">
        <v>5</v>
      </c>
      <c r="H65">
        <v>419218.76</v>
      </c>
      <c r="I65" t="s">
        <v>3570</v>
      </c>
      <c r="J65" t="s">
        <v>7</v>
      </c>
      <c r="K65" t="s">
        <v>4088</v>
      </c>
      <c r="L65" t="s">
        <v>4089</v>
      </c>
      <c r="M65" t="s">
        <v>3280</v>
      </c>
      <c r="N65" t="s">
        <v>1</v>
      </c>
      <c r="O65" s="9">
        <v>46135</v>
      </c>
      <c r="P65" t="s">
        <v>4090</v>
      </c>
      <c r="Q65" s="9">
        <v>46153</v>
      </c>
      <c r="R65" t="s">
        <v>4091</v>
      </c>
      <c r="S65" t="s">
        <v>26</v>
      </c>
      <c r="T65">
        <v>1</v>
      </c>
      <c r="U65" t="s">
        <v>8</v>
      </c>
      <c r="V65" t="s">
        <v>8</v>
      </c>
      <c r="W65" t="s">
        <v>4</v>
      </c>
      <c r="X65" t="s">
        <v>3</v>
      </c>
    </row>
    <row r="66" spans="1:24" x14ac:dyDescent="0.25">
      <c r="A66" t="s">
        <v>3912</v>
      </c>
      <c r="B66" s="9">
        <v>46188</v>
      </c>
      <c r="C66" t="s">
        <v>22</v>
      </c>
      <c r="D66" t="s">
        <v>2</v>
      </c>
      <c r="E66" t="s">
        <v>3</v>
      </c>
      <c r="F66" t="s">
        <v>4</v>
      </c>
      <c r="G66" t="s">
        <v>5</v>
      </c>
      <c r="H66">
        <v>419218.76</v>
      </c>
      <c r="I66" t="s">
        <v>4149</v>
      </c>
      <c r="J66" t="s">
        <v>7</v>
      </c>
      <c r="K66" t="s">
        <v>4150</v>
      </c>
      <c r="L66" t="s">
        <v>4151</v>
      </c>
      <c r="M66" t="s">
        <v>21</v>
      </c>
      <c r="N66" t="s">
        <v>1</v>
      </c>
      <c r="O66" s="9">
        <v>46093</v>
      </c>
      <c r="P66" t="s">
        <v>4152</v>
      </c>
      <c r="Q66">
        <v>46188</v>
      </c>
      <c r="R66" t="s">
        <v>4153</v>
      </c>
      <c r="S66" t="s">
        <v>26</v>
      </c>
      <c r="T66">
        <v>1</v>
      </c>
      <c r="U66" t="s">
        <v>8</v>
      </c>
      <c r="V66" t="s">
        <v>8</v>
      </c>
      <c r="W66" t="s">
        <v>4</v>
      </c>
      <c r="X66" t="s">
        <v>3</v>
      </c>
    </row>
    <row r="67" spans="1:24" x14ac:dyDescent="0.25">
      <c r="A67" t="s">
        <v>3912</v>
      </c>
      <c r="B67" s="9">
        <v>46189</v>
      </c>
      <c r="C67" t="s">
        <v>22</v>
      </c>
      <c r="D67" t="s">
        <v>2</v>
      </c>
      <c r="E67" t="s">
        <v>3</v>
      </c>
      <c r="F67" t="s">
        <v>4</v>
      </c>
      <c r="G67" t="s">
        <v>5</v>
      </c>
      <c r="H67">
        <v>419218.78</v>
      </c>
      <c r="I67" t="s">
        <v>4154</v>
      </c>
      <c r="J67" t="s">
        <v>7</v>
      </c>
      <c r="K67" t="s">
        <v>4155</v>
      </c>
      <c r="L67" t="s">
        <v>4156</v>
      </c>
      <c r="M67" t="s">
        <v>3886</v>
      </c>
      <c r="N67" t="s">
        <v>1</v>
      </c>
      <c r="O67" s="9">
        <v>46164</v>
      </c>
      <c r="P67" t="s">
        <v>4157</v>
      </c>
      <c r="Q67">
        <v>46189</v>
      </c>
      <c r="R67" t="s">
        <v>4158</v>
      </c>
      <c r="S67" t="s">
        <v>26</v>
      </c>
      <c r="T67">
        <v>1</v>
      </c>
      <c r="U67" t="s">
        <v>8</v>
      </c>
      <c r="V67" t="s">
        <v>8</v>
      </c>
      <c r="W67" t="s">
        <v>4</v>
      </c>
      <c r="X67" t="s">
        <v>3</v>
      </c>
    </row>
    <row r="68" spans="1:24" x14ac:dyDescent="0.25">
      <c r="A68" t="s">
        <v>3912</v>
      </c>
      <c r="B68" s="9">
        <v>46203</v>
      </c>
      <c r="C68" t="s">
        <v>22</v>
      </c>
      <c r="D68" t="s">
        <v>2</v>
      </c>
      <c r="E68" t="s">
        <v>3</v>
      </c>
      <c r="F68" t="s">
        <v>4</v>
      </c>
      <c r="G68" t="s">
        <v>5</v>
      </c>
      <c r="H68">
        <v>420295.02</v>
      </c>
      <c r="I68" t="s">
        <v>4159</v>
      </c>
      <c r="J68" t="s">
        <v>7</v>
      </c>
      <c r="K68" t="s">
        <v>4160</v>
      </c>
      <c r="L68" t="s">
        <v>4161</v>
      </c>
      <c r="M68" t="s">
        <v>3886</v>
      </c>
      <c r="N68" t="s">
        <v>1</v>
      </c>
      <c r="O68" s="9">
        <v>46191</v>
      </c>
      <c r="P68" t="s">
        <v>4162</v>
      </c>
      <c r="Q68">
        <v>46203</v>
      </c>
      <c r="R68" t="s">
        <v>4163</v>
      </c>
      <c r="S68" t="s">
        <v>4164</v>
      </c>
      <c r="T68">
        <v>1</v>
      </c>
      <c r="U68" t="s">
        <v>8</v>
      </c>
      <c r="V68" t="s">
        <v>8</v>
      </c>
      <c r="W68" t="s">
        <v>4</v>
      </c>
      <c r="X68" t="s">
        <v>3</v>
      </c>
    </row>
  </sheetData>
  <autoFilter ref="A1:Y45" xr:uid="{706F3E1C-CA35-41F8-96DB-920ED720C36F}">
    <filterColumn colId="16">
      <filters blank="1">
        <filter val="44896"/>
        <filter val="44908"/>
        <filter val="44922"/>
        <filter val="44944"/>
        <filter val="45014"/>
        <filter val="45051"/>
        <filter val="45435"/>
        <filter val="45476"/>
        <filter val="45525"/>
        <filter val="45533"/>
        <dateGroupItem year="2024" dateTimeGrouping="year"/>
      </filters>
    </filterColumn>
  </autoFilter>
  <pageMargins left="0.75" right="0.75" top="1" bottom="1" header="0.5" footer="0.5"/>
  <pageSetup paperSize="9" orientation="portrait" horizontalDpi="90" verticalDpi="90" r:id="rId1"/>
  <headerFooter alignWithMargins="0">
    <oddFooter>&amp;R&amp;1#&amp;"Calibri"&amp;22&amp;KFF8939RESTRICTED</oddFooter>
  </headerFooter>
  <customProperties>
    <customPr name="_pios_id" r:id="rId2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26CAC-21D5-44FF-A220-2A064E8373D0}">
  <sheetPr codeName="Planilha6"/>
  <dimension ref="A1:X61"/>
  <sheetViews>
    <sheetView topLeftCell="G40" workbookViewId="0">
      <selection activeCell="A62" sqref="A62"/>
    </sheetView>
  </sheetViews>
  <sheetFormatPr defaultRowHeight="12.5" x14ac:dyDescent="0.25"/>
  <cols>
    <col min="1" max="1" width="13" bestFit="1" customWidth="1"/>
    <col min="2" max="2" width="13" style="9" bestFit="1" customWidth="1"/>
    <col min="3" max="3" width="8" bestFit="1" customWidth="1"/>
    <col min="4" max="4" width="14" bestFit="1" customWidth="1"/>
    <col min="5" max="5" width="22" bestFit="1" customWidth="1"/>
    <col min="6" max="6" width="13" bestFit="1" customWidth="1"/>
    <col min="7" max="7" width="22" bestFit="1" customWidth="1"/>
    <col min="8" max="8" width="17" bestFit="1" customWidth="1"/>
    <col min="9" max="9" width="52" bestFit="1" customWidth="1"/>
    <col min="10" max="10" width="37" bestFit="1" customWidth="1"/>
    <col min="11" max="11" width="42" bestFit="1" customWidth="1"/>
    <col min="12" max="12" width="11" bestFit="1" customWidth="1"/>
    <col min="13" max="13" width="21" bestFit="1" customWidth="1"/>
    <col min="14" max="14" width="17" bestFit="1" customWidth="1"/>
    <col min="15" max="15" width="12" bestFit="1" customWidth="1"/>
    <col min="16" max="16" width="13" bestFit="1" customWidth="1"/>
    <col min="17" max="17" width="11.08984375" bestFit="1" customWidth="1"/>
    <col min="19" max="19" width="61.08984375" customWidth="1"/>
    <col min="23" max="23" width="12.36328125" bestFit="1" customWidth="1"/>
  </cols>
  <sheetData>
    <row r="1" spans="1:23" s="12" customFormat="1" x14ac:dyDescent="0.25">
      <c r="A1" s="15" t="s">
        <v>2304</v>
      </c>
      <c r="B1" s="15" t="s">
        <v>2305</v>
      </c>
      <c r="C1" s="15" t="s">
        <v>2306</v>
      </c>
      <c r="D1" s="15" t="s">
        <v>2307</v>
      </c>
      <c r="E1" s="15" t="s">
        <v>2308</v>
      </c>
      <c r="F1" s="15" t="s">
        <v>2309</v>
      </c>
      <c r="G1" s="15" t="s">
        <v>2310</v>
      </c>
      <c r="H1" s="15" t="s">
        <v>2311</v>
      </c>
      <c r="I1" s="15" t="s">
        <v>2312</v>
      </c>
      <c r="J1" s="15" t="s">
        <v>2313</v>
      </c>
      <c r="K1" s="16" t="s">
        <v>2315</v>
      </c>
      <c r="L1" s="15" t="s">
        <v>2317</v>
      </c>
      <c r="M1" s="15" t="s">
        <v>2318</v>
      </c>
      <c r="N1" s="1" t="s">
        <v>2319</v>
      </c>
      <c r="O1" s="1" t="s">
        <v>2595</v>
      </c>
      <c r="P1" s="1" t="s">
        <v>2596</v>
      </c>
      <c r="Q1" s="1" t="s">
        <v>2597</v>
      </c>
      <c r="R1" s="1" t="s">
        <v>2598</v>
      </c>
      <c r="S1" s="1" t="s">
        <v>2599</v>
      </c>
      <c r="T1" s="1" t="s">
        <v>2715</v>
      </c>
      <c r="U1" s="1" t="s">
        <v>2716</v>
      </c>
      <c r="V1" s="1" t="s">
        <v>2717</v>
      </c>
      <c r="W1" s="1"/>
    </row>
    <row r="2" spans="1:23" x14ac:dyDescent="0.25">
      <c r="A2" t="s">
        <v>0</v>
      </c>
      <c r="B2" s="2">
        <v>44580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3">
        <v>9380.1299999999992</v>
      </c>
      <c r="I2" t="s">
        <v>486</v>
      </c>
      <c r="J2" t="s">
        <v>487</v>
      </c>
      <c r="K2" t="s">
        <v>488</v>
      </c>
      <c r="L2" t="s">
        <v>489</v>
      </c>
      <c r="M2" t="s">
        <v>16</v>
      </c>
      <c r="N2" t="s">
        <v>1</v>
      </c>
    </row>
    <row r="3" spans="1:23" x14ac:dyDescent="0.25">
      <c r="A3" t="s">
        <v>0</v>
      </c>
      <c r="B3" s="9">
        <v>44593</v>
      </c>
      <c r="C3" s="5" t="s">
        <v>12</v>
      </c>
      <c r="D3" t="s">
        <v>2</v>
      </c>
      <c r="E3" t="s">
        <v>3</v>
      </c>
      <c r="F3" t="s">
        <v>4</v>
      </c>
      <c r="G3" t="s">
        <v>5</v>
      </c>
      <c r="H3">
        <v>0</v>
      </c>
      <c r="J3" t="s">
        <v>487</v>
      </c>
    </row>
    <row r="4" spans="1:23" x14ac:dyDescent="0.25">
      <c r="A4" t="s">
        <v>0</v>
      </c>
      <c r="B4" s="9">
        <v>44641</v>
      </c>
      <c r="C4" t="s">
        <v>17</v>
      </c>
      <c r="D4" t="s">
        <v>2</v>
      </c>
      <c r="E4" t="s">
        <v>3</v>
      </c>
      <c r="F4" t="s">
        <v>4</v>
      </c>
      <c r="G4" t="s">
        <v>5</v>
      </c>
      <c r="H4" s="3">
        <v>9380.1299999999992</v>
      </c>
      <c r="I4" t="s">
        <v>490</v>
      </c>
      <c r="J4" t="s">
        <v>487</v>
      </c>
      <c r="K4" t="s">
        <v>491</v>
      </c>
      <c r="L4" t="s">
        <v>492</v>
      </c>
      <c r="M4" t="s">
        <v>16</v>
      </c>
      <c r="N4" t="s">
        <v>1</v>
      </c>
    </row>
    <row r="5" spans="1:23" x14ac:dyDescent="0.25">
      <c r="A5" t="s">
        <v>0</v>
      </c>
      <c r="B5" s="9">
        <v>44652</v>
      </c>
      <c r="C5" t="s">
        <v>43</v>
      </c>
      <c r="D5" t="s">
        <v>2</v>
      </c>
      <c r="E5" t="s">
        <v>3</v>
      </c>
      <c r="F5" t="s">
        <v>4</v>
      </c>
      <c r="G5" t="s">
        <v>5</v>
      </c>
      <c r="H5" s="3">
        <v>9380.1299999999992</v>
      </c>
      <c r="I5" t="s">
        <v>493</v>
      </c>
      <c r="J5" t="s">
        <v>487</v>
      </c>
      <c r="K5" t="s">
        <v>494</v>
      </c>
      <c r="L5" t="s">
        <v>495</v>
      </c>
      <c r="M5" t="s">
        <v>29</v>
      </c>
      <c r="N5" t="s">
        <v>1</v>
      </c>
    </row>
    <row r="6" spans="1:23" x14ac:dyDescent="0.25">
      <c r="A6" t="s">
        <v>0</v>
      </c>
      <c r="B6" s="9">
        <v>44677</v>
      </c>
      <c r="C6" t="s">
        <v>43</v>
      </c>
      <c r="D6" t="s">
        <v>2</v>
      </c>
      <c r="E6" t="s">
        <v>3</v>
      </c>
      <c r="F6" t="s">
        <v>4</v>
      </c>
      <c r="G6" t="s">
        <v>5</v>
      </c>
      <c r="H6" s="3">
        <v>9380.1299999999992</v>
      </c>
      <c r="I6" t="s">
        <v>496</v>
      </c>
      <c r="J6" t="s">
        <v>487</v>
      </c>
      <c r="K6" t="s">
        <v>497</v>
      </c>
      <c r="L6" t="s">
        <v>498</v>
      </c>
      <c r="M6" t="s">
        <v>16</v>
      </c>
      <c r="N6" t="s">
        <v>1</v>
      </c>
    </row>
    <row r="7" spans="1:23" x14ac:dyDescent="0.25">
      <c r="A7" t="s">
        <v>0</v>
      </c>
      <c r="B7" s="9">
        <v>44682</v>
      </c>
      <c r="C7" s="5" t="s">
        <v>77</v>
      </c>
      <c r="D7" t="s">
        <v>2</v>
      </c>
      <c r="E7" t="s">
        <v>3</v>
      </c>
      <c r="F7" t="s">
        <v>4</v>
      </c>
      <c r="G7" t="s">
        <v>5</v>
      </c>
      <c r="H7">
        <v>0</v>
      </c>
      <c r="J7" t="s">
        <v>487</v>
      </c>
    </row>
    <row r="8" spans="1:23" x14ac:dyDescent="0.25">
      <c r="A8" t="s">
        <v>0</v>
      </c>
      <c r="B8" s="9">
        <v>44713</v>
      </c>
      <c r="C8" s="5" t="s">
        <v>22</v>
      </c>
      <c r="D8" t="s">
        <v>2</v>
      </c>
      <c r="E8" t="s">
        <v>3</v>
      </c>
      <c r="F8" t="s">
        <v>4</v>
      </c>
      <c r="G8" t="s">
        <v>5</v>
      </c>
      <c r="H8">
        <v>0</v>
      </c>
      <c r="J8" t="s">
        <v>487</v>
      </c>
    </row>
    <row r="9" spans="1:23" x14ac:dyDescent="0.25">
      <c r="A9" t="s">
        <v>0</v>
      </c>
      <c r="B9" s="9">
        <v>44743</v>
      </c>
      <c r="C9" s="5" t="s">
        <v>72</v>
      </c>
      <c r="D9" t="s">
        <v>2</v>
      </c>
      <c r="E9" t="s">
        <v>3</v>
      </c>
      <c r="F9" t="s">
        <v>4</v>
      </c>
      <c r="G9" t="s">
        <v>5</v>
      </c>
      <c r="H9">
        <v>0</v>
      </c>
      <c r="J9" t="s">
        <v>487</v>
      </c>
    </row>
    <row r="10" spans="1:23" x14ac:dyDescent="0.25">
      <c r="A10" t="s">
        <v>0</v>
      </c>
      <c r="B10" s="9">
        <v>44776</v>
      </c>
      <c r="C10" t="s">
        <v>82</v>
      </c>
      <c r="D10" t="s">
        <v>2</v>
      </c>
      <c r="E10" t="s">
        <v>3</v>
      </c>
      <c r="F10" t="s">
        <v>4</v>
      </c>
      <c r="G10" t="s">
        <v>5</v>
      </c>
      <c r="H10" s="3">
        <v>9380.1299999999992</v>
      </c>
      <c r="I10" t="s">
        <v>499</v>
      </c>
      <c r="J10" t="s">
        <v>487</v>
      </c>
      <c r="K10" t="s">
        <v>500</v>
      </c>
      <c r="L10" t="s">
        <v>501</v>
      </c>
      <c r="M10" t="s">
        <v>16</v>
      </c>
      <c r="N10" t="s">
        <v>1</v>
      </c>
    </row>
    <row r="11" spans="1:23" x14ac:dyDescent="0.25">
      <c r="A11" t="s">
        <v>0</v>
      </c>
      <c r="B11" s="9">
        <v>44825</v>
      </c>
      <c r="C11" t="s">
        <v>87</v>
      </c>
      <c r="D11" t="s">
        <v>2</v>
      </c>
      <c r="E11" t="s">
        <v>3</v>
      </c>
      <c r="F11" t="s">
        <v>4</v>
      </c>
      <c r="G11" t="s">
        <v>5</v>
      </c>
      <c r="H11" s="3">
        <v>9380.1299999999992</v>
      </c>
      <c r="I11" t="s">
        <v>502</v>
      </c>
      <c r="J11" t="s">
        <v>487</v>
      </c>
      <c r="K11" t="s">
        <v>503</v>
      </c>
      <c r="L11" t="s">
        <v>504</v>
      </c>
      <c r="M11" t="s">
        <v>16</v>
      </c>
      <c r="N11" t="s">
        <v>1</v>
      </c>
    </row>
    <row r="12" spans="1:23" x14ac:dyDescent="0.25">
      <c r="A12" t="s">
        <v>0</v>
      </c>
      <c r="B12" s="9">
        <v>44848</v>
      </c>
      <c r="C12" t="s">
        <v>30</v>
      </c>
      <c r="D12" t="s">
        <v>2</v>
      </c>
      <c r="E12" t="s">
        <v>3</v>
      </c>
      <c r="F12" t="s">
        <v>4</v>
      </c>
      <c r="G12" t="s">
        <v>5</v>
      </c>
      <c r="H12" s="3">
        <v>9380.1299999999992</v>
      </c>
      <c r="I12" t="s">
        <v>502</v>
      </c>
      <c r="J12" t="s">
        <v>487</v>
      </c>
      <c r="K12" t="s">
        <v>505</v>
      </c>
      <c r="L12" t="s">
        <v>506</v>
      </c>
      <c r="M12" t="s">
        <v>29</v>
      </c>
      <c r="N12" t="s">
        <v>1</v>
      </c>
    </row>
    <row r="13" spans="1:23" x14ac:dyDescent="0.25">
      <c r="A13" t="s">
        <v>0</v>
      </c>
      <c r="B13" s="9">
        <v>44890</v>
      </c>
      <c r="C13" t="s">
        <v>289</v>
      </c>
      <c r="D13" t="s">
        <v>2</v>
      </c>
      <c r="E13" t="s">
        <v>3</v>
      </c>
      <c r="F13" t="s">
        <v>4</v>
      </c>
      <c r="G13" t="s">
        <v>5</v>
      </c>
      <c r="H13">
        <v>9396.1299999999992</v>
      </c>
      <c r="I13" t="s">
        <v>502</v>
      </c>
      <c r="J13" t="s">
        <v>487</v>
      </c>
      <c r="K13" t="s">
        <v>2338</v>
      </c>
      <c r="L13" t="s">
        <v>2339</v>
      </c>
      <c r="M13" t="s">
        <v>524</v>
      </c>
      <c r="N13" t="s">
        <v>1</v>
      </c>
      <c r="O13" s="9">
        <v>44869</v>
      </c>
      <c r="P13" t="s">
        <v>2340</v>
      </c>
      <c r="Q13" s="9">
        <v>44890</v>
      </c>
      <c r="R13" t="s">
        <v>8</v>
      </c>
    </row>
    <row r="14" spans="1:23" x14ac:dyDescent="0.25">
      <c r="A14" t="s">
        <v>0</v>
      </c>
      <c r="B14" s="9">
        <v>44908</v>
      </c>
      <c r="C14" t="s">
        <v>246</v>
      </c>
      <c r="D14" t="s">
        <v>2</v>
      </c>
      <c r="E14" t="s">
        <v>3</v>
      </c>
      <c r="F14" t="s">
        <v>4</v>
      </c>
      <c r="G14" t="s">
        <v>5</v>
      </c>
      <c r="H14">
        <v>9380.1299999999992</v>
      </c>
      <c r="I14" t="s">
        <v>2341</v>
      </c>
      <c r="J14" t="s">
        <v>487</v>
      </c>
      <c r="K14" t="s">
        <v>2342</v>
      </c>
      <c r="L14" t="s">
        <v>2343</v>
      </c>
      <c r="M14" t="s">
        <v>29</v>
      </c>
      <c r="N14" t="s">
        <v>1</v>
      </c>
      <c r="O14" s="9">
        <v>44900</v>
      </c>
      <c r="P14" t="s">
        <v>2344</v>
      </c>
      <c r="Q14" s="9">
        <v>44908</v>
      </c>
      <c r="R14" t="s">
        <v>2345</v>
      </c>
    </row>
    <row r="15" spans="1:23" x14ac:dyDescent="0.25">
      <c r="A15" t="s">
        <v>0</v>
      </c>
      <c r="B15" s="2">
        <v>44916</v>
      </c>
      <c r="C15" t="s">
        <v>246</v>
      </c>
      <c r="D15" t="s">
        <v>2</v>
      </c>
      <c r="E15" t="s">
        <v>3</v>
      </c>
      <c r="F15" t="s">
        <v>4</v>
      </c>
      <c r="G15" t="s">
        <v>5</v>
      </c>
      <c r="H15">
        <v>28140.39</v>
      </c>
      <c r="I15" t="s">
        <v>2374</v>
      </c>
      <c r="J15" t="s">
        <v>487</v>
      </c>
      <c r="K15" t="s">
        <v>8</v>
      </c>
      <c r="L15" t="s">
        <v>2371</v>
      </c>
      <c r="M15" t="s">
        <v>641</v>
      </c>
      <c r="N15" t="s">
        <v>12</v>
      </c>
      <c r="O15" s="9">
        <v>44916</v>
      </c>
      <c r="P15" t="s">
        <v>2372</v>
      </c>
      <c r="Q15" s="9">
        <v>44916</v>
      </c>
      <c r="R15" t="s">
        <v>2373</v>
      </c>
    </row>
    <row r="16" spans="1:23" x14ac:dyDescent="0.25">
      <c r="A16" t="s">
        <v>2375</v>
      </c>
      <c r="B16" s="9">
        <v>44939</v>
      </c>
      <c r="C16" t="s">
        <v>1</v>
      </c>
      <c r="D16" t="s">
        <v>2</v>
      </c>
      <c r="E16" t="s">
        <v>3</v>
      </c>
      <c r="F16" t="s">
        <v>4</v>
      </c>
      <c r="G16" t="s">
        <v>5</v>
      </c>
      <c r="H16">
        <v>9380.1299999999992</v>
      </c>
      <c r="I16" t="s">
        <v>2394</v>
      </c>
      <c r="J16" t="s">
        <v>487</v>
      </c>
      <c r="K16" t="s">
        <v>2395</v>
      </c>
      <c r="L16" t="s">
        <v>2396</v>
      </c>
      <c r="M16" t="s">
        <v>29</v>
      </c>
      <c r="N16" t="s">
        <v>1</v>
      </c>
      <c r="O16" s="9">
        <v>44935</v>
      </c>
      <c r="P16" t="s">
        <v>2397</v>
      </c>
      <c r="Q16" s="9">
        <v>44939</v>
      </c>
      <c r="R16" t="s">
        <v>8</v>
      </c>
    </row>
    <row r="17" spans="1:23" x14ac:dyDescent="0.25">
      <c r="A17" t="s">
        <v>2375</v>
      </c>
      <c r="B17" s="2">
        <v>44958</v>
      </c>
      <c r="C17" t="s">
        <v>12</v>
      </c>
      <c r="D17" t="s">
        <v>2</v>
      </c>
      <c r="E17" t="s">
        <v>3</v>
      </c>
      <c r="F17" t="s">
        <v>4</v>
      </c>
      <c r="G17" t="s">
        <v>5</v>
      </c>
      <c r="H17" s="3">
        <v>9380.1299999999992</v>
      </c>
      <c r="I17" t="s">
        <v>2407</v>
      </c>
      <c r="J17" t="s">
        <v>487</v>
      </c>
      <c r="K17" t="s">
        <v>2408</v>
      </c>
      <c r="L17" t="s">
        <v>2409</v>
      </c>
      <c r="M17" t="s">
        <v>524</v>
      </c>
      <c r="N17" t="s">
        <v>1</v>
      </c>
      <c r="O17" s="2">
        <v>44726</v>
      </c>
      <c r="P17" t="s">
        <v>2410</v>
      </c>
      <c r="Q17" s="2">
        <v>44958</v>
      </c>
      <c r="R17" t="s">
        <v>2411</v>
      </c>
    </row>
    <row r="18" spans="1:23" x14ac:dyDescent="0.25">
      <c r="A18" t="s">
        <v>2375</v>
      </c>
      <c r="B18" s="2">
        <v>44958</v>
      </c>
      <c r="C18" t="s">
        <v>12</v>
      </c>
      <c r="D18" t="s">
        <v>2</v>
      </c>
      <c r="E18" t="s">
        <v>3</v>
      </c>
      <c r="F18" t="s">
        <v>4</v>
      </c>
      <c r="G18" t="s">
        <v>5</v>
      </c>
      <c r="H18" s="3">
        <v>9380.1299999999992</v>
      </c>
      <c r="I18" t="s">
        <v>2412</v>
      </c>
      <c r="J18" t="s">
        <v>487</v>
      </c>
      <c r="K18" t="s">
        <v>2413</v>
      </c>
      <c r="L18" t="s">
        <v>2414</v>
      </c>
      <c r="M18" t="s">
        <v>524</v>
      </c>
      <c r="N18" t="s">
        <v>1</v>
      </c>
      <c r="O18" s="2">
        <v>44700</v>
      </c>
      <c r="P18" t="s">
        <v>2415</v>
      </c>
      <c r="Q18" s="2">
        <v>44958</v>
      </c>
      <c r="R18" t="s">
        <v>2416</v>
      </c>
    </row>
    <row r="19" spans="1:23" x14ac:dyDescent="0.25">
      <c r="A19" t="s">
        <v>2375</v>
      </c>
      <c r="B19" s="2">
        <v>44971</v>
      </c>
      <c r="C19" t="s">
        <v>12</v>
      </c>
      <c r="D19" t="s">
        <v>2</v>
      </c>
      <c r="E19" t="s">
        <v>3</v>
      </c>
      <c r="F19" t="s">
        <v>4</v>
      </c>
      <c r="G19" t="s">
        <v>5</v>
      </c>
      <c r="H19" s="3">
        <v>9380.1299999999992</v>
      </c>
      <c r="I19" t="s">
        <v>2417</v>
      </c>
      <c r="J19" t="s">
        <v>487</v>
      </c>
      <c r="K19" t="s">
        <v>2418</v>
      </c>
      <c r="L19" t="s">
        <v>2419</v>
      </c>
      <c r="M19" t="s">
        <v>524</v>
      </c>
      <c r="N19" t="s">
        <v>1</v>
      </c>
      <c r="O19" s="2">
        <v>44965</v>
      </c>
      <c r="P19" t="s">
        <v>2420</v>
      </c>
      <c r="Q19" s="2">
        <v>44971</v>
      </c>
      <c r="R19" t="s">
        <v>2421</v>
      </c>
    </row>
    <row r="20" spans="1:23" x14ac:dyDescent="0.25">
      <c r="A20" t="s">
        <v>2375</v>
      </c>
      <c r="B20" s="9">
        <v>45014</v>
      </c>
      <c r="C20" t="s">
        <v>17</v>
      </c>
      <c r="D20" t="s">
        <v>2</v>
      </c>
      <c r="E20" t="s">
        <v>3</v>
      </c>
      <c r="F20" t="s">
        <v>4</v>
      </c>
      <c r="G20" t="s">
        <v>5</v>
      </c>
      <c r="H20">
        <v>9380.1299999999992</v>
      </c>
      <c r="I20" t="s">
        <v>2447</v>
      </c>
      <c r="J20" t="s">
        <v>487</v>
      </c>
      <c r="K20" t="s">
        <v>2448</v>
      </c>
      <c r="L20" t="s">
        <v>2449</v>
      </c>
      <c r="M20" t="s">
        <v>524</v>
      </c>
      <c r="N20" t="s">
        <v>1</v>
      </c>
      <c r="O20" s="9">
        <v>44992</v>
      </c>
      <c r="P20" t="s">
        <v>2450</v>
      </c>
      <c r="Q20" s="9">
        <v>45014</v>
      </c>
      <c r="R20" t="s">
        <v>2451</v>
      </c>
    </row>
    <row r="21" spans="1:23" x14ac:dyDescent="0.25">
      <c r="A21" t="s">
        <v>2375</v>
      </c>
      <c r="B21" s="9">
        <v>45041</v>
      </c>
      <c r="C21" t="s">
        <v>43</v>
      </c>
      <c r="D21" t="s">
        <v>2</v>
      </c>
      <c r="E21" t="s">
        <v>3</v>
      </c>
      <c r="F21" t="s">
        <v>4</v>
      </c>
      <c r="G21" t="s">
        <v>5</v>
      </c>
      <c r="H21">
        <v>9380.1299999999992</v>
      </c>
      <c r="I21" t="s">
        <v>2480</v>
      </c>
      <c r="J21" t="s">
        <v>487</v>
      </c>
      <c r="K21" t="s">
        <v>2481</v>
      </c>
      <c r="L21" t="s">
        <v>2482</v>
      </c>
      <c r="M21" t="s">
        <v>524</v>
      </c>
      <c r="N21" t="s">
        <v>1</v>
      </c>
      <c r="O21" s="9">
        <v>45030</v>
      </c>
      <c r="P21" t="s">
        <v>2483</v>
      </c>
      <c r="Q21" s="9">
        <v>45041</v>
      </c>
      <c r="R21" t="s">
        <v>2484</v>
      </c>
    </row>
    <row r="22" spans="1:23" x14ac:dyDescent="0.25">
      <c r="A22" t="s">
        <v>2375</v>
      </c>
      <c r="B22" s="9">
        <v>45075</v>
      </c>
      <c r="C22" t="s">
        <v>77</v>
      </c>
      <c r="D22" t="s">
        <v>2</v>
      </c>
      <c r="E22" t="s">
        <v>3</v>
      </c>
      <c r="F22" t="s">
        <v>4</v>
      </c>
      <c r="G22" t="s">
        <v>5</v>
      </c>
      <c r="H22">
        <v>9380.1299999999992</v>
      </c>
      <c r="I22" t="s">
        <v>2522</v>
      </c>
      <c r="J22" t="s">
        <v>487</v>
      </c>
      <c r="K22" t="s">
        <v>2523</v>
      </c>
      <c r="L22" t="s">
        <v>2524</v>
      </c>
      <c r="M22" t="s">
        <v>524</v>
      </c>
      <c r="N22" t="s">
        <v>1</v>
      </c>
      <c r="O22" s="9">
        <v>45057</v>
      </c>
      <c r="P22" t="s">
        <v>2525</v>
      </c>
      <c r="Q22" s="9">
        <v>45075</v>
      </c>
      <c r="R22" t="s">
        <v>2526</v>
      </c>
      <c r="S22" t="s">
        <v>502</v>
      </c>
    </row>
    <row r="23" spans="1:23" x14ac:dyDescent="0.25">
      <c r="A23" t="s">
        <v>2375</v>
      </c>
      <c r="B23" s="9">
        <v>45103</v>
      </c>
      <c r="C23" t="s">
        <v>22</v>
      </c>
      <c r="D23" t="s">
        <v>2</v>
      </c>
      <c r="E23" t="s">
        <v>3</v>
      </c>
      <c r="F23" t="s">
        <v>4</v>
      </c>
      <c r="G23" t="s">
        <v>5</v>
      </c>
      <c r="H23">
        <v>9380.1299999999992</v>
      </c>
      <c r="I23" t="s">
        <v>2590</v>
      </c>
      <c r="J23" t="s">
        <v>487</v>
      </c>
      <c r="K23" t="s">
        <v>2591</v>
      </c>
      <c r="L23" t="s">
        <v>2592</v>
      </c>
      <c r="M23" t="s">
        <v>524</v>
      </c>
      <c r="N23" t="s">
        <v>1</v>
      </c>
      <c r="O23" s="9">
        <v>45090</v>
      </c>
      <c r="P23" t="s">
        <v>2593</v>
      </c>
      <c r="Q23" s="9">
        <v>45103</v>
      </c>
      <c r="R23" t="s">
        <v>2594</v>
      </c>
      <c r="S23" t="s">
        <v>502</v>
      </c>
    </row>
    <row r="24" spans="1:23" x14ac:dyDescent="0.25">
      <c r="A24" t="s">
        <v>2375</v>
      </c>
      <c r="B24" s="9">
        <v>45108</v>
      </c>
      <c r="C24" s="5" t="s">
        <v>72</v>
      </c>
      <c r="D24" t="s">
        <v>2</v>
      </c>
      <c r="E24" t="s">
        <v>3</v>
      </c>
      <c r="F24" t="s">
        <v>4</v>
      </c>
      <c r="G24" t="s">
        <v>5</v>
      </c>
      <c r="H24">
        <v>0</v>
      </c>
      <c r="J24" t="s">
        <v>487</v>
      </c>
      <c r="O24" s="9"/>
    </row>
    <row r="25" spans="1:23" x14ac:dyDescent="0.25">
      <c r="A25" t="s">
        <v>2375</v>
      </c>
      <c r="B25" s="2">
        <v>45161</v>
      </c>
      <c r="C25" t="s">
        <v>82</v>
      </c>
      <c r="D25" t="s">
        <v>2</v>
      </c>
      <c r="E25" t="s">
        <v>3</v>
      </c>
      <c r="F25" t="s">
        <v>4</v>
      </c>
      <c r="G25" t="s">
        <v>5</v>
      </c>
      <c r="H25" s="3">
        <v>9380.1299999999992</v>
      </c>
      <c r="I25" t="s">
        <v>2701</v>
      </c>
      <c r="J25" t="s">
        <v>487</v>
      </c>
      <c r="K25" t="s">
        <v>2702</v>
      </c>
      <c r="L25" t="s">
        <v>2703</v>
      </c>
      <c r="M25" t="s">
        <v>524</v>
      </c>
      <c r="N25" t="s">
        <v>1</v>
      </c>
      <c r="O25" s="2">
        <v>44747</v>
      </c>
      <c r="P25" t="s">
        <v>2704</v>
      </c>
      <c r="Q25" s="2">
        <v>45161</v>
      </c>
      <c r="R25" t="s">
        <v>2705</v>
      </c>
      <c r="S25" t="s">
        <v>502</v>
      </c>
      <c r="T25" s="17">
        <v>1</v>
      </c>
      <c r="U25" t="s">
        <v>8</v>
      </c>
      <c r="V25" t="s">
        <v>8</v>
      </c>
    </row>
    <row r="26" spans="1:23" x14ac:dyDescent="0.25">
      <c r="A26" t="s">
        <v>2375</v>
      </c>
      <c r="B26" s="2">
        <v>45182</v>
      </c>
      <c r="C26" t="s">
        <v>87</v>
      </c>
      <c r="D26" t="s">
        <v>2</v>
      </c>
      <c r="E26" t="s">
        <v>3</v>
      </c>
      <c r="F26" t="s">
        <v>4</v>
      </c>
      <c r="G26" t="s">
        <v>5</v>
      </c>
      <c r="H26" s="3">
        <v>9380.1299999999992</v>
      </c>
      <c r="I26" t="s">
        <v>2738</v>
      </c>
      <c r="J26" t="s">
        <v>487</v>
      </c>
      <c r="K26" t="s">
        <v>2739</v>
      </c>
      <c r="L26" t="s">
        <v>2740</v>
      </c>
      <c r="M26" t="s">
        <v>524</v>
      </c>
      <c r="N26" t="s">
        <v>1</v>
      </c>
      <c r="O26" s="2">
        <v>45175</v>
      </c>
      <c r="P26" t="s">
        <v>2741</v>
      </c>
      <c r="Q26" s="2">
        <v>45182</v>
      </c>
      <c r="R26" t="s">
        <v>2742</v>
      </c>
      <c r="S26" t="s">
        <v>502</v>
      </c>
      <c r="T26" s="17">
        <v>1</v>
      </c>
      <c r="U26" t="s">
        <v>8</v>
      </c>
      <c r="V26" t="s">
        <v>8</v>
      </c>
    </row>
    <row r="27" spans="1:23" x14ac:dyDescent="0.25">
      <c r="A27" t="s">
        <v>2375</v>
      </c>
      <c r="B27" s="2">
        <v>45203</v>
      </c>
      <c r="C27" t="s">
        <v>30</v>
      </c>
      <c r="D27" t="s">
        <v>2</v>
      </c>
      <c r="E27" t="s">
        <v>3</v>
      </c>
      <c r="F27" t="s">
        <v>4</v>
      </c>
      <c r="G27" t="s">
        <v>5</v>
      </c>
      <c r="H27" s="3">
        <v>9380.1299999999992</v>
      </c>
      <c r="I27" t="s">
        <v>2789</v>
      </c>
      <c r="J27" t="s">
        <v>487</v>
      </c>
      <c r="K27" t="s">
        <v>2790</v>
      </c>
      <c r="L27" t="s">
        <v>2791</v>
      </c>
      <c r="M27" t="s">
        <v>16</v>
      </c>
      <c r="N27" t="s">
        <v>1</v>
      </c>
      <c r="O27" s="2">
        <v>45201</v>
      </c>
      <c r="P27" t="s">
        <v>2792</v>
      </c>
      <c r="Q27" s="2">
        <v>45203</v>
      </c>
      <c r="R27" t="s">
        <v>2793</v>
      </c>
      <c r="S27" t="s">
        <v>502</v>
      </c>
      <c r="T27" s="17">
        <v>1</v>
      </c>
      <c r="U27" t="s">
        <v>8</v>
      </c>
      <c r="V27" t="s">
        <v>8</v>
      </c>
      <c r="W27" t="s">
        <v>4</v>
      </c>
    </row>
    <row r="28" spans="1:23" x14ac:dyDescent="0.25">
      <c r="A28" t="s">
        <v>2375</v>
      </c>
      <c r="B28" s="2">
        <v>45225</v>
      </c>
      <c r="C28" t="s">
        <v>30</v>
      </c>
      <c r="D28" t="s">
        <v>2</v>
      </c>
      <c r="E28" t="s">
        <v>3</v>
      </c>
      <c r="F28" t="s">
        <v>4</v>
      </c>
      <c r="G28" t="s">
        <v>5</v>
      </c>
      <c r="H28" s="3">
        <v>-9380.1299999999992</v>
      </c>
      <c r="I28" t="s">
        <v>502</v>
      </c>
      <c r="J28" t="s">
        <v>487</v>
      </c>
      <c r="K28" t="s">
        <v>2790</v>
      </c>
      <c r="L28" t="s">
        <v>2794</v>
      </c>
      <c r="M28" t="s">
        <v>2493</v>
      </c>
      <c r="N28" t="s">
        <v>1</v>
      </c>
      <c r="O28" s="2">
        <v>45201</v>
      </c>
      <c r="P28" t="s">
        <v>2795</v>
      </c>
      <c r="Q28" s="2">
        <v>45203</v>
      </c>
      <c r="R28" t="s">
        <v>2796</v>
      </c>
      <c r="S28" t="s">
        <v>502</v>
      </c>
      <c r="T28" s="17">
        <v>-1</v>
      </c>
      <c r="U28" t="s">
        <v>8</v>
      </c>
      <c r="V28" t="s">
        <v>8</v>
      </c>
      <c r="W28" t="s">
        <v>4</v>
      </c>
    </row>
    <row r="29" spans="1:23" x14ac:dyDescent="0.25">
      <c r="A29" t="s">
        <v>2375</v>
      </c>
      <c r="B29" s="2">
        <v>45254</v>
      </c>
      <c r="C29" t="s">
        <v>289</v>
      </c>
      <c r="D29" t="s">
        <v>2</v>
      </c>
      <c r="E29" t="s">
        <v>3</v>
      </c>
      <c r="F29" t="s">
        <v>4</v>
      </c>
      <c r="G29" t="s">
        <v>5</v>
      </c>
      <c r="H29" s="3">
        <v>9380.1299999999992</v>
      </c>
      <c r="I29" t="s">
        <v>2826</v>
      </c>
      <c r="J29" t="s">
        <v>487</v>
      </c>
      <c r="K29" t="s">
        <v>2827</v>
      </c>
      <c r="L29" t="s">
        <v>2828</v>
      </c>
      <c r="M29" t="s">
        <v>2429</v>
      </c>
      <c r="N29" t="s">
        <v>1</v>
      </c>
      <c r="O29" s="2">
        <v>45240</v>
      </c>
      <c r="P29" t="s">
        <v>2829</v>
      </c>
      <c r="Q29" s="2">
        <v>45254</v>
      </c>
      <c r="R29" t="s">
        <v>2830</v>
      </c>
      <c r="S29" t="s">
        <v>502</v>
      </c>
      <c r="T29" s="17">
        <v>1</v>
      </c>
      <c r="U29" t="s">
        <v>8</v>
      </c>
      <c r="V29" t="s">
        <v>8</v>
      </c>
      <c r="W29" t="s">
        <v>4</v>
      </c>
    </row>
    <row r="30" spans="1:23" x14ac:dyDescent="0.25">
      <c r="A30" t="s">
        <v>2375</v>
      </c>
      <c r="B30" s="2">
        <v>45264</v>
      </c>
      <c r="C30" t="s">
        <v>246</v>
      </c>
      <c r="D30" t="s">
        <v>2</v>
      </c>
      <c r="E30" t="s">
        <v>3</v>
      </c>
      <c r="F30" t="s">
        <v>4</v>
      </c>
      <c r="G30" t="s">
        <v>5</v>
      </c>
      <c r="H30" s="3">
        <v>9380.1299999999992</v>
      </c>
      <c r="I30" t="s">
        <v>2850</v>
      </c>
      <c r="J30" t="s">
        <v>487</v>
      </c>
      <c r="K30" t="s">
        <v>2790</v>
      </c>
      <c r="L30" t="s">
        <v>2851</v>
      </c>
      <c r="M30" t="s">
        <v>2493</v>
      </c>
      <c r="N30" t="s">
        <v>1</v>
      </c>
      <c r="O30" s="2">
        <v>45148</v>
      </c>
      <c r="P30" t="s">
        <v>2852</v>
      </c>
      <c r="Q30" s="2">
        <v>45264</v>
      </c>
      <c r="R30" t="s">
        <v>2853</v>
      </c>
      <c r="S30" t="s">
        <v>502</v>
      </c>
      <c r="T30" s="17">
        <v>1</v>
      </c>
      <c r="U30" t="s">
        <v>8</v>
      </c>
      <c r="V30" t="s">
        <v>8</v>
      </c>
      <c r="W30" t="s">
        <v>4</v>
      </c>
    </row>
    <row r="31" spans="1:23" x14ac:dyDescent="0.25">
      <c r="A31" t="s">
        <v>2375</v>
      </c>
      <c r="B31" s="2">
        <v>45271</v>
      </c>
      <c r="C31" t="s">
        <v>246</v>
      </c>
      <c r="D31" t="s">
        <v>2</v>
      </c>
      <c r="E31" t="s">
        <v>3</v>
      </c>
      <c r="F31" t="s">
        <v>4</v>
      </c>
      <c r="G31" t="s">
        <v>5</v>
      </c>
      <c r="H31" s="3">
        <v>9380.1299999999992</v>
      </c>
      <c r="I31" t="s">
        <v>2854</v>
      </c>
      <c r="J31" t="s">
        <v>487</v>
      </c>
      <c r="K31" t="s">
        <v>2855</v>
      </c>
      <c r="L31" t="s">
        <v>2856</v>
      </c>
      <c r="M31" t="s">
        <v>524</v>
      </c>
      <c r="N31" t="s">
        <v>1</v>
      </c>
      <c r="O31" s="2">
        <v>45264</v>
      </c>
      <c r="P31" t="s">
        <v>2857</v>
      </c>
      <c r="Q31" s="2">
        <v>45271</v>
      </c>
      <c r="R31" t="s">
        <v>2858</v>
      </c>
      <c r="S31" t="s">
        <v>502</v>
      </c>
      <c r="T31" s="17">
        <v>1</v>
      </c>
      <c r="U31" t="s">
        <v>8</v>
      </c>
      <c r="V31" t="s">
        <v>8</v>
      </c>
      <c r="W31" t="s">
        <v>4</v>
      </c>
    </row>
    <row r="32" spans="1:23" x14ac:dyDescent="0.25">
      <c r="A32" t="s">
        <v>2880</v>
      </c>
      <c r="B32" s="2">
        <v>45307</v>
      </c>
      <c r="C32" t="s">
        <v>1</v>
      </c>
      <c r="D32" t="s">
        <v>2</v>
      </c>
      <c r="E32" t="s">
        <v>3</v>
      </c>
      <c r="F32" t="s">
        <v>4</v>
      </c>
      <c r="G32" t="s">
        <v>5</v>
      </c>
      <c r="H32" s="3">
        <v>9380.1299999999992</v>
      </c>
      <c r="I32" t="s">
        <v>2891</v>
      </c>
      <c r="J32" t="s">
        <v>487</v>
      </c>
      <c r="K32" t="s">
        <v>2892</v>
      </c>
      <c r="L32" t="s">
        <v>2893</v>
      </c>
      <c r="M32" t="s">
        <v>524</v>
      </c>
      <c r="N32" t="s">
        <v>1</v>
      </c>
      <c r="O32" s="2">
        <v>45303</v>
      </c>
      <c r="P32" t="s">
        <v>2894</v>
      </c>
      <c r="Q32" s="2">
        <v>45307</v>
      </c>
      <c r="R32" t="s">
        <v>2895</v>
      </c>
      <c r="S32" t="s">
        <v>502</v>
      </c>
      <c r="T32" s="17">
        <v>1</v>
      </c>
      <c r="U32" t="s">
        <v>8</v>
      </c>
      <c r="V32" t="s">
        <v>8</v>
      </c>
      <c r="W32" t="s">
        <v>4</v>
      </c>
    </row>
    <row r="33" spans="1:24" x14ac:dyDescent="0.25">
      <c r="A33" t="s">
        <v>2880</v>
      </c>
      <c r="B33" s="2">
        <v>45345</v>
      </c>
      <c r="C33" t="s">
        <v>12</v>
      </c>
      <c r="D33" t="s">
        <v>2</v>
      </c>
      <c r="E33" t="s">
        <v>3</v>
      </c>
      <c r="F33" t="s">
        <v>4</v>
      </c>
      <c r="G33" t="s">
        <v>5</v>
      </c>
      <c r="H33" s="3">
        <v>9380.1299999999992</v>
      </c>
      <c r="I33" t="s">
        <v>2896</v>
      </c>
      <c r="J33" t="s">
        <v>487</v>
      </c>
      <c r="K33" t="s">
        <v>2897</v>
      </c>
      <c r="L33" t="s">
        <v>2898</v>
      </c>
      <c r="M33" t="s">
        <v>524</v>
      </c>
      <c r="N33" t="s">
        <v>1</v>
      </c>
      <c r="O33" s="2">
        <v>45334</v>
      </c>
      <c r="P33" t="s">
        <v>2899</v>
      </c>
      <c r="Q33" s="2">
        <v>45345</v>
      </c>
      <c r="R33" t="s">
        <v>2900</v>
      </c>
      <c r="S33" t="s">
        <v>502</v>
      </c>
      <c r="T33" s="17">
        <v>1</v>
      </c>
      <c r="U33" t="s">
        <v>8</v>
      </c>
      <c r="V33" t="s">
        <v>8</v>
      </c>
      <c r="W33" t="s">
        <v>4</v>
      </c>
    </row>
    <row r="34" spans="1:24" x14ac:dyDescent="0.25">
      <c r="A34" t="s">
        <v>2880</v>
      </c>
      <c r="B34" s="2">
        <v>45309</v>
      </c>
      <c r="C34" t="s">
        <v>1</v>
      </c>
      <c r="D34" t="s">
        <v>2</v>
      </c>
      <c r="E34" t="s">
        <v>3</v>
      </c>
      <c r="F34" s="19" t="s">
        <v>2950</v>
      </c>
      <c r="G34" s="19" t="s">
        <v>1046</v>
      </c>
      <c r="H34" s="3">
        <v>9579.73</v>
      </c>
      <c r="I34" t="s">
        <v>2951</v>
      </c>
      <c r="J34" t="s">
        <v>487</v>
      </c>
      <c r="K34" t="s">
        <v>2952</v>
      </c>
      <c r="L34" t="s">
        <v>2953</v>
      </c>
      <c r="M34" t="s">
        <v>446</v>
      </c>
      <c r="N34" t="s">
        <v>1</v>
      </c>
      <c r="O34" s="2">
        <v>45268</v>
      </c>
      <c r="P34" t="s">
        <v>2954</v>
      </c>
      <c r="Q34" s="2">
        <v>45309</v>
      </c>
      <c r="R34" t="s">
        <v>2955</v>
      </c>
      <c r="S34" t="s">
        <v>2956</v>
      </c>
      <c r="T34" s="18">
        <v>1</v>
      </c>
      <c r="U34" t="s">
        <v>8</v>
      </c>
      <c r="V34" t="s">
        <v>8</v>
      </c>
      <c r="W34" t="s">
        <v>2950</v>
      </c>
    </row>
    <row r="35" spans="1:24" x14ac:dyDescent="0.25">
      <c r="A35" t="s">
        <v>2880</v>
      </c>
      <c r="B35" s="2">
        <v>45365</v>
      </c>
      <c r="C35" t="s">
        <v>17</v>
      </c>
      <c r="D35" t="s">
        <v>2</v>
      </c>
      <c r="E35" t="s">
        <v>3</v>
      </c>
      <c r="F35" t="s">
        <v>4</v>
      </c>
      <c r="G35" t="s">
        <v>5</v>
      </c>
      <c r="H35" s="3">
        <v>10454.41</v>
      </c>
      <c r="I35" t="s">
        <v>2967</v>
      </c>
      <c r="J35" t="s">
        <v>487</v>
      </c>
      <c r="K35" t="s">
        <v>2968</v>
      </c>
      <c r="L35" t="s">
        <v>2969</v>
      </c>
      <c r="M35" t="s">
        <v>21</v>
      </c>
      <c r="N35" t="s">
        <v>1</v>
      </c>
      <c r="O35" s="2">
        <v>45363</v>
      </c>
      <c r="P35" t="s">
        <v>2970</v>
      </c>
      <c r="Q35" s="2">
        <v>45365</v>
      </c>
      <c r="R35" t="s">
        <v>2971</v>
      </c>
      <c r="S35" t="s">
        <v>502</v>
      </c>
      <c r="T35" s="17">
        <v>1</v>
      </c>
      <c r="U35" t="s">
        <v>8</v>
      </c>
      <c r="V35" t="s">
        <v>8</v>
      </c>
      <c r="W35" t="s">
        <v>4</v>
      </c>
    </row>
    <row r="36" spans="1:24" x14ac:dyDescent="0.25">
      <c r="A36" t="s">
        <v>2880</v>
      </c>
      <c r="B36" s="2">
        <v>45390</v>
      </c>
      <c r="C36" t="s">
        <v>43</v>
      </c>
      <c r="D36" t="s">
        <v>2</v>
      </c>
      <c r="E36" t="s">
        <v>3</v>
      </c>
      <c r="F36" t="s">
        <v>4</v>
      </c>
      <c r="G36" t="s">
        <v>5</v>
      </c>
      <c r="H36" s="3">
        <v>10454.41</v>
      </c>
      <c r="I36" t="s">
        <v>3025</v>
      </c>
      <c r="J36" t="s">
        <v>487</v>
      </c>
      <c r="K36" t="s">
        <v>3026</v>
      </c>
      <c r="L36" t="s">
        <v>3027</v>
      </c>
      <c r="M36" t="s">
        <v>2493</v>
      </c>
      <c r="N36" t="s">
        <v>1</v>
      </c>
      <c r="O36" s="2">
        <v>45385</v>
      </c>
      <c r="P36" t="s">
        <v>3028</v>
      </c>
      <c r="Q36" s="2">
        <v>45390</v>
      </c>
      <c r="R36" t="s">
        <v>3029</v>
      </c>
      <c r="S36" t="s">
        <v>502</v>
      </c>
      <c r="T36" s="17">
        <v>1</v>
      </c>
      <c r="U36" t="s">
        <v>8</v>
      </c>
      <c r="V36" t="s">
        <v>8</v>
      </c>
      <c r="W36" t="s">
        <v>4</v>
      </c>
    </row>
    <row r="37" spans="1:24" x14ac:dyDescent="0.25">
      <c r="A37" t="s">
        <v>2880</v>
      </c>
      <c r="B37" s="9">
        <v>45439</v>
      </c>
      <c r="C37" t="s">
        <v>77</v>
      </c>
      <c r="D37" t="s">
        <v>2</v>
      </c>
      <c r="E37" t="s">
        <v>3</v>
      </c>
      <c r="F37" t="s">
        <v>4</v>
      </c>
      <c r="G37" t="s">
        <v>5</v>
      </c>
      <c r="H37" s="8">
        <v>10454.41</v>
      </c>
      <c r="I37" t="s">
        <v>3064</v>
      </c>
      <c r="J37" t="s">
        <v>487</v>
      </c>
      <c r="K37" t="s">
        <v>3065</v>
      </c>
      <c r="L37" t="s">
        <v>3066</v>
      </c>
      <c r="M37" t="s">
        <v>2493</v>
      </c>
      <c r="N37" t="s">
        <v>1</v>
      </c>
      <c r="O37" s="9">
        <v>45432</v>
      </c>
      <c r="P37" t="s">
        <v>3067</v>
      </c>
      <c r="Q37" s="9">
        <v>45439</v>
      </c>
      <c r="R37" t="s">
        <v>3068</v>
      </c>
      <c r="S37" t="s">
        <v>502</v>
      </c>
      <c r="T37">
        <v>1</v>
      </c>
      <c r="U37" t="s">
        <v>8</v>
      </c>
      <c r="V37" t="s">
        <v>8</v>
      </c>
      <c r="W37" t="s">
        <v>4</v>
      </c>
    </row>
    <row r="38" spans="1:24" x14ac:dyDescent="0.25">
      <c r="A38" t="s">
        <v>2880</v>
      </c>
      <c r="B38" s="9">
        <v>45465</v>
      </c>
      <c r="C38" t="s">
        <v>22</v>
      </c>
      <c r="D38" t="s">
        <v>2</v>
      </c>
      <c r="E38" t="s">
        <v>3</v>
      </c>
      <c r="F38" t="s">
        <v>4</v>
      </c>
      <c r="G38" t="s">
        <v>5</v>
      </c>
      <c r="H38" s="8">
        <v>10454.41</v>
      </c>
      <c r="I38" t="s">
        <v>3103</v>
      </c>
      <c r="J38" t="s">
        <v>487</v>
      </c>
      <c r="K38" t="s">
        <v>3104</v>
      </c>
      <c r="L38" t="s">
        <v>3105</v>
      </c>
      <c r="M38" t="s">
        <v>21</v>
      </c>
      <c r="N38" t="s">
        <v>1</v>
      </c>
      <c r="O38" s="9">
        <v>45453</v>
      </c>
      <c r="P38" t="s">
        <v>3106</v>
      </c>
      <c r="Q38" s="9">
        <v>45465</v>
      </c>
      <c r="R38" t="s">
        <v>3107</v>
      </c>
      <c r="S38" t="s">
        <v>502</v>
      </c>
      <c r="T38">
        <v>1</v>
      </c>
      <c r="U38" t="s">
        <v>8</v>
      </c>
      <c r="V38" t="s">
        <v>8</v>
      </c>
      <c r="W38" t="s">
        <v>4</v>
      </c>
      <c r="X38" t="s">
        <v>3</v>
      </c>
    </row>
    <row r="39" spans="1:24" x14ac:dyDescent="0.25">
      <c r="A39" t="s">
        <v>2880</v>
      </c>
      <c r="B39" s="9">
        <v>45460</v>
      </c>
      <c r="C39" t="s">
        <v>22</v>
      </c>
      <c r="D39" t="s">
        <v>673</v>
      </c>
      <c r="E39" t="s">
        <v>674</v>
      </c>
      <c r="F39" t="s">
        <v>3108</v>
      </c>
      <c r="G39" t="s">
        <v>3109</v>
      </c>
      <c r="H39" s="8">
        <v>1564.67</v>
      </c>
      <c r="I39" t="s">
        <v>3110</v>
      </c>
      <c r="J39" t="s">
        <v>487</v>
      </c>
      <c r="K39" t="s">
        <v>3111</v>
      </c>
      <c r="L39" t="s">
        <v>3112</v>
      </c>
      <c r="M39" t="s">
        <v>450</v>
      </c>
      <c r="N39" t="s">
        <v>1</v>
      </c>
      <c r="O39" s="9">
        <v>45449</v>
      </c>
      <c r="P39" t="s">
        <v>3113</v>
      </c>
      <c r="Q39" s="9">
        <v>45460</v>
      </c>
      <c r="R39" t="s">
        <v>3114</v>
      </c>
      <c r="S39" t="s">
        <v>3115</v>
      </c>
      <c r="T39">
        <v>1</v>
      </c>
      <c r="U39" t="s">
        <v>8</v>
      </c>
      <c r="V39" t="s">
        <v>8</v>
      </c>
      <c r="W39" t="s">
        <v>3108</v>
      </c>
      <c r="X39" t="s">
        <v>674</v>
      </c>
    </row>
    <row r="40" spans="1:24" x14ac:dyDescent="0.25">
      <c r="A40" t="s">
        <v>2880</v>
      </c>
      <c r="B40" s="9">
        <v>45460</v>
      </c>
      <c r="C40" t="s">
        <v>22</v>
      </c>
      <c r="D40" t="s">
        <v>673</v>
      </c>
      <c r="E40" t="s">
        <v>674</v>
      </c>
      <c r="F40" t="s">
        <v>3108</v>
      </c>
      <c r="G40" t="s">
        <v>3109</v>
      </c>
      <c r="H40" s="8">
        <v>937.2</v>
      </c>
      <c r="I40" t="s">
        <v>3110</v>
      </c>
      <c r="J40" t="s">
        <v>487</v>
      </c>
      <c r="K40" t="s">
        <v>3111</v>
      </c>
      <c r="L40" t="s">
        <v>3112</v>
      </c>
      <c r="M40" t="s">
        <v>450</v>
      </c>
      <c r="N40" t="s">
        <v>12</v>
      </c>
      <c r="O40" s="9">
        <v>45449</v>
      </c>
      <c r="P40" t="s">
        <v>3113</v>
      </c>
      <c r="Q40" s="9">
        <v>45460</v>
      </c>
      <c r="R40" t="s">
        <v>3114</v>
      </c>
      <c r="S40" t="s">
        <v>3115</v>
      </c>
      <c r="T40">
        <v>1</v>
      </c>
      <c r="U40" t="s">
        <v>8</v>
      </c>
      <c r="V40" t="s">
        <v>8</v>
      </c>
      <c r="W40" t="s">
        <v>3108</v>
      </c>
      <c r="X40" t="s">
        <v>674</v>
      </c>
    </row>
    <row r="41" spans="1:24" x14ac:dyDescent="0.25">
      <c r="A41" t="s">
        <v>2880</v>
      </c>
      <c r="B41" s="9">
        <v>45510</v>
      </c>
      <c r="C41" t="s">
        <v>82</v>
      </c>
      <c r="D41" t="s">
        <v>2</v>
      </c>
      <c r="E41" t="s">
        <v>3</v>
      </c>
      <c r="F41" t="s">
        <v>4</v>
      </c>
      <c r="G41" t="s">
        <v>5</v>
      </c>
      <c r="H41">
        <v>10454.41</v>
      </c>
      <c r="I41" t="s">
        <v>3218</v>
      </c>
      <c r="J41" t="s">
        <v>487</v>
      </c>
      <c r="K41" t="s">
        <v>3219</v>
      </c>
      <c r="L41" t="s">
        <v>3220</v>
      </c>
      <c r="M41" t="s">
        <v>2493</v>
      </c>
      <c r="N41" t="s">
        <v>1</v>
      </c>
      <c r="O41" s="9">
        <v>45484</v>
      </c>
      <c r="P41" t="s">
        <v>3221</v>
      </c>
      <c r="Q41">
        <v>45510</v>
      </c>
      <c r="R41" t="s">
        <v>3222</v>
      </c>
      <c r="S41" t="s">
        <v>502</v>
      </c>
      <c r="T41">
        <v>1</v>
      </c>
      <c r="U41" t="s">
        <v>8</v>
      </c>
      <c r="V41" t="s">
        <v>8</v>
      </c>
      <c r="W41" t="s">
        <v>4</v>
      </c>
      <c r="X41" t="s">
        <v>3</v>
      </c>
    </row>
    <row r="42" spans="1:24" x14ac:dyDescent="0.25">
      <c r="A42" t="s">
        <v>2880</v>
      </c>
      <c r="B42" s="9">
        <v>45564</v>
      </c>
      <c r="C42" t="s">
        <v>87</v>
      </c>
      <c r="D42" t="s">
        <v>2</v>
      </c>
      <c r="E42" t="s">
        <v>3</v>
      </c>
      <c r="F42" t="s">
        <v>4</v>
      </c>
      <c r="G42" t="s">
        <v>5</v>
      </c>
      <c r="H42">
        <v>4308.16</v>
      </c>
      <c r="I42" t="s">
        <v>3234</v>
      </c>
      <c r="J42" t="s">
        <v>487</v>
      </c>
      <c r="K42" t="s">
        <v>3235</v>
      </c>
      <c r="L42" t="s">
        <v>3236</v>
      </c>
      <c r="M42" t="s">
        <v>21</v>
      </c>
      <c r="N42" t="s">
        <v>1</v>
      </c>
      <c r="O42" s="9">
        <v>45539</v>
      </c>
      <c r="P42" t="s">
        <v>3237</v>
      </c>
      <c r="Q42">
        <v>45564</v>
      </c>
      <c r="R42" t="s">
        <v>3238</v>
      </c>
      <c r="S42" t="s">
        <v>502</v>
      </c>
      <c r="T42">
        <v>1</v>
      </c>
      <c r="U42" t="s">
        <v>8</v>
      </c>
      <c r="V42" t="s">
        <v>8</v>
      </c>
      <c r="W42" t="s">
        <v>4</v>
      </c>
      <c r="X42" t="s">
        <v>3</v>
      </c>
    </row>
    <row r="43" spans="1:24" x14ac:dyDescent="0.25">
      <c r="A43" t="s">
        <v>2880</v>
      </c>
      <c r="B43" s="2">
        <v>45615</v>
      </c>
      <c r="C43" t="s">
        <v>289</v>
      </c>
      <c r="D43" t="s">
        <v>2</v>
      </c>
      <c r="E43" t="s">
        <v>3</v>
      </c>
      <c r="F43" t="s">
        <v>4</v>
      </c>
      <c r="G43" t="s">
        <v>5</v>
      </c>
      <c r="H43" s="3">
        <v>4308.16</v>
      </c>
      <c r="I43" t="s">
        <v>3349</v>
      </c>
      <c r="J43" t="s">
        <v>487</v>
      </c>
      <c r="K43" t="s">
        <v>3350</v>
      </c>
      <c r="L43" t="s">
        <v>3351</v>
      </c>
      <c r="M43" t="s">
        <v>3280</v>
      </c>
      <c r="N43" t="s">
        <v>1</v>
      </c>
      <c r="O43" s="2">
        <v>45574</v>
      </c>
      <c r="P43" t="s">
        <v>3352</v>
      </c>
      <c r="Q43" s="2">
        <v>45615</v>
      </c>
      <c r="R43" t="s">
        <v>3353</v>
      </c>
      <c r="S43" t="s">
        <v>502</v>
      </c>
      <c r="T43" s="17">
        <v>1</v>
      </c>
      <c r="U43" t="s">
        <v>8</v>
      </c>
      <c r="V43" t="s">
        <v>8</v>
      </c>
      <c r="W43" t="s">
        <v>4</v>
      </c>
      <c r="X43" t="s">
        <v>3</v>
      </c>
    </row>
    <row r="44" spans="1:24" x14ac:dyDescent="0.25">
      <c r="A44" t="s">
        <v>2880</v>
      </c>
      <c r="B44" s="2">
        <v>45615</v>
      </c>
      <c r="C44" t="s">
        <v>289</v>
      </c>
      <c r="D44" t="s">
        <v>2</v>
      </c>
      <c r="E44" t="s">
        <v>3</v>
      </c>
      <c r="F44" t="s">
        <v>4</v>
      </c>
      <c r="G44" t="s">
        <v>5</v>
      </c>
      <c r="H44" s="3">
        <v>4308.16</v>
      </c>
      <c r="I44" t="s">
        <v>3354</v>
      </c>
      <c r="J44" t="s">
        <v>487</v>
      </c>
      <c r="K44" t="s">
        <v>3355</v>
      </c>
      <c r="L44" t="s">
        <v>3356</v>
      </c>
      <c r="M44" t="s">
        <v>3280</v>
      </c>
      <c r="N44" t="s">
        <v>1</v>
      </c>
      <c r="O44" s="2">
        <v>45607</v>
      </c>
      <c r="P44" t="s">
        <v>3357</v>
      </c>
      <c r="Q44" s="2">
        <v>45615</v>
      </c>
      <c r="R44" t="s">
        <v>3358</v>
      </c>
      <c r="S44" t="s">
        <v>502</v>
      </c>
      <c r="T44" s="17">
        <v>1</v>
      </c>
      <c r="U44" t="s">
        <v>8</v>
      </c>
      <c r="V44" t="s">
        <v>8</v>
      </c>
      <c r="W44" t="s">
        <v>4</v>
      </c>
      <c r="X44" t="s">
        <v>3</v>
      </c>
    </row>
    <row r="45" spans="1:24" x14ac:dyDescent="0.25">
      <c r="A45" t="s">
        <v>2880</v>
      </c>
      <c r="B45" s="2">
        <v>45639</v>
      </c>
      <c r="C45" t="s">
        <v>246</v>
      </c>
      <c r="D45" s="23" t="s">
        <v>47</v>
      </c>
      <c r="E45" s="23" t="s">
        <v>48</v>
      </c>
      <c r="F45" t="s">
        <v>4</v>
      </c>
      <c r="G45" t="s">
        <v>5</v>
      </c>
      <c r="H45" s="3">
        <v>4308.16</v>
      </c>
      <c r="I45" t="s">
        <v>3398</v>
      </c>
      <c r="J45" t="s">
        <v>487</v>
      </c>
      <c r="K45" t="s">
        <v>3399</v>
      </c>
      <c r="L45" t="s">
        <v>3400</v>
      </c>
      <c r="M45" t="s">
        <v>3386</v>
      </c>
      <c r="N45" t="s">
        <v>1</v>
      </c>
      <c r="O45" s="2">
        <v>45635</v>
      </c>
      <c r="P45" t="s">
        <v>3401</v>
      </c>
      <c r="Q45" s="2">
        <v>45639</v>
      </c>
      <c r="R45" t="s">
        <v>3402</v>
      </c>
      <c r="S45" t="s">
        <v>502</v>
      </c>
      <c r="T45" s="17">
        <v>1</v>
      </c>
      <c r="U45" t="s">
        <v>8</v>
      </c>
      <c r="V45" t="s">
        <v>8</v>
      </c>
      <c r="W45" t="s">
        <v>4</v>
      </c>
      <c r="X45" t="s">
        <v>3403</v>
      </c>
    </row>
    <row r="46" spans="1:24" x14ac:dyDescent="0.25">
      <c r="A46" t="s">
        <v>3433</v>
      </c>
      <c r="B46" s="9">
        <v>45695</v>
      </c>
      <c r="C46" t="s">
        <v>12</v>
      </c>
      <c r="D46" s="19" t="s">
        <v>47</v>
      </c>
      <c r="E46" s="19" t="s">
        <v>48</v>
      </c>
      <c r="F46" t="s">
        <v>4</v>
      </c>
      <c r="G46" t="s">
        <v>5</v>
      </c>
      <c r="H46">
        <v>4308.16</v>
      </c>
      <c r="I46" t="s">
        <v>3477</v>
      </c>
      <c r="J46" t="s">
        <v>487</v>
      </c>
      <c r="K46" t="s">
        <v>3478</v>
      </c>
      <c r="L46" t="s">
        <v>3479</v>
      </c>
      <c r="M46" t="s">
        <v>3280</v>
      </c>
      <c r="N46" t="s">
        <v>1</v>
      </c>
      <c r="O46" s="9">
        <v>45666</v>
      </c>
      <c r="P46" t="s">
        <v>3480</v>
      </c>
      <c r="Q46" s="9">
        <v>45695</v>
      </c>
      <c r="R46" t="s">
        <v>3481</v>
      </c>
      <c r="S46" t="s">
        <v>502</v>
      </c>
      <c r="T46">
        <v>1</v>
      </c>
      <c r="U46" t="s">
        <v>8</v>
      </c>
      <c r="V46" t="s">
        <v>8</v>
      </c>
      <c r="W46" t="s">
        <v>4</v>
      </c>
      <c r="X46" t="s">
        <v>3403</v>
      </c>
    </row>
    <row r="47" spans="1:24" x14ac:dyDescent="0.25">
      <c r="A47" t="s">
        <v>3433</v>
      </c>
      <c r="B47" s="9">
        <v>45700</v>
      </c>
      <c r="C47" t="s">
        <v>12</v>
      </c>
      <c r="D47" s="19" t="s">
        <v>47</v>
      </c>
      <c r="E47" s="19" t="s">
        <v>48</v>
      </c>
      <c r="F47" t="s">
        <v>4</v>
      </c>
      <c r="G47" t="s">
        <v>5</v>
      </c>
      <c r="H47">
        <v>4308.16</v>
      </c>
      <c r="I47" t="s">
        <v>3482</v>
      </c>
      <c r="J47" t="s">
        <v>487</v>
      </c>
      <c r="K47" t="s">
        <v>3483</v>
      </c>
      <c r="L47" t="s">
        <v>3484</v>
      </c>
      <c r="M47" t="s">
        <v>3280</v>
      </c>
      <c r="N47" t="s">
        <v>1</v>
      </c>
      <c r="O47" s="9">
        <v>45699</v>
      </c>
      <c r="P47" t="s">
        <v>3485</v>
      </c>
      <c r="Q47" s="9">
        <v>45700</v>
      </c>
      <c r="R47" t="s">
        <v>3486</v>
      </c>
      <c r="S47" t="s">
        <v>502</v>
      </c>
      <c r="T47">
        <v>1</v>
      </c>
      <c r="U47" t="s">
        <v>8</v>
      </c>
      <c r="V47" t="s">
        <v>8</v>
      </c>
      <c r="W47" t="s">
        <v>4</v>
      </c>
      <c r="X47" t="s">
        <v>3403</v>
      </c>
    </row>
    <row r="48" spans="1:24" x14ac:dyDescent="0.25">
      <c r="A48" t="s">
        <v>3433</v>
      </c>
      <c r="B48" s="9">
        <v>45743</v>
      </c>
      <c r="C48" t="s">
        <v>17</v>
      </c>
      <c r="D48" s="19" t="s">
        <v>47</v>
      </c>
      <c r="E48" s="19" t="s">
        <v>48</v>
      </c>
      <c r="F48" t="s">
        <v>4</v>
      </c>
      <c r="G48" t="s">
        <v>5</v>
      </c>
      <c r="H48">
        <v>4308.16</v>
      </c>
      <c r="I48" t="s">
        <v>3513</v>
      </c>
      <c r="J48" t="s">
        <v>487</v>
      </c>
      <c r="K48" t="s">
        <v>3514</v>
      </c>
      <c r="L48" t="s">
        <v>3515</v>
      </c>
      <c r="M48" t="s">
        <v>3280</v>
      </c>
      <c r="N48" t="s">
        <v>1</v>
      </c>
      <c r="O48">
        <v>45727</v>
      </c>
      <c r="P48" t="s">
        <v>3516</v>
      </c>
      <c r="Q48">
        <v>45743</v>
      </c>
      <c r="R48" t="s">
        <v>3517</v>
      </c>
      <c r="S48" t="s">
        <v>502</v>
      </c>
      <c r="T48">
        <v>1</v>
      </c>
      <c r="U48" t="s">
        <v>8</v>
      </c>
      <c r="V48" t="s">
        <v>8</v>
      </c>
      <c r="W48" t="s">
        <v>4</v>
      </c>
      <c r="X48" t="s">
        <v>3403</v>
      </c>
    </row>
    <row r="49" spans="1:24" x14ac:dyDescent="0.25">
      <c r="A49" t="s">
        <v>3433</v>
      </c>
      <c r="B49" s="9">
        <v>45761</v>
      </c>
      <c r="C49" t="s">
        <v>43</v>
      </c>
      <c r="D49" t="s">
        <v>2</v>
      </c>
      <c r="E49" t="s">
        <v>3</v>
      </c>
      <c r="F49" t="s">
        <v>4</v>
      </c>
      <c r="G49" t="s">
        <v>5</v>
      </c>
      <c r="H49">
        <v>4308.16</v>
      </c>
      <c r="I49" t="s">
        <v>3547</v>
      </c>
      <c r="J49" t="s">
        <v>487</v>
      </c>
      <c r="K49" t="s">
        <v>3548</v>
      </c>
      <c r="L49" t="s">
        <v>3549</v>
      </c>
      <c r="M49" t="s">
        <v>3550</v>
      </c>
      <c r="N49" t="s">
        <v>1</v>
      </c>
      <c r="O49">
        <v>45749</v>
      </c>
      <c r="P49" t="s">
        <v>3551</v>
      </c>
      <c r="Q49">
        <v>45761</v>
      </c>
      <c r="R49" t="s">
        <v>3552</v>
      </c>
      <c r="S49" t="s">
        <v>502</v>
      </c>
      <c r="T49">
        <v>1</v>
      </c>
      <c r="U49" t="s">
        <v>8</v>
      </c>
      <c r="V49" t="s">
        <v>8</v>
      </c>
      <c r="W49" t="s">
        <v>4</v>
      </c>
      <c r="X49" t="s">
        <v>3</v>
      </c>
    </row>
    <row r="50" spans="1:24" x14ac:dyDescent="0.25">
      <c r="A50" t="s">
        <v>3433</v>
      </c>
      <c r="B50" s="2">
        <v>45835</v>
      </c>
      <c r="C50" t="s">
        <v>22</v>
      </c>
      <c r="D50" s="19" t="s">
        <v>47</v>
      </c>
      <c r="E50" s="19" t="s">
        <v>48</v>
      </c>
      <c r="F50" t="s">
        <v>4</v>
      </c>
      <c r="G50" t="s">
        <v>5</v>
      </c>
      <c r="H50" s="3">
        <v>4308.16</v>
      </c>
      <c r="I50" t="s">
        <v>3643</v>
      </c>
      <c r="J50" t="s">
        <v>487</v>
      </c>
      <c r="K50" t="s">
        <v>3644</v>
      </c>
      <c r="L50" t="s">
        <v>3645</v>
      </c>
      <c r="M50" t="s">
        <v>21</v>
      </c>
      <c r="N50" t="s">
        <v>1</v>
      </c>
      <c r="O50" s="2">
        <v>45789</v>
      </c>
      <c r="P50" t="s">
        <v>3646</v>
      </c>
      <c r="Q50" s="2">
        <v>45835</v>
      </c>
      <c r="R50" t="s">
        <v>3647</v>
      </c>
      <c r="S50" t="s">
        <v>502</v>
      </c>
      <c r="T50" s="17">
        <v>1</v>
      </c>
      <c r="U50" t="s">
        <v>8</v>
      </c>
      <c r="V50" t="s">
        <v>8</v>
      </c>
      <c r="W50" t="s">
        <v>4</v>
      </c>
      <c r="X50" t="s">
        <v>3403</v>
      </c>
    </row>
    <row r="51" spans="1:24" x14ac:dyDescent="0.25">
      <c r="A51" t="s">
        <v>3433</v>
      </c>
      <c r="B51" s="9">
        <v>45873</v>
      </c>
      <c r="C51" t="s">
        <v>82</v>
      </c>
      <c r="D51" t="s">
        <v>47</v>
      </c>
      <c r="E51" t="s">
        <v>48</v>
      </c>
      <c r="F51" t="s">
        <v>4</v>
      </c>
      <c r="G51" t="s">
        <v>5</v>
      </c>
      <c r="H51">
        <v>4308.16</v>
      </c>
      <c r="I51" t="s">
        <v>3753</v>
      </c>
      <c r="J51" t="s">
        <v>3754</v>
      </c>
      <c r="K51" t="s">
        <v>3755</v>
      </c>
      <c r="L51" t="s">
        <v>3756</v>
      </c>
      <c r="M51" t="s">
        <v>2493</v>
      </c>
      <c r="N51" t="s">
        <v>1</v>
      </c>
      <c r="O51">
        <v>45825</v>
      </c>
      <c r="P51" t="s">
        <v>3757</v>
      </c>
      <c r="Q51">
        <v>45873</v>
      </c>
      <c r="R51" t="s">
        <v>3758</v>
      </c>
      <c r="S51" t="s">
        <v>502</v>
      </c>
      <c r="T51">
        <v>1</v>
      </c>
      <c r="U51" t="s">
        <v>8</v>
      </c>
      <c r="V51" t="s">
        <v>8</v>
      </c>
      <c r="W51" t="s">
        <v>4</v>
      </c>
      <c r="X51" t="s">
        <v>3403</v>
      </c>
    </row>
    <row r="52" spans="1:24" x14ac:dyDescent="0.25">
      <c r="A52" t="s">
        <v>3433</v>
      </c>
      <c r="B52" s="9">
        <v>45873</v>
      </c>
      <c r="C52" t="s">
        <v>82</v>
      </c>
      <c r="D52" t="s">
        <v>47</v>
      </c>
      <c r="E52" t="s">
        <v>48</v>
      </c>
      <c r="F52" t="s">
        <v>4</v>
      </c>
      <c r="G52" t="s">
        <v>5</v>
      </c>
      <c r="H52">
        <v>4308.16</v>
      </c>
      <c r="I52" t="s">
        <v>3759</v>
      </c>
      <c r="J52" t="s">
        <v>3754</v>
      </c>
      <c r="K52" t="s">
        <v>3760</v>
      </c>
      <c r="L52" t="s">
        <v>3761</v>
      </c>
      <c r="M52" t="s">
        <v>2493</v>
      </c>
      <c r="N52" t="s">
        <v>1</v>
      </c>
      <c r="O52">
        <v>45853</v>
      </c>
      <c r="P52" t="s">
        <v>3762</v>
      </c>
      <c r="Q52">
        <v>45873</v>
      </c>
      <c r="R52" t="s">
        <v>3763</v>
      </c>
      <c r="S52" t="s">
        <v>502</v>
      </c>
      <c r="T52">
        <v>1</v>
      </c>
      <c r="U52" t="s">
        <v>8</v>
      </c>
      <c r="V52" t="s">
        <v>8</v>
      </c>
      <c r="W52" t="s">
        <v>4</v>
      </c>
      <c r="X52" t="s">
        <v>3403</v>
      </c>
    </row>
    <row r="53" spans="1:24" x14ac:dyDescent="0.25">
      <c r="A53" t="s">
        <v>3433</v>
      </c>
      <c r="B53" s="9">
        <v>45887</v>
      </c>
      <c r="C53" t="s">
        <v>82</v>
      </c>
      <c r="D53" t="s">
        <v>673</v>
      </c>
      <c r="E53" t="s">
        <v>674</v>
      </c>
      <c r="F53" t="s">
        <v>4</v>
      </c>
      <c r="G53" t="s">
        <v>5</v>
      </c>
      <c r="H53">
        <v>1211.9100000000001</v>
      </c>
      <c r="I53" t="s">
        <v>3764</v>
      </c>
      <c r="J53" t="s">
        <v>3754</v>
      </c>
      <c r="K53" t="s">
        <v>8</v>
      </c>
      <c r="L53" t="s">
        <v>3765</v>
      </c>
      <c r="M53" t="s">
        <v>29</v>
      </c>
      <c r="N53" t="s">
        <v>1</v>
      </c>
      <c r="O53">
        <v>45861</v>
      </c>
      <c r="P53" t="s">
        <v>3766</v>
      </c>
      <c r="Q53">
        <v>45887</v>
      </c>
      <c r="R53" t="s">
        <v>3767</v>
      </c>
      <c r="S53" t="s">
        <v>8</v>
      </c>
      <c r="T53">
        <v>0</v>
      </c>
      <c r="U53" t="s">
        <v>8</v>
      </c>
      <c r="V53" t="s">
        <v>8</v>
      </c>
      <c r="W53" t="s">
        <v>4</v>
      </c>
      <c r="X53" t="s">
        <v>674</v>
      </c>
    </row>
    <row r="54" spans="1:24" x14ac:dyDescent="0.25">
      <c r="A54" t="s">
        <v>3433</v>
      </c>
      <c r="B54" s="9">
        <v>45889</v>
      </c>
      <c r="C54" t="s">
        <v>82</v>
      </c>
      <c r="D54" t="s">
        <v>47</v>
      </c>
      <c r="E54" t="s">
        <v>48</v>
      </c>
      <c r="F54" t="s">
        <v>4</v>
      </c>
      <c r="G54" t="s">
        <v>5</v>
      </c>
      <c r="H54">
        <v>4308.16</v>
      </c>
      <c r="I54" t="s">
        <v>3768</v>
      </c>
      <c r="J54" t="s">
        <v>3754</v>
      </c>
      <c r="K54" t="s">
        <v>3769</v>
      </c>
      <c r="L54" t="s">
        <v>3770</v>
      </c>
      <c r="M54" t="s">
        <v>2493</v>
      </c>
      <c r="N54" t="s">
        <v>1</v>
      </c>
      <c r="O54">
        <v>45887</v>
      </c>
      <c r="P54" t="s">
        <v>3771</v>
      </c>
      <c r="Q54">
        <v>45889</v>
      </c>
      <c r="R54" t="s">
        <v>3772</v>
      </c>
      <c r="S54" t="s">
        <v>502</v>
      </c>
      <c r="T54">
        <v>1</v>
      </c>
      <c r="U54" t="s">
        <v>8</v>
      </c>
      <c r="V54" t="s">
        <v>8</v>
      </c>
      <c r="W54" t="s">
        <v>4</v>
      </c>
      <c r="X54" t="s">
        <v>3403</v>
      </c>
    </row>
    <row r="55" spans="1:24" x14ac:dyDescent="0.25">
      <c r="A55" t="s">
        <v>3433</v>
      </c>
      <c r="B55" s="9">
        <v>45918</v>
      </c>
      <c r="C55" t="s">
        <v>87</v>
      </c>
      <c r="D55" t="s">
        <v>47</v>
      </c>
      <c r="E55" t="s">
        <v>48</v>
      </c>
      <c r="F55" t="s">
        <v>4</v>
      </c>
      <c r="G55" t="s">
        <v>5</v>
      </c>
      <c r="H55">
        <v>4308.16</v>
      </c>
      <c r="I55" t="s">
        <v>3818</v>
      </c>
      <c r="J55" t="s">
        <v>3754</v>
      </c>
      <c r="K55" t="s">
        <v>3819</v>
      </c>
      <c r="L55" t="s">
        <v>3820</v>
      </c>
      <c r="M55" t="s">
        <v>2493</v>
      </c>
      <c r="N55" t="s">
        <v>1</v>
      </c>
      <c r="O55">
        <v>45916</v>
      </c>
      <c r="P55" t="s">
        <v>3821</v>
      </c>
      <c r="Q55">
        <v>45918</v>
      </c>
      <c r="R55" t="s">
        <v>3822</v>
      </c>
      <c r="S55" t="s">
        <v>502</v>
      </c>
      <c r="T55">
        <v>1</v>
      </c>
      <c r="U55" t="s">
        <v>8</v>
      </c>
      <c r="V55" t="s">
        <v>8</v>
      </c>
      <c r="W55" t="s">
        <v>4</v>
      </c>
      <c r="X55" t="s">
        <v>3403</v>
      </c>
    </row>
    <row r="56" spans="1:24" x14ac:dyDescent="0.25">
      <c r="A56" t="s">
        <v>3433</v>
      </c>
      <c r="B56" s="9">
        <v>45943</v>
      </c>
      <c r="C56" t="s">
        <v>30</v>
      </c>
      <c r="D56" t="s">
        <v>47</v>
      </c>
      <c r="E56" t="s">
        <v>48</v>
      </c>
      <c r="F56" t="s">
        <v>4</v>
      </c>
      <c r="G56" t="s">
        <v>5</v>
      </c>
      <c r="H56">
        <v>4308.16</v>
      </c>
      <c r="I56" t="s">
        <v>3897</v>
      </c>
      <c r="J56" t="s">
        <v>3754</v>
      </c>
      <c r="K56" t="s">
        <v>3898</v>
      </c>
      <c r="L56" t="s">
        <v>3899</v>
      </c>
      <c r="M56" t="s">
        <v>2493</v>
      </c>
      <c r="N56" t="s">
        <v>1</v>
      </c>
      <c r="O56">
        <v>45939</v>
      </c>
      <c r="P56" t="s">
        <v>3900</v>
      </c>
      <c r="Q56">
        <v>45943</v>
      </c>
      <c r="R56" t="s">
        <v>3901</v>
      </c>
      <c r="S56" t="s">
        <v>502</v>
      </c>
      <c r="T56">
        <v>1</v>
      </c>
      <c r="U56" t="s">
        <v>8</v>
      </c>
      <c r="V56" t="s">
        <v>8</v>
      </c>
      <c r="W56" t="s">
        <v>4</v>
      </c>
      <c r="X56" t="s">
        <v>3403</v>
      </c>
    </row>
    <row r="57" spans="1:24" x14ac:dyDescent="0.25">
      <c r="A57" t="s">
        <v>3912</v>
      </c>
      <c r="B57" s="9">
        <v>46037</v>
      </c>
      <c r="C57" t="s">
        <v>1</v>
      </c>
      <c r="D57" t="s">
        <v>47</v>
      </c>
      <c r="E57" t="s">
        <v>48</v>
      </c>
      <c r="F57" t="s">
        <v>4</v>
      </c>
      <c r="G57" t="s">
        <v>5</v>
      </c>
      <c r="H57">
        <v>4308.16</v>
      </c>
      <c r="I57" t="s">
        <v>3933</v>
      </c>
      <c r="J57" t="s">
        <v>3754</v>
      </c>
      <c r="K57" t="s">
        <v>3934</v>
      </c>
      <c r="L57" t="s">
        <v>3935</v>
      </c>
      <c r="M57" t="s">
        <v>3886</v>
      </c>
      <c r="N57" t="s">
        <v>1</v>
      </c>
      <c r="O57">
        <v>46035</v>
      </c>
      <c r="P57" t="s">
        <v>3936</v>
      </c>
      <c r="Q57">
        <v>46037</v>
      </c>
      <c r="R57" t="s">
        <v>3937</v>
      </c>
      <c r="S57" t="s">
        <v>502</v>
      </c>
      <c r="T57">
        <v>1</v>
      </c>
      <c r="U57" t="s">
        <v>8</v>
      </c>
      <c r="V57" t="s">
        <v>8</v>
      </c>
      <c r="W57" t="s">
        <v>4</v>
      </c>
      <c r="X57" t="s">
        <v>3403</v>
      </c>
    </row>
    <row r="58" spans="1:24" x14ac:dyDescent="0.25">
      <c r="A58" t="s">
        <v>3912</v>
      </c>
      <c r="B58" s="9">
        <v>46077</v>
      </c>
      <c r="C58" t="s">
        <v>12</v>
      </c>
      <c r="D58" t="s">
        <v>47</v>
      </c>
      <c r="E58" t="s">
        <v>48</v>
      </c>
      <c r="F58" t="s">
        <v>4</v>
      </c>
      <c r="G58" t="s">
        <v>5</v>
      </c>
      <c r="H58">
        <v>4308.16</v>
      </c>
      <c r="I58" t="s">
        <v>3938</v>
      </c>
      <c r="J58" t="s">
        <v>3754</v>
      </c>
      <c r="K58" t="s">
        <v>3939</v>
      </c>
      <c r="L58" t="s">
        <v>3940</v>
      </c>
      <c r="M58" t="s">
        <v>29</v>
      </c>
      <c r="N58" t="s">
        <v>1</v>
      </c>
      <c r="O58">
        <v>46073</v>
      </c>
      <c r="P58" t="s">
        <v>3941</v>
      </c>
      <c r="Q58">
        <v>46077</v>
      </c>
      <c r="R58" t="s">
        <v>3942</v>
      </c>
      <c r="S58" t="s">
        <v>502</v>
      </c>
      <c r="T58">
        <v>1</v>
      </c>
      <c r="U58" t="s">
        <v>8</v>
      </c>
      <c r="V58" t="s">
        <v>8</v>
      </c>
      <c r="W58" t="s">
        <v>4</v>
      </c>
      <c r="X58" t="s">
        <v>3403</v>
      </c>
    </row>
    <row r="59" spans="1:24" x14ac:dyDescent="0.25">
      <c r="A59" t="s">
        <v>3912</v>
      </c>
      <c r="B59" s="2">
        <v>46111</v>
      </c>
      <c r="C59" t="s">
        <v>17</v>
      </c>
      <c r="D59" t="s">
        <v>47</v>
      </c>
      <c r="E59" t="s">
        <v>48</v>
      </c>
      <c r="F59" t="s">
        <v>4</v>
      </c>
      <c r="G59" t="s">
        <v>5</v>
      </c>
      <c r="H59" s="3">
        <v>4308.16</v>
      </c>
      <c r="I59" t="s">
        <v>4039</v>
      </c>
      <c r="J59" t="s">
        <v>3754</v>
      </c>
      <c r="K59" t="s">
        <v>4040</v>
      </c>
      <c r="L59" t="s">
        <v>4041</v>
      </c>
      <c r="M59" t="s">
        <v>2429</v>
      </c>
      <c r="N59" t="s">
        <v>1</v>
      </c>
      <c r="O59" s="2">
        <v>46101</v>
      </c>
      <c r="P59" t="s">
        <v>4042</v>
      </c>
      <c r="Q59" s="2">
        <v>46111</v>
      </c>
      <c r="R59" t="s">
        <v>4043</v>
      </c>
      <c r="S59" t="s">
        <v>502</v>
      </c>
      <c r="T59" s="17">
        <v>1</v>
      </c>
      <c r="U59" t="s">
        <v>8</v>
      </c>
      <c r="V59" t="s">
        <v>8</v>
      </c>
      <c r="W59" t="s">
        <v>4</v>
      </c>
      <c r="X59" t="s">
        <v>3403</v>
      </c>
    </row>
    <row r="60" spans="1:24" x14ac:dyDescent="0.25">
      <c r="A60" t="s">
        <v>3912</v>
      </c>
      <c r="B60" s="9">
        <v>46129</v>
      </c>
      <c r="C60" t="s">
        <v>43</v>
      </c>
      <c r="D60" t="s">
        <v>47</v>
      </c>
      <c r="E60" t="s">
        <v>48</v>
      </c>
      <c r="F60" t="s">
        <v>4</v>
      </c>
      <c r="G60" t="s">
        <v>5</v>
      </c>
      <c r="H60">
        <v>4308.16</v>
      </c>
      <c r="I60" t="s">
        <v>4069</v>
      </c>
      <c r="J60" t="s">
        <v>3754</v>
      </c>
      <c r="K60" t="s">
        <v>4070</v>
      </c>
      <c r="L60" t="s">
        <v>4071</v>
      </c>
      <c r="M60" t="s">
        <v>3886</v>
      </c>
      <c r="N60" t="s">
        <v>1</v>
      </c>
      <c r="O60" s="9">
        <v>46121</v>
      </c>
      <c r="P60" t="s">
        <v>4072</v>
      </c>
      <c r="Q60" s="9">
        <v>46129</v>
      </c>
      <c r="R60" t="s">
        <v>4073</v>
      </c>
      <c r="S60" t="s">
        <v>502</v>
      </c>
      <c r="T60">
        <v>1</v>
      </c>
      <c r="U60" t="s">
        <v>8</v>
      </c>
      <c r="V60" t="s">
        <v>8</v>
      </c>
      <c r="W60" t="s">
        <v>4</v>
      </c>
      <c r="X60" t="s">
        <v>3403</v>
      </c>
    </row>
    <row r="61" spans="1:24" x14ac:dyDescent="0.25">
      <c r="A61" t="s">
        <v>3912</v>
      </c>
      <c r="B61" s="9">
        <v>46160</v>
      </c>
      <c r="C61" t="s">
        <v>77</v>
      </c>
      <c r="D61" t="s">
        <v>47</v>
      </c>
      <c r="E61" t="s">
        <v>48</v>
      </c>
      <c r="F61" t="s">
        <v>4</v>
      </c>
      <c r="G61" t="s">
        <v>5</v>
      </c>
      <c r="H61">
        <v>4308.16</v>
      </c>
      <c r="I61" t="s">
        <v>4092</v>
      </c>
      <c r="J61" t="s">
        <v>3754</v>
      </c>
      <c r="K61" t="s">
        <v>4093</v>
      </c>
      <c r="L61" t="s">
        <v>4094</v>
      </c>
      <c r="M61" t="s">
        <v>3886</v>
      </c>
      <c r="N61" t="s">
        <v>1</v>
      </c>
      <c r="O61" s="9">
        <v>46153</v>
      </c>
      <c r="P61" t="s">
        <v>4095</v>
      </c>
      <c r="Q61" s="9">
        <v>46160</v>
      </c>
      <c r="R61" t="s">
        <v>4096</v>
      </c>
      <c r="S61" t="s">
        <v>502</v>
      </c>
      <c r="T61">
        <v>1</v>
      </c>
      <c r="U61" t="s">
        <v>8</v>
      </c>
      <c r="V61" t="s">
        <v>8</v>
      </c>
      <c r="W61" t="s">
        <v>4</v>
      </c>
      <c r="X61" t="s">
        <v>3403</v>
      </c>
    </row>
  </sheetData>
  <autoFilter ref="A1:P8" xr:uid="{86B26CAC-21D5-44FF-A220-2A064E8373D0}">
    <sortState xmlns:xlrd2="http://schemas.microsoft.com/office/spreadsheetml/2017/richdata2" ref="A2:P12">
      <sortCondition ref="B1:B8"/>
    </sortState>
  </autoFilter>
  <pageMargins left="0.75" right="0.75" top="1" bottom="1" header="0.5" footer="0.5"/>
  <pageSetup paperSize="9" orientation="portrait" horizontalDpi="90" verticalDpi="90" r:id="rId1"/>
  <headerFooter alignWithMargins="0">
    <oddFooter>&amp;R&amp;1#&amp;"Calibri"&amp;22&amp;KFF8939RESTRICTED</oddFooter>
  </headerFooter>
  <customProperties>
    <customPr name="_pios_id" r:id="rId2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0C4B1-25E1-4C47-8BDD-E864C0633D15}">
  <sheetPr codeName="Planilha7"/>
  <dimension ref="A1:Z236"/>
  <sheetViews>
    <sheetView topLeftCell="A210" zoomScale="70" zoomScaleNormal="70" workbookViewId="0">
      <selection activeCell="P231" sqref="P231:P236"/>
    </sheetView>
  </sheetViews>
  <sheetFormatPr defaultRowHeight="12.5" outlineLevelRow="2" x14ac:dyDescent="0.25"/>
  <cols>
    <col min="1" max="2" width="13" bestFit="1" customWidth="1"/>
    <col min="3" max="3" width="8" bestFit="1" customWidth="1"/>
    <col min="4" max="4" width="14" bestFit="1" customWidth="1"/>
    <col min="5" max="5" width="22" bestFit="1" customWidth="1"/>
    <col min="6" max="6" width="13" bestFit="1" customWidth="1"/>
    <col min="7" max="7" width="22" bestFit="1" customWidth="1"/>
    <col min="8" max="8" width="17" bestFit="1" customWidth="1"/>
    <col min="9" max="9" width="52" bestFit="1" customWidth="1"/>
    <col min="10" max="10" width="37" bestFit="1" customWidth="1"/>
    <col min="11" max="11" width="42" bestFit="1" customWidth="1"/>
    <col min="12" max="12" width="19.453125" bestFit="1" customWidth="1"/>
    <col min="13" max="13" width="17" bestFit="1" customWidth="1"/>
    <col min="14" max="14" width="12" bestFit="1" customWidth="1"/>
    <col min="15" max="15" width="13" bestFit="1" customWidth="1"/>
    <col min="16" max="16" width="14.453125" customWidth="1"/>
    <col min="17" max="17" width="17.453125" customWidth="1"/>
    <col min="18" max="18" width="41.36328125" bestFit="1" customWidth="1"/>
    <col min="19" max="19" width="48.54296875" customWidth="1"/>
    <col min="20" max="20" width="41.36328125" bestFit="1" customWidth="1"/>
    <col min="22" max="22" width="13.54296875" customWidth="1"/>
    <col min="23" max="24" width="12.54296875" bestFit="1" customWidth="1"/>
  </cols>
  <sheetData>
    <row r="1" spans="1:24" ht="16" customHeight="1" x14ac:dyDescent="0.25">
      <c r="A1" s="1" t="s">
        <v>2304</v>
      </c>
      <c r="B1" s="1" t="s">
        <v>2305</v>
      </c>
      <c r="C1" s="1" t="s">
        <v>2306</v>
      </c>
      <c r="D1" s="1" t="s">
        <v>2307</v>
      </c>
      <c r="E1" s="1" t="s">
        <v>2308</v>
      </c>
      <c r="F1" s="1" t="s">
        <v>2309</v>
      </c>
      <c r="G1" s="1" t="s">
        <v>2310</v>
      </c>
      <c r="H1" s="1" t="s">
        <v>2311</v>
      </c>
      <c r="I1" s="1" t="s">
        <v>2312</v>
      </c>
      <c r="J1" s="1" t="s">
        <v>2313</v>
      </c>
      <c r="K1" s="4" t="s">
        <v>2315</v>
      </c>
      <c r="L1" s="1" t="s">
        <v>2317</v>
      </c>
      <c r="M1" s="1" t="s">
        <v>2318</v>
      </c>
      <c r="N1" s="1" t="s">
        <v>2319</v>
      </c>
      <c r="O1" s="1" t="s">
        <v>2595</v>
      </c>
      <c r="P1" s="1" t="s">
        <v>2596</v>
      </c>
      <c r="Q1" s="1" t="s">
        <v>2597</v>
      </c>
      <c r="R1" s="1" t="s">
        <v>2598</v>
      </c>
      <c r="S1" s="1" t="s">
        <v>2599</v>
      </c>
      <c r="T1" s="1" t="s">
        <v>2715</v>
      </c>
      <c r="U1" s="1" t="s">
        <v>2716</v>
      </c>
      <c r="V1" s="1" t="s">
        <v>2717</v>
      </c>
      <c r="W1" s="1" t="s">
        <v>3475</v>
      </c>
      <c r="X1" s="1" t="s">
        <v>3476</v>
      </c>
    </row>
    <row r="2" spans="1:24" x14ac:dyDescent="0.25">
      <c r="A2" t="s">
        <v>0</v>
      </c>
      <c r="B2" s="2">
        <v>44574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3">
        <v>8719.83</v>
      </c>
      <c r="I2" t="s">
        <v>521</v>
      </c>
      <c r="J2" t="s">
        <v>460</v>
      </c>
      <c r="K2" t="s">
        <v>8</v>
      </c>
      <c r="L2" t="s">
        <v>522</v>
      </c>
      <c r="M2" t="s">
        <v>523</v>
      </c>
      <c r="N2" t="s">
        <v>524</v>
      </c>
      <c r="O2" t="s">
        <v>1</v>
      </c>
    </row>
    <row r="3" spans="1:24" x14ac:dyDescent="0.25">
      <c r="A3" t="s">
        <v>0</v>
      </c>
      <c r="B3" s="2">
        <v>44599</v>
      </c>
      <c r="C3" t="s">
        <v>12</v>
      </c>
      <c r="D3" t="s">
        <v>2</v>
      </c>
      <c r="E3" t="s">
        <v>3</v>
      </c>
      <c r="F3" t="s">
        <v>4</v>
      </c>
      <c r="G3" t="s">
        <v>5</v>
      </c>
      <c r="H3" s="3">
        <v>8719.83</v>
      </c>
      <c r="I3" t="s">
        <v>525</v>
      </c>
      <c r="J3" t="s">
        <v>460</v>
      </c>
      <c r="K3" t="s">
        <v>8</v>
      </c>
      <c r="L3" t="s">
        <v>526</v>
      </c>
      <c r="M3" t="s">
        <v>527</v>
      </c>
      <c r="N3" t="s">
        <v>21</v>
      </c>
      <c r="O3" t="s">
        <v>1</v>
      </c>
    </row>
    <row r="4" spans="1:24" x14ac:dyDescent="0.25">
      <c r="A4" t="s">
        <v>0</v>
      </c>
      <c r="B4" s="9">
        <v>44621</v>
      </c>
      <c r="C4" s="5" t="s">
        <v>17</v>
      </c>
      <c r="D4" t="s">
        <v>2</v>
      </c>
      <c r="E4" t="s">
        <v>3</v>
      </c>
      <c r="F4" t="s">
        <v>4</v>
      </c>
      <c r="G4" t="s">
        <v>5</v>
      </c>
      <c r="H4">
        <v>0</v>
      </c>
      <c r="I4" t="s">
        <v>481</v>
      </c>
      <c r="J4" t="s">
        <v>460</v>
      </c>
    </row>
    <row r="5" spans="1:24" x14ac:dyDescent="0.25">
      <c r="A5" t="s">
        <v>0</v>
      </c>
      <c r="B5" s="2">
        <v>44665</v>
      </c>
      <c r="C5" t="s">
        <v>43</v>
      </c>
      <c r="D5" t="s">
        <v>2</v>
      </c>
      <c r="E5" t="s">
        <v>3</v>
      </c>
      <c r="F5" t="s">
        <v>4</v>
      </c>
      <c r="G5" t="s">
        <v>5</v>
      </c>
      <c r="H5" s="3">
        <v>9557.0499999999993</v>
      </c>
      <c r="I5" t="s">
        <v>459</v>
      </c>
      <c r="J5" t="s">
        <v>460</v>
      </c>
      <c r="K5" t="s">
        <v>8</v>
      </c>
      <c r="L5" t="s">
        <v>461</v>
      </c>
      <c r="M5" t="s">
        <v>462</v>
      </c>
      <c r="N5" t="s">
        <v>29</v>
      </c>
      <c r="O5" t="s">
        <v>1</v>
      </c>
    </row>
    <row r="6" spans="1:24" x14ac:dyDescent="0.25">
      <c r="A6" t="s">
        <v>0</v>
      </c>
      <c r="B6" s="2">
        <v>44665</v>
      </c>
      <c r="C6" t="s">
        <v>43</v>
      </c>
      <c r="D6" t="s">
        <v>2</v>
      </c>
      <c r="E6" t="s">
        <v>3</v>
      </c>
      <c r="F6" t="s">
        <v>4</v>
      </c>
      <c r="G6" t="s">
        <v>5</v>
      </c>
      <c r="H6" s="3">
        <v>9557.0499999999993</v>
      </c>
      <c r="I6" t="s">
        <v>463</v>
      </c>
      <c r="J6" t="s">
        <v>460</v>
      </c>
      <c r="K6" t="s">
        <v>8</v>
      </c>
      <c r="L6" t="s">
        <v>464</v>
      </c>
      <c r="M6" t="s">
        <v>465</v>
      </c>
      <c r="N6" t="s">
        <v>29</v>
      </c>
      <c r="O6" t="s">
        <v>1</v>
      </c>
    </row>
    <row r="7" spans="1:24" x14ac:dyDescent="0.25">
      <c r="A7" t="s">
        <v>0</v>
      </c>
      <c r="B7" s="2">
        <v>44678</v>
      </c>
      <c r="C7" t="s">
        <v>43</v>
      </c>
      <c r="D7" t="s">
        <v>591</v>
      </c>
      <c r="E7" t="s">
        <v>592</v>
      </c>
      <c r="F7" t="s">
        <v>4</v>
      </c>
      <c r="G7" t="s">
        <v>5</v>
      </c>
      <c r="H7" s="3">
        <v>186.9</v>
      </c>
      <c r="I7" t="s">
        <v>1793</v>
      </c>
      <c r="J7" t="s">
        <v>460</v>
      </c>
      <c r="K7" t="s">
        <v>8</v>
      </c>
      <c r="L7" t="s">
        <v>8</v>
      </c>
      <c r="M7" t="s">
        <v>1794</v>
      </c>
      <c r="N7" t="s">
        <v>34</v>
      </c>
      <c r="O7" t="s">
        <v>12</v>
      </c>
    </row>
    <row r="8" spans="1:24" x14ac:dyDescent="0.25">
      <c r="A8" t="s">
        <v>0</v>
      </c>
      <c r="B8" s="2">
        <v>44697</v>
      </c>
      <c r="C8" t="s">
        <v>77</v>
      </c>
      <c r="D8" t="s">
        <v>2</v>
      </c>
      <c r="E8" t="s">
        <v>3</v>
      </c>
      <c r="F8" t="s">
        <v>4</v>
      </c>
      <c r="G8" t="s">
        <v>5</v>
      </c>
      <c r="H8" s="3">
        <v>2395.6</v>
      </c>
      <c r="I8" t="s">
        <v>902</v>
      </c>
      <c r="J8" t="s">
        <v>460</v>
      </c>
      <c r="K8" t="s">
        <v>8</v>
      </c>
      <c r="L8" t="s">
        <v>8</v>
      </c>
      <c r="M8" t="s">
        <v>903</v>
      </c>
      <c r="N8" t="s">
        <v>29</v>
      </c>
      <c r="O8" t="s">
        <v>12</v>
      </c>
    </row>
    <row r="9" spans="1:24" x14ac:dyDescent="0.25">
      <c r="A9" t="s">
        <v>0</v>
      </c>
      <c r="B9" s="2">
        <v>44699</v>
      </c>
      <c r="C9" t="s">
        <v>77</v>
      </c>
      <c r="D9" t="s">
        <v>2</v>
      </c>
      <c r="E9" t="s">
        <v>3</v>
      </c>
      <c r="F9" t="s">
        <v>4</v>
      </c>
      <c r="G9" t="s">
        <v>5</v>
      </c>
      <c r="H9" s="3">
        <v>9557.0499999999993</v>
      </c>
      <c r="I9" t="s">
        <v>466</v>
      </c>
      <c r="J9" t="s">
        <v>460</v>
      </c>
      <c r="K9" t="s">
        <v>8</v>
      </c>
      <c r="L9" t="s">
        <v>467</v>
      </c>
      <c r="M9" t="s">
        <v>468</v>
      </c>
      <c r="N9" t="s">
        <v>29</v>
      </c>
      <c r="O9" t="s">
        <v>1</v>
      </c>
    </row>
    <row r="10" spans="1:24" x14ac:dyDescent="0.25">
      <c r="A10" t="s">
        <v>0</v>
      </c>
      <c r="B10" s="2">
        <v>44725</v>
      </c>
      <c r="C10" t="s">
        <v>22</v>
      </c>
      <c r="D10" t="s">
        <v>2</v>
      </c>
      <c r="E10" t="s">
        <v>3</v>
      </c>
      <c r="F10" t="s">
        <v>4</v>
      </c>
      <c r="G10" t="s">
        <v>5</v>
      </c>
      <c r="H10" s="3">
        <v>9557.0499999999993</v>
      </c>
      <c r="I10" t="s">
        <v>469</v>
      </c>
      <c r="J10" t="s">
        <v>460</v>
      </c>
      <c r="K10" t="s">
        <v>8</v>
      </c>
      <c r="L10" t="s">
        <v>470</v>
      </c>
      <c r="M10" t="s">
        <v>471</v>
      </c>
      <c r="N10" t="s">
        <v>300</v>
      </c>
      <c r="O10" t="s">
        <v>1</v>
      </c>
    </row>
    <row r="11" spans="1:24" x14ac:dyDescent="0.25">
      <c r="A11" t="s">
        <v>0</v>
      </c>
      <c r="B11" s="2">
        <v>44733</v>
      </c>
      <c r="C11" t="s">
        <v>22</v>
      </c>
      <c r="D11" t="s">
        <v>2</v>
      </c>
      <c r="E11" t="s">
        <v>3</v>
      </c>
      <c r="F11" t="s">
        <v>4</v>
      </c>
      <c r="G11" t="s">
        <v>5</v>
      </c>
      <c r="H11" s="3">
        <v>1448.05</v>
      </c>
      <c r="I11" t="s">
        <v>1093</v>
      </c>
      <c r="J11" t="s">
        <v>460</v>
      </c>
      <c r="K11" t="s">
        <v>8</v>
      </c>
      <c r="L11" t="s">
        <v>8</v>
      </c>
      <c r="M11" t="s">
        <v>1094</v>
      </c>
      <c r="N11" t="s">
        <v>524</v>
      </c>
      <c r="O11" t="s">
        <v>17</v>
      </c>
    </row>
    <row r="12" spans="1:24" x14ac:dyDescent="0.25">
      <c r="A12" t="s">
        <v>0</v>
      </c>
      <c r="B12" s="2">
        <v>44733</v>
      </c>
      <c r="C12" t="s">
        <v>22</v>
      </c>
      <c r="D12" t="s">
        <v>2</v>
      </c>
      <c r="E12" t="s">
        <v>3</v>
      </c>
      <c r="F12" t="s">
        <v>4</v>
      </c>
      <c r="G12" t="s">
        <v>5</v>
      </c>
      <c r="H12" s="3">
        <v>188.7</v>
      </c>
      <c r="I12" t="s">
        <v>1093</v>
      </c>
      <c r="J12" t="s">
        <v>460</v>
      </c>
      <c r="K12" t="s">
        <v>8</v>
      </c>
      <c r="L12" t="s">
        <v>8</v>
      </c>
      <c r="M12" t="s">
        <v>1094</v>
      </c>
      <c r="N12" t="s">
        <v>524</v>
      </c>
      <c r="O12" t="s">
        <v>1</v>
      </c>
    </row>
    <row r="13" spans="1:24" x14ac:dyDescent="0.25">
      <c r="A13" t="s">
        <v>0</v>
      </c>
      <c r="B13" s="2">
        <v>44749</v>
      </c>
      <c r="C13" t="s">
        <v>72</v>
      </c>
      <c r="D13" t="s">
        <v>2</v>
      </c>
      <c r="E13" t="s">
        <v>3</v>
      </c>
      <c r="F13" t="s">
        <v>4</v>
      </c>
      <c r="G13" t="s">
        <v>5</v>
      </c>
      <c r="H13" s="3">
        <v>9557.0499999999993</v>
      </c>
      <c r="I13" t="s">
        <v>469</v>
      </c>
      <c r="J13" t="s">
        <v>460</v>
      </c>
      <c r="K13" t="s">
        <v>8</v>
      </c>
      <c r="L13" t="s">
        <v>472</v>
      </c>
      <c r="M13" t="s">
        <v>473</v>
      </c>
      <c r="N13" t="s">
        <v>34</v>
      </c>
      <c r="O13" t="s">
        <v>1</v>
      </c>
    </row>
    <row r="14" spans="1:24" x14ac:dyDescent="0.25">
      <c r="A14" t="s">
        <v>0</v>
      </c>
      <c r="B14" s="2">
        <v>44761</v>
      </c>
      <c r="C14" t="s">
        <v>72</v>
      </c>
      <c r="D14" t="s">
        <v>591</v>
      </c>
      <c r="E14" t="s">
        <v>592</v>
      </c>
      <c r="F14" t="s">
        <v>4</v>
      </c>
      <c r="G14" t="s">
        <v>5</v>
      </c>
      <c r="H14" s="3">
        <v>5453.12</v>
      </c>
      <c r="I14" t="s">
        <v>656</v>
      </c>
      <c r="J14" t="s">
        <v>460</v>
      </c>
      <c r="K14" t="s">
        <v>8</v>
      </c>
      <c r="L14" t="s">
        <v>8</v>
      </c>
      <c r="M14" t="s">
        <v>657</v>
      </c>
      <c r="N14" t="s">
        <v>34</v>
      </c>
      <c r="O14" t="s">
        <v>1</v>
      </c>
    </row>
    <row r="15" spans="1:24" x14ac:dyDescent="0.25">
      <c r="A15" t="s">
        <v>0</v>
      </c>
      <c r="B15" s="2">
        <v>44770</v>
      </c>
      <c r="C15" t="s">
        <v>72</v>
      </c>
      <c r="D15" t="s">
        <v>2</v>
      </c>
      <c r="E15" t="s">
        <v>3</v>
      </c>
      <c r="F15" t="s">
        <v>4</v>
      </c>
      <c r="G15" t="s">
        <v>5</v>
      </c>
      <c r="H15" s="3">
        <v>2287.38</v>
      </c>
      <c r="I15" t="s">
        <v>930</v>
      </c>
      <c r="J15" t="s">
        <v>460</v>
      </c>
      <c r="K15" t="s">
        <v>8</v>
      </c>
      <c r="L15" t="s">
        <v>8</v>
      </c>
      <c r="M15" t="s">
        <v>931</v>
      </c>
      <c r="N15" t="s">
        <v>21</v>
      </c>
      <c r="O15" t="s">
        <v>1</v>
      </c>
    </row>
    <row r="16" spans="1:24" x14ac:dyDescent="0.25">
      <c r="A16" t="s">
        <v>0</v>
      </c>
      <c r="B16" s="2">
        <v>44781</v>
      </c>
      <c r="C16" t="s">
        <v>82</v>
      </c>
      <c r="D16" t="s">
        <v>2</v>
      </c>
      <c r="E16" t="s">
        <v>3</v>
      </c>
      <c r="F16" t="s">
        <v>4</v>
      </c>
      <c r="G16" t="s">
        <v>5</v>
      </c>
      <c r="H16" s="3">
        <v>9557.0499999999993</v>
      </c>
      <c r="I16" t="s">
        <v>474</v>
      </c>
      <c r="J16" t="s">
        <v>460</v>
      </c>
      <c r="K16" t="s">
        <v>8</v>
      </c>
      <c r="L16" t="s">
        <v>475</v>
      </c>
      <c r="M16" t="s">
        <v>476</v>
      </c>
      <c r="N16" t="s">
        <v>34</v>
      </c>
      <c r="O16" t="s">
        <v>1</v>
      </c>
    </row>
    <row r="17" spans="1:19" x14ac:dyDescent="0.25">
      <c r="A17" t="s">
        <v>0</v>
      </c>
      <c r="B17" s="2">
        <v>44817</v>
      </c>
      <c r="C17" t="s">
        <v>87</v>
      </c>
      <c r="D17" t="s">
        <v>2</v>
      </c>
      <c r="E17" t="s">
        <v>3</v>
      </c>
      <c r="F17" t="s">
        <v>4</v>
      </c>
      <c r="G17" t="s">
        <v>5</v>
      </c>
      <c r="H17" s="3">
        <v>9557.0499999999993</v>
      </c>
      <c r="I17" t="s">
        <v>469</v>
      </c>
      <c r="J17" t="s">
        <v>460</v>
      </c>
      <c r="K17" t="s">
        <v>8</v>
      </c>
      <c r="L17" t="s">
        <v>477</v>
      </c>
      <c r="M17" t="s">
        <v>478</v>
      </c>
      <c r="N17" t="s">
        <v>34</v>
      </c>
      <c r="O17" t="s">
        <v>1</v>
      </c>
    </row>
    <row r="18" spans="1:19" x14ac:dyDescent="0.25">
      <c r="A18" t="s">
        <v>0</v>
      </c>
      <c r="B18" s="2">
        <v>44844</v>
      </c>
      <c r="C18" t="s">
        <v>30</v>
      </c>
      <c r="D18" t="s">
        <v>2</v>
      </c>
      <c r="E18" t="s">
        <v>3</v>
      </c>
      <c r="F18" t="s">
        <v>4</v>
      </c>
      <c r="G18" t="s">
        <v>5</v>
      </c>
      <c r="H18" s="3">
        <v>9557.0499999999993</v>
      </c>
      <c r="I18" t="s">
        <v>469</v>
      </c>
      <c r="J18" t="s">
        <v>460</v>
      </c>
      <c r="K18" t="s">
        <v>8</v>
      </c>
      <c r="L18" t="s">
        <v>479</v>
      </c>
      <c r="M18" t="s">
        <v>480</v>
      </c>
      <c r="N18" t="s">
        <v>16</v>
      </c>
      <c r="O18" t="s">
        <v>1</v>
      </c>
    </row>
    <row r="19" spans="1:19" x14ac:dyDescent="0.25">
      <c r="A19" t="s">
        <v>0</v>
      </c>
      <c r="B19" s="2">
        <v>44865</v>
      </c>
      <c r="C19" t="s">
        <v>30</v>
      </c>
      <c r="D19" t="s">
        <v>2</v>
      </c>
      <c r="E19" t="s">
        <v>3</v>
      </c>
      <c r="F19" t="s">
        <v>4</v>
      </c>
      <c r="G19" t="s">
        <v>5</v>
      </c>
      <c r="H19" s="3">
        <v>3885.83</v>
      </c>
      <c r="I19" t="s">
        <v>757</v>
      </c>
      <c r="J19" t="s">
        <v>460</v>
      </c>
      <c r="K19" t="s">
        <v>8</v>
      </c>
      <c r="L19" t="s">
        <v>8</v>
      </c>
      <c r="M19" t="s">
        <v>758</v>
      </c>
      <c r="N19" t="s">
        <v>16</v>
      </c>
      <c r="O19" t="s">
        <v>1</v>
      </c>
    </row>
    <row r="20" spans="1:19" x14ac:dyDescent="0.25">
      <c r="A20" t="s">
        <v>0</v>
      </c>
      <c r="B20" s="2">
        <v>44876</v>
      </c>
      <c r="C20" t="s">
        <v>289</v>
      </c>
      <c r="D20" t="s">
        <v>2</v>
      </c>
      <c r="E20" t="s">
        <v>3</v>
      </c>
      <c r="F20" t="s">
        <v>4</v>
      </c>
      <c r="G20" t="s">
        <v>5</v>
      </c>
      <c r="H20" s="3">
        <v>9557.0499999999993</v>
      </c>
      <c r="I20" t="s">
        <v>481</v>
      </c>
      <c r="J20" t="s">
        <v>460</v>
      </c>
      <c r="K20" t="s">
        <v>8</v>
      </c>
      <c r="L20" t="s">
        <v>482</v>
      </c>
      <c r="M20" t="s">
        <v>483</v>
      </c>
      <c r="N20" t="s">
        <v>21</v>
      </c>
      <c r="O20" t="s">
        <v>1</v>
      </c>
    </row>
    <row r="21" spans="1:19" x14ac:dyDescent="0.25">
      <c r="A21" t="s">
        <v>0</v>
      </c>
      <c r="B21" s="2">
        <v>44910</v>
      </c>
      <c r="C21" t="s">
        <v>246</v>
      </c>
      <c r="D21" t="s">
        <v>2</v>
      </c>
      <c r="E21" t="s">
        <v>3</v>
      </c>
      <c r="F21" t="s">
        <v>4</v>
      </c>
      <c r="G21" t="s">
        <v>5</v>
      </c>
      <c r="H21">
        <v>9557.0499999999993</v>
      </c>
      <c r="I21" t="s">
        <v>2357</v>
      </c>
      <c r="J21" t="s">
        <v>460</v>
      </c>
      <c r="L21" t="s">
        <v>2358</v>
      </c>
      <c r="M21" t="s">
        <v>2359</v>
      </c>
      <c r="N21" t="s">
        <v>34</v>
      </c>
      <c r="O21" t="s">
        <v>1</v>
      </c>
      <c r="P21">
        <v>44902</v>
      </c>
      <c r="Q21" t="s">
        <v>2360</v>
      </c>
      <c r="R21">
        <v>44910</v>
      </c>
      <c r="S21" t="s">
        <v>2361</v>
      </c>
    </row>
    <row r="22" spans="1:19" x14ac:dyDescent="0.25">
      <c r="A22" t="s">
        <v>0</v>
      </c>
      <c r="B22" s="2">
        <v>44916</v>
      </c>
      <c r="C22" t="s">
        <v>246</v>
      </c>
      <c r="D22" t="s">
        <v>2</v>
      </c>
      <c r="E22" t="s">
        <v>3</v>
      </c>
      <c r="F22" t="s">
        <v>4</v>
      </c>
      <c r="G22" t="s">
        <v>5</v>
      </c>
      <c r="H22">
        <v>9557.0499999999993</v>
      </c>
      <c r="I22" t="s">
        <v>481</v>
      </c>
      <c r="J22" t="s">
        <v>460</v>
      </c>
      <c r="L22" t="s">
        <v>482</v>
      </c>
      <c r="M22" t="s">
        <v>2362</v>
      </c>
      <c r="N22" t="s">
        <v>21</v>
      </c>
      <c r="O22" t="s">
        <v>1</v>
      </c>
      <c r="P22">
        <v>44872</v>
      </c>
      <c r="Q22" t="s">
        <v>2363</v>
      </c>
      <c r="R22">
        <v>44916</v>
      </c>
      <c r="S22" t="s">
        <v>2364</v>
      </c>
    </row>
    <row r="23" spans="1:19" x14ac:dyDescent="0.25">
      <c r="A23" t="s">
        <v>0</v>
      </c>
      <c r="B23" s="2">
        <v>44916</v>
      </c>
      <c r="C23" t="s">
        <v>246</v>
      </c>
      <c r="D23" t="s">
        <v>2</v>
      </c>
      <c r="E23" t="s">
        <v>3</v>
      </c>
      <c r="F23" t="s">
        <v>4</v>
      </c>
      <c r="G23" t="s">
        <v>5</v>
      </c>
      <c r="H23">
        <v>-9557.0499999999993</v>
      </c>
      <c r="I23" t="s">
        <v>469</v>
      </c>
      <c r="J23" t="s">
        <v>460</v>
      </c>
      <c r="L23" t="s">
        <v>482</v>
      </c>
      <c r="M23" t="s">
        <v>2365</v>
      </c>
      <c r="N23" t="s">
        <v>21</v>
      </c>
      <c r="O23" t="s">
        <v>1</v>
      </c>
      <c r="P23">
        <v>44872</v>
      </c>
      <c r="Q23" t="s">
        <v>2366</v>
      </c>
      <c r="R23">
        <v>44916</v>
      </c>
      <c r="S23" t="s">
        <v>2364</v>
      </c>
    </row>
    <row r="24" spans="1:19" x14ac:dyDescent="0.25">
      <c r="A24" t="s">
        <v>0</v>
      </c>
      <c r="B24" s="2">
        <v>44923</v>
      </c>
      <c r="C24" t="s">
        <v>246</v>
      </c>
      <c r="D24" t="s">
        <v>2</v>
      </c>
      <c r="E24" t="s">
        <v>3</v>
      </c>
      <c r="F24" t="s">
        <v>4</v>
      </c>
      <c r="G24" t="s">
        <v>5</v>
      </c>
      <c r="H24">
        <v>1311.48</v>
      </c>
      <c r="I24" t="s">
        <v>2367</v>
      </c>
      <c r="J24" t="s">
        <v>460</v>
      </c>
      <c r="L24" t="s">
        <v>8</v>
      </c>
      <c r="M24" t="s">
        <v>2368</v>
      </c>
      <c r="N24" t="s">
        <v>524</v>
      </c>
      <c r="O24" t="s">
        <v>1</v>
      </c>
      <c r="P24">
        <v>44914</v>
      </c>
      <c r="Q24" t="s">
        <v>2369</v>
      </c>
      <c r="R24">
        <v>44923</v>
      </c>
      <c r="S24" t="s">
        <v>2370</v>
      </c>
    </row>
    <row r="25" spans="1:19" x14ac:dyDescent="0.25">
      <c r="A25" t="s">
        <v>2375</v>
      </c>
      <c r="B25" s="9">
        <v>44939</v>
      </c>
      <c r="C25" t="s">
        <v>1</v>
      </c>
      <c r="D25" t="s">
        <v>2</v>
      </c>
      <c r="E25" t="s">
        <v>3</v>
      </c>
      <c r="F25" t="s">
        <v>4</v>
      </c>
      <c r="G25" t="s">
        <v>5</v>
      </c>
      <c r="H25">
        <v>9557.0499999999993</v>
      </c>
      <c r="I25" t="s">
        <v>2398</v>
      </c>
      <c r="J25" t="s">
        <v>460</v>
      </c>
      <c r="L25" t="s">
        <v>2399</v>
      </c>
      <c r="M25" t="s">
        <v>2400</v>
      </c>
      <c r="N25" t="s">
        <v>29</v>
      </c>
      <c r="O25" t="s">
        <v>1</v>
      </c>
      <c r="P25">
        <v>44937</v>
      </c>
      <c r="Q25" t="s">
        <v>2401</v>
      </c>
      <c r="R25">
        <v>44939</v>
      </c>
      <c r="S25" t="s">
        <v>8</v>
      </c>
    </row>
    <row r="26" spans="1:19" x14ac:dyDescent="0.25">
      <c r="A26" t="s">
        <v>2375</v>
      </c>
      <c r="B26" s="9">
        <v>44973</v>
      </c>
      <c r="C26" t="s">
        <v>12</v>
      </c>
      <c r="D26" t="s">
        <v>2</v>
      </c>
      <c r="E26" t="s">
        <v>3</v>
      </c>
      <c r="F26" t="s">
        <v>4</v>
      </c>
      <c r="G26" t="s">
        <v>5</v>
      </c>
      <c r="H26">
        <v>9557.0499999999993</v>
      </c>
      <c r="I26" t="s">
        <v>2422</v>
      </c>
      <c r="J26" t="s">
        <v>460</v>
      </c>
      <c r="L26" t="s">
        <v>2423</v>
      </c>
      <c r="M26" t="s">
        <v>2424</v>
      </c>
      <c r="N26" t="s">
        <v>524</v>
      </c>
      <c r="O26" t="s">
        <v>1</v>
      </c>
      <c r="P26">
        <v>44966</v>
      </c>
      <c r="Q26" t="s">
        <v>2425</v>
      </c>
      <c r="R26">
        <v>44973</v>
      </c>
      <c r="S26" t="s">
        <v>2426</v>
      </c>
    </row>
    <row r="27" spans="1:19" x14ac:dyDescent="0.25">
      <c r="A27" t="s">
        <v>2375</v>
      </c>
      <c r="B27" s="9">
        <v>44973</v>
      </c>
      <c r="C27" t="s">
        <v>12</v>
      </c>
      <c r="D27" t="s">
        <v>2</v>
      </c>
      <c r="E27" t="s">
        <v>3</v>
      </c>
      <c r="F27" t="s">
        <v>4</v>
      </c>
      <c r="G27" t="s">
        <v>5</v>
      </c>
      <c r="H27">
        <v>889.46</v>
      </c>
      <c r="I27" t="s">
        <v>2427</v>
      </c>
      <c r="J27" t="s">
        <v>460</v>
      </c>
      <c r="L27" t="s">
        <v>8</v>
      </c>
      <c r="M27" t="s">
        <v>2428</v>
      </c>
      <c r="N27" t="s">
        <v>2429</v>
      </c>
      <c r="O27" t="s">
        <v>12</v>
      </c>
      <c r="P27">
        <v>44909</v>
      </c>
      <c r="Q27" t="s">
        <v>2430</v>
      </c>
      <c r="R27">
        <v>44973</v>
      </c>
      <c r="S27" t="s">
        <v>2431</v>
      </c>
    </row>
    <row r="28" spans="1:19" x14ac:dyDescent="0.25">
      <c r="A28" t="s">
        <v>2375</v>
      </c>
      <c r="B28" s="9">
        <v>44973</v>
      </c>
      <c r="C28" t="s">
        <v>12</v>
      </c>
      <c r="D28" t="s">
        <v>2</v>
      </c>
      <c r="E28" t="s">
        <v>3</v>
      </c>
      <c r="F28" t="s">
        <v>4</v>
      </c>
      <c r="G28" t="s">
        <v>5</v>
      </c>
      <c r="H28">
        <v>36.11</v>
      </c>
      <c r="I28" t="s">
        <v>2432</v>
      </c>
      <c r="J28" t="s">
        <v>460</v>
      </c>
      <c r="L28" t="s">
        <v>8</v>
      </c>
      <c r="M28" t="s">
        <v>2433</v>
      </c>
      <c r="N28" t="s">
        <v>2429</v>
      </c>
      <c r="O28" t="s">
        <v>43</v>
      </c>
      <c r="P28">
        <v>44909</v>
      </c>
      <c r="Q28" t="s">
        <v>2434</v>
      </c>
      <c r="R28">
        <v>44973</v>
      </c>
      <c r="S28" t="s">
        <v>2435</v>
      </c>
    </row>
    <row r="29" spans="1:19" x14ac:dyDescent="0.25">
      <c r="A29" t="s">
        <v>2375</v>
      </c>
      <c r="B29" s="2">
        <v>45007</v>
      </c>
      <c r="C29" t="s">
        <v>17</v>
      </c>
      <c r="D29" t="s">
        <v>2</v>
      </c>
      <c r="E29" t="s">
        <v>3</v>
      </c>
      <c r="F29" t="s">
        <v>4</v>
      </c>
      <c r="G29" t="s">
        <v>5</v>
      </c>
      <c r="H29" s="3">
        <v>9557.0499999999993</v>
      </c>
      <c r="I29" t="s">
        <v>2452</v>
      </c>
      <c r="J29" t="s">
        <v>460</v>
      </c>
      <c r="L29" t="s">
        <v>2453</v>
      </c>
      <c r="M29" t="s">
        <v>2454</v>
      </c>
      <c r="N29" t="s">
        <v>524</v>
      </c>
      <c r="O29" t="s">
        <v>1</v>
      </c>
      <c r="P29" s="2">
        <v>44999</v>
      </c>
      <c r="Q29" t="s">
        <v>2455</v>
      </c>
      <c r="R29" s="2">
        <v>45007</v>
      </c>
      <c r="S29" t="s">
        <v>2456</v>
      </c>
    </row>
    <row r="30" spans="1:19" x14ac:dyDescent="0.25">
      <c r="A30" t="s">
        <v>2375</v>
      </c>
      <c r="B30" s="2">
        <v>45012</v>
      </c>
      <c r="C30" t="s">
        <v>17</v>
      </c>
      <c r="D30" t="s">
        <v>2</v>
      </c>
      <c r="E30" t="s">
        <v>3</v>
      </c>
      <c r="F30" t="s">
        <v>4</v>
      </c>
      <c r="G30" t="s">
        <v>5</v>
      </c>
      <c r="H30" s="3">
        <v>5031.28</v>
      </c>
      <c r="I30" t="s">
        <v>2457</v>
      </c>
      <c r="J30" t="s">
        <v>460</v>
      </c>
      <c r="L30" t="s">
        <v>8</v>
      </c>
      <c r="M30" t="s">
        <v>2458</v>
      </c>
      <c r="N30" t="s">
        <v>524</v>
      </c>
      <c r="O30" t="s">
        <v>1</v>
      </c>
      <c r="P30" s="2">
        <v>44999</v>
      </c>
      <c r="Q30" t="s">
        <v>2459</v>
      </c>
      <c r="R30" s="2">
        <v>45012</v>
      </c>
      <c r="S30" t="s">
        <v>2460</v>
      </c>
    </row>
    <row r="31" spans="1:19" x14ac:dyDescent="0.25">
      <c r="A31" t="s">
        <v>2375</v>
      </c>
      <c r="B31" s="2">
        <v>45006</v>
      </c>
      <c r="C31" t="s">
        <v>17</v>
      </c>
      <c r="D31" t="s">
        <v>2</v>
      </c>
      <c r="E31" t="s">
        <v>3</v>
      </c>
      <c r="F31" t="s">
        <v>4</v>
      </c>
      <c r="G31" t="s">
        <v>5</v>
      </c>
      <c r="H31" s="3">
        <v>1717.3</v>
      </c>
      <c r="I31" t="s">
        <v>2461</v>
      </c>
      <c r="J31" t="s">
        <v>460</v>
      </c>
      <c r="L31" t="s">
        <v>8</v>
      </c>
      <c r="M31" t="s">
        <v>2462</v>
      </c>
      <c r="N31" t="s">
        <v>524</v>
      </c>
      <c r="O31" t="s">
        <v>12</v>
      </c>
      <c r="P31" s="2">
        <v>44999</v>
      </c>
      <c r="Q31" t="s">
        <v>2463</v>
      </c>
      <c r="R31" s="2">
        <v>45006</v>
      </c>
      <c r="S31" t="s">
        <v>2464</v>
      </c>
    </row>
    <row r="32" spans="1:19" x14ac:dyDescent="0.25">
      <c r="A32" t="s">
        <v>2375</v>
      </c>
      <c r="B32" s="2">
        <v>45006</v>
      </c>
      <c r="C32" t="s">
        <v>17</v>
      </c>
      <c r="D32" t="s">
        <v>2</v>
      </c>
      <c r="E32" t="s">
        <v>3</v>
      </c>
      <c r="F32" t="s">
        <v>4</v>
      </c>
      <c r="G32" t="s">
        <v>5</v>
      </c>
      <c r="H32" s="3">
        <v>844.66</v>
      </c>
      <c r="I32" t="s">
        <v>2461</v>
      </c>
      <c r="J32" t="s">
        <v>460</v>
      </c>
      <c r="L32" t="s">
        <v>8</v>
      </c>
      <c r="M32" t="s">
        <v>2462</v>
      </c>
      <c r="N32" t="s">
        <v>524</v>
      </c>
      <c r="O32" t="s">
        <v>17</v>
      </c>
      <c r="P32" s="2">
        <v>44999</v>
      </c>
      <c r="Q32" t="s">
        <v>2463</v>
      </c>
      <c r="R32" s="2">
        <v>45006</v>
      </c>
      <c r="S32" t="s">
        <v>2464</v>
      </c>
    </row>
    <row r="33" spans="1:23" x14ac:dyDescent="0.25">
      <c r="A33" t="s">
        <v>2375</v>
      </c>
      <c r="B33" s="2">
        <v>45043</v>
      </c>
      <c r="C33" t="s">
        <v>43</v>
      </c>
      <c r="D33" t="s">
        <v>2</v>
      </c>
      <c r="E33" t="s">
        <v>3</v>
      </c>
      <c r="F33" t="s">
        <v>4</v>
      </c>
      <c r="G33" t="s">
        <v>5</v>
      </c>
      <c r="H33">
        <v>9557.0499999999993</v>
      </c>
      <c r="I33" t="s">
        <v>2485</v>
      </c>
      <c r="J33" t="s">
        <v>460</v>
      </c>
      <c r="L33" t="s">
        <v>2486</v>
      </c>
      <c r="M33" t="s">
        <v>2487</v>
      </c>
      <c r="N33" t="s">
        <v>524</v>
      </c>
      <c r="O33" t="s">
        <v>1</v>
      </c>
      <c r="P33">
        <v>45041</v>
      </c>
      <c r="Q33" t="s">
        <v>2488</v>
      </c>
      <c r="R33">
        <v>45043</v>
      </c>
      <c r="S33" t="s">
        <v>2489</v>
      </c>
    </row>
    <row r="34" spans="1:23" x14ac:dyDescent="0.25">
      <c r="A34" t="s">
        <v>2375</v>
      </c>
      <c r="B34" s="2">
        <v>45068</v>
      </c>
      <c r="C34" t="s">
        <v>77</v>
      </c>
      <c r="D34" t="s">
        <v>2</v>
      </c>
      <c r="E34" t="s">
        <v>3</v>
      </c>
      <c r="F34" t="s">
        <v>4</v>
      </c>
      <c r="G34" t="s">
        <v>5</v>
      </c>
      <c r="H34">
        <v>9557.0499999999993</v>
      </c>
      <c r="I34" t="s">
        <v>2527</v>
      </c>
      <c r="J34" t="s">
        <v>460</v>
      </c>
      <c r="L34" t="s">
        <v>2528</v>
      </c>
      <c r="M34" t="s">
        <v>2529</v>
      </c>
      <c r="N34" t="s">
        <v>524</v>
      </c>
      <c r="O34" t="s">
        <v>1</v>
      </c>
      <c r="P34">
        <v>45061</v>
      </c>
      <c r="Q34" t="s">
        <v>2530</v>
      </c>
      <c r="R34">
        <v>45068</v>
      </c>
      <c r="S34" t="s">
        <v>2531</v>
      </c>
      <c r="T34" t="s">
        <v>469</v>
      </c>
    </row>
    <row r="35" spans="1:23" x14ac:dyDescent="0.25">
      <c r="A35" t="s">
        <v>2375</v>
      </c>
      <c r="B35" s="2">
        <v>45075</v>
      </c>
      <c r="C35" t="s">
        <v>77</v>
      </c>
      <c r="D35" t="s">
        <v>2</v>
      </c>
      <c r="E35" t="s">
        <v>3</v>
      </c>
      <c r="F35" t="s">
        <v>4</v>
      </c>
      <c r="G35" t="s">
        <v>5</v>
      </c>
      <c r="H35">
        <v>4795.29</v>
      </c>
      <c r="I35" t="s">
        <v>2532</v>
      </c>
      <c r="J35" t="s">
        <v>460</v>
      </c>
      <c r="L35" t="s">
        <v>8</v>
      </c>
      <c r="M35" t="s">
        <v>2533</v>
      </c>
      <c r="N35" t="s">
        <v>524</v>
      </c>
      <c r="O35" t="s">
        <v>1</v>
      </c>
      <c r="P35">
        <v>45061</v>
      </c>
      <c r="Q35" t="s">
        <v>2534</v>
      </c>
      <c r="R35">
        <v>45075</v>
      </c>
      <c r="S35" t="s">
        <v>2535</v>
      </c>
      <c r="T35" t="s">
        <v>8</v>
      </c>
    </row>
    <row r="36" spans="1:23" x14ac:dyDescent="0.25">
      <c r="A36" s="12" t="s">
        <v>2375</v>
      </c>
      <c r="B36" s="2">
        <v>45093</v>
      </c>
      <c r="C36" s="12" t="s">
        <v>22</v>
      </c>
      <c r="D36" s="12" t="s">
        <v>2</v>
      </c>
      <c r="E36" s="12" t="s">
        <v>3</v>
      </c>
      <c r="F36" s="12" t="s">
        <v>4</v>
      </c>
      <c r="G36" s="12" t="s">
        <v>5</v>
      </c>
      <c r="H36" s="14">
        <v>10207.89</v>
      </c>
      <c r="I36" s="12" t="s">
        <v>2600</v>
      </c>
      <c r="J36" s="12" t="s">
        <v>460</v>
      </c>
      <c r="L36" s="12" t="s">
        <v>2601</v>
      </c>
      <c r="M36" s="12" t="s">
        <v>2602</v>
      </c>
      <c r="N36" s="12" t="s">
        <v>524</v>
      </c>
      <c r="O36" s="12" t="s">
        <v>1</v>
      </c>
      <c r="P36" s="13">
        <v>45083</v>
      </c>
      <c r="Q36" s="12" t="s">
        <v>2603</v>
      </c>
      <c r="R36" s="13">
        <v>45093</v>
      </c>
      <c r="S36" s="12" t="s">
        <v>2604</v>
      </c>
      <c r="T36" s="12" t="s">
        <v>469</v>
      </c>
    </row>
    <row r="37" spans="1:23" x14ac:dyDescent="0.25">
      <c r="A37" s="12" t="s">
        <v>2375</v>
      </c>
      <c r="B37" s="2">
        <v>45092</v>
      </c>
      <c r="C37" s="12" t="s">
        <v>22</v>
      </c>
      <c r="D37" s="12" t="s">
        <v>2</v>
      </c>
      <c r="E37" s="12" t="s">
        <v>3</v>
      </c>
      <c r="F37" s="12" t="s">
        <v>4</v>
      </c>
      <c r="G37" s="12" t="s">
        <v>5</v>
      </c>
      <c r="H37" s="14">
        <v>6919.12</v>
      </c>
      <c r="I37" s="12" t="s">
        <v>2605</v>
      </c>
      <c r="J37" s="12" t="s">
        <v>460</v>
      </c>
      <c r="L37" s="12" t="s">
        <v>8</v>
      </c>
      <c r="M37" s="12" t="s">
        <v>2606</v>
      </c>
      <c r="N37" s="12" t="s">
        <v>524</v>
      </c>
      <c r="O37" s="12" t="s">
        <v>1</v>
      </c>
      <c r="P37" s="13">
        <v>45083</v>
      </c>
      <c r="Q37" s="12" t="s">
        <v>2607</v>
      </c>
      <c r="R37" s="13">
        <v>45092</v>
      </c>
      <c r="S37" s="12" t="s">
        <v>2608</v>
      </c>
      <c r="T37" s="12" t="s">
        <v>8</v>
      </c>
    </row>
    <row r="38" spans="1:23" x14ac:dyDescent="0.25">
      <c r="A38" s="12" t="s">
        <v>2375</v>
      </c>
      <c r="B38" s="2">
        <v>45082</v>
      </c>
      <c r="C38" s="12" t="s">
        <v>22</v>
      </c>
      <c r="D38" s="12" t="s">
        <v>2</v>
      </c>
      <c r="E38" s="12" t="s">
        <v>3</v>
      </c>
      <c r="F38" s="12" t="s">
        <v>4</v>
      </c>
      <c r="G38" s="12" t="s">
        <v>5</v>
      </c>
      <c r="H38" s="14">
        <v>3446.5</v>
      </c>
      <c r="I38" s="12" t="s">
        <v>2609</v>
      </c>
      <c r="J38" s="12" t="s">
        <v>460</v>
      </c>
      <c r="L38" s="12" t="s">
        <v>8</v>
      </c>
      <c r="M38" s="12" t="s">
        <v>2610</v>
      </c>
      <c r="N38" s="12" t="s">
        <v>524</v>
      </c>
      <c r="O38" s="12" t="s">
        <v>17</v>
      </c>
      <c r="P38" s="13">
        <v>45041</v>
      </c>
      <c r="Q38" s="12" t="s">
        <v>2611</v>
      </c>
      <c r="R38" s="13">
        <v>45082</v>
      </c>
      <c r="S38" s="12" t="s">
        <v>2612</v>
      </c>
      <c r="T38" s="12" t="s">
        <v>8</v>
      </c>
    </row>
    <row r="39" spans="1:23" x14ac:dyDescent="0.25">
      <c r="A39" s="12" t="s">
        <v>2375</v>
      </c>
      <c r="B39" s="2">
        <v>45089</v>
      </c>
      <c r="C39" s="12" t="s">
        <v>22</v>
      </c>
      <c r="D39" s="12" t="s">
        <v>2</v>
      </c>
      <c r="E39" s="12" t="s">
        <v>3</v>
      </c>
      <c r="F39" s="12" t="s">
        <v>4</v>
      </c>
      <c r="G39" s="12" t="s">
        <v>5</v>
      </c>
      <c r="H39" s="14">
        <v>2603.36</v>
      </c>
      <c r="I39" s="12" t="s">
        <v>2613</v>
      </c>
      <c r="J39" s="12" t="s">
        <v>460</v>
      </c>
      <c r="L39" s="12" t="s">
        <v>8</v>
      </c>
      <c r="M39" s="12" t="s">
        <v>2614</v>
      </c>
      <c r="N39" s="12" t="s">
        <v>524</v>
      </c>
      <c r="O39" s="12" t="s">
        <v>1</v>
      </c>
      <c r="P39" s="13">
        <v>45078</v>
      </c>
      <c r="Q39" s="12" t="s">
        <v>2615</v>
      </c>
      <c r="R39" s="13">
        <v>45089</v>
      </c>
      <c r="S39" s="12" t="s">
        <v>2616</v>
      </c>
      <c r="T39" s="12" t="s">
        <v>8</v>
      </c>
    </row>
    <row r="40" spans="1:23" x14ac:dyDescent="0.25">
      <c r="A40" s="12" t="s">
        <v>2375</v>
      </c>
      <c r="B40" s="2">
        <v>45082</v>
      </c>
      <c r="C40" s="12" t="s">
        <v>22</v>
      </c>
      <c r="D40" s="12" t="s">
        <v>2</v>
      </c>
      <c r="E40" s="12" t="s">
        <v>3</v>
      </c>
      <c r="F40" s="12" t="s">
        <v>2617</v>
      </c>
      <c r="G40" s="12" t="s">
        <v>2618</v>
      </c>
      <c r="H40" s="14">
        <v>1335.18</v>
      </c>
      <c r="I40" s="12" t="s">
        <v>2609</v>
      </c>
      <c r="J40" s="12" t="s">
        <v>460</v>
      </c>
      <c r="L40" s="12" t="s">
        <v>8</v>
      </c>
      <c r="M40" s="12" t="s">
        <v>2610</v>
      </c>
      <c r="N40" s="12" t="s">
        <v>524</v>
      </c>
      <c r="O40" s="12" t="s">
        <v>12</v>
      </c>
      <c r="P40" s="13">
        <v>45041</v>
      </c>
      <c r="Q40" s="12" t="s">
        <v>2611</v>
      </c>
      <c r="R40" s="13">
        <v>45082</v>
      </c>
      <c r="S40" s="12" t="s">
        <v>2612</v>
      </c>
      <c r="T40" s="12" t="s">
        <v>8</v>
      </c>
    </row>
    <row r="41" spans="1:23" x14ac:dyDescent="0.25">
      <c r="A41" s="12" t="s">
        <v>2375</v>
      </c>
      <c r="B41" s="2">
        <v>45082</v>
      </c>
      <c r="C41" s="12" t="s">
        <v>22</v>
      </c>
      <c r="D41" s="12" t="s">
        <v>2</v>
      </c>
      <c r="E41" s="12" t="s">
        <v>3</v>
      </c>
      <c r="F41" s="12" t="s">
        <v>2619</v>
      </c>
      <c r="G41" s="12" t="s">
        <v>2620</v>
      </c>
      <c r="H41" s="14">
        <v>645.88</v>
      </c>
      <c r="I41" s="12" t="s">
        <v>2609</v>
      </c>
      <c r="J41" s="12" t="s">
        <v>460</v>
      </c>
      <c r="L41" s="12" t="s">
        <v>8</v>
      </c>
      <c r="M41" s="12" t="s">
        <v>2610</v>
      </c>
      <c r="N41" s="12" t="s">
        <v>524</v>
      </c>
      <c r="O41" s="12" t="s">
        <v>1</v>
      </c>
      <c r="P41" s="13">
        <v>45041</v>
      </c>
      <c r="Q41" s="12" t="s">
        <v>2611</v>
      </c>
      <c r="R41" s="13">
        <v>45082</v>
      </c>
      <c r="S41" s="12" t="s">
        <v>2612</v>
      </c>
      <c r="T41" s="12" t="s">
        <v>8</v>
      </c>
    </row>
    <row r="42" spans="1:23" x14ac:dyDescent="0.25">
      <c r="A42" t="s">
        <v>2375</v>
      </c>
      <c r="B42" s="2">
        <v>45126</v>
      </c>
      <c r="C42" t="s">
        <v>72</v>
      </c>
      <c r="D42" t="s">
        <v>2</v>
      </c>
      <c r="E42" t="s">
        <v>3</v>
      </c>
      <c r="F42" t="s">
        <v>4</v>
      </c>
      <c r="G42" t="s">
        <v>5</v>
      </c>
      <c r="H42" s="3">
        <v>612.36</v>
      </c>
      <c r="I42" t="s">
        <v>2651</v>
      </c>
      <c r="J42" t="s">
        <v>460</v>
      </c>
      <c r="L42" t="s">
        <v>8</v>
      </c>
      <c r="M42" t="s">
        <v>2652</v>
      </c>
      <c r="N42" t="s">
        <v>524</v>
      </c>
      <c r="O42" t="s">
        <v>1</v>
      </c>
      <c r="P42" s="2">
        <v>45120</v>
      </c>
      <c r="Q42" t="s">
        <v>2653</v>
      </c>
      <c r="R42" s="2">
        <v>45126</v>
      </c>
      <c r="S42" t="s">
        <v>2654</v>
      </c>
      <c r="T42" t="s">
        <v>8</v>
      </c>
    </row>
    <row r="43" spans="1:23" x14ac:dyDescent="0.25">
      <c r="A43" t="s">
        <v>2375</v>
      </c>
      <c r="B43" s="2">
        <v>45128</v>
      </c>
      <c r="C43" t="s">
        <v>72</v>
      </c>
      <c r="D43" t="s">
        <v>2</v>
      </c>
      <c r="E43" t="s">
        <v>3</v>
      </c>
      <c r="F43" t="s">
        <v>4</v>
      </c>
      <c r="G43" t="s">
        <v>5</v>
      </c>
      <c r="H43" s="3">
        <v>10207.879999999999</v>
      </c>
      <c r="I43" t="s">
        <v>2655</v>
      </c>
      <c r="J43" t="s">
        <v>460</v>
      </c>
      <c r="L43" t="s">
        <v>2656</v>
      </c>
      <c r="M43" t="s">
        <v>2657</v>
      </c>
      <c r="N43" t="s">
        <v>524</v>
      </c>
      <c r="O43" t="s">
        <v>1</v>
      </c>
      <c r="P43" s="2">
        <v>45119</v>
      </c>
      <c r="Q43" t="s">
        <v>2658</v>
      </c>
      <c r="R43" s="2">
        <v>45128</v>
      </c>
      <c r="S43" t="s">
        <v>2659</v>
      </c>
      <c r="T43" t="s">
        <v>469</v>
      </c>
    </row>
    <row r="44" spans="1:23" x14ac:dyDescent="0.25">
      <c r="A44" t="s">
        <v>2375</v>
      </c>
      <c r="B44" s="2">
        <v>45133</v>
      </c>
      <c r="C44" t="s">
        <v>72</v>
      </c>
      <c r="D44" t="s">
        <v>2</v>
      </c>
      <c r="E44" t="s">
        <v>3</v>
      </c>
      <c r="F44" t="s">
        <v>4</v>
      </c>
      <c r="G44" t="s">
        <v>5</v>
      </c>
      <c r="H44" s="3">
        <v>3584.52</v>
      </c>
      <c r="I44" t="s">
        <v>2660</v>
      </c>
      <c r="J44" t="s">
        <v>460</v>
      </c>
      <c r="L44" t="s">
        <v>8</v>
      </c>
      <c r="M44" t="s">
        <v>2661</v>
      </c>
      <c r="N44" t="s">
        <v>2429</v>
      </c>
      <c r="O44" t="s">
        <v>1</v>
      </c>
      <c r="P44" s="2">
        <v>45120</v>
      </c>
      <c r="Q44" t="s">
        <v>2662</v>
      </c>
      <c r="R44" s="2">
        <v>45133</v>
      </c>
      <c r="S44" t="s">
        <v>2663</v>
      </c>
      <c r="T44" t="s">
        <v>8</v>
      </c>
    </row>
    <row r="45" spans="1:23" x14ac:dyDescent="0.25">
      <c r="A45" t="s">
        <v>2375</v>
      </c>
      <c r="B45" s="2">
        <v>45152</v>
      </c>
      <c r="C45" t="s">
        <v>82</v>
      </c>
      <c r="D45" t="s">
        <v>2</v>
      </c>
      <c r="E45" t="s">
        <v>3</v>
      </c>
      <c r="F45" t="s">
        <v>4</v>
      </c>
      <c r="G45" t="s">
        <v>5</v>
      </c>
      <c r="H45" s="3">
        <v>10207.879999999999</v>
      </c>
      <c r="I45" t="s">
        <v>2706</v>
      </c>
      <c r="J45" t="s">
        <v>460</v>
      </c>
      <c r="L45" t="s">
        <v>2707</v>
      </c>
      <c r="M45" t="s">
        <v>2708</v>
      </c>
      <c r="N45" t="s">
        <v>524</v>
      </c>
      <c r="O45" t="s">
        <v>1</v>
      </c>
      <c r="P45" s="2">
        <v>45145</v>
      </c>
      <c r="Q45" t="s">
        <v>2709</v>
      </c>
      <c r="R45" s="2">
        <v>45152</v>
      </c>
      <c r="S45" t="s">
        <v>2710</v>
      </c>
      <c r="T45" t="s">
        <v>469</v>
      </c>
      <c r="U45" s="18">
        <v>1</v>
      </c>
      <c r="V45" t="s">
        <v>8</v>
      </c>
      <c r="W45" t="s">
        <v>8</v>
      </c>
    </row>
    <row r="46" spans="1:23" x14ac:dyDescent="0.25">
      <c r="A46" t="s">
        <v>2375</v>
      </c>
      <c r="B46" s="2">
        <v>45153</v>
      </c>
      <c r="C46" t="s">
        <v>82</v>
      </c>
      <c r="D46" t="s">
        <v>2</v>
      </c>
      <c r="E46" t="s">
        <v>3</v>
      </c>
      <c r="F46" t="s">
        <v>4</v>
      </c>
      <c r="G46" t="s">
        <v>5</v>
      </c>
      <c r="H46" s="3">
        <v>1991.98</v>
      </c>
      <c r="I46" t="s">
        <v>2711</v>
      </c>
      <c r="J46" t="s">
        <v>460</v>
      </c>
      <c r="L46" t="s">
        <v>8</v>
      </c>
      <c r="M46" t="s">
        <v>2712</v>
      </c>
      <c r="N46" t="s">
        <v>524</v>
      </c>
      <c r="O46" t="s">
        <v>12</v>
      </c>
      <c r="P46" s="2">
        <v>45145</v>
      </c>
      <c r="Q46" t="s">
        <v>2713</v>
      </c>
      <c r="R46" s="2">
        <v>45153</v>
      </c>
      <c r="S46" t="s">
        <v>2714</v>
      </c>
      <c r="T46" t="s">
        <v>8</v>
      </c>
      <c r="U46" s="17">
        <v>0</v>
      </c>
      <c r="V46" t="s">
        <v>8</v>
      </c>
      <c r="W46" t="s">
        <v>8</v>
      </c>
    </row>
    <row r="47" spans="1:23" x14ac:dyDescent="0.25">
      <c r="A47" t="s">
        <v>2375</v>
      </c>
      <c r="B47" s="2">
        <v>45180</v>
      </c>
      <c r="C47" t="s">
        <v>87</v>
      </c>
      <c r="D47" t="s">
        <v>2</v>
      </c>
      <c r="E47" t="s">
        <v>3</v>
      </c>
      <c r="F47" t="s">
        <v>4</v>
      </c>
      <c r="G47" t="s">
        <v>5</v>
      </c>
      <c r="H47" s="3">
        <v>10207.879999999999</v>
      </c>
      <c r="I47" t="s">
        <v>2743</v>
      </c>
      <c r="J47" t="s">
        <v>460</v>
      </c>
      <c r="L47" t="s">
        <v>2744</v>
      </c>
      <c r="M47" t="s">
        <v>2745</v>
      </c>
      <c r="N47" t="s">
        <v>524</v>
      </c>
      <c r="O47" t="s">
        <v>1</v>
      </c>
      <c r="P47" s="2">
        <v>45174</v>
      </c>
      <c r="Q47" t="s">
        <v>2746</v>
      </c>
      <c r="R47" s="2">
        <v>45180</v>
      </c>
      <c r="S47" t="s">
        <v>2747</v>
      </c>
      <c r="T47" t="s">
        <v>469</v>
      </c>
      <c r="U47" s="18">
        <v>1</v>
      </c>
      <c r="V47" t="s">
        <v>8</v>
      </c>
      <c r="W47" t="s">
        <v>8</v>
      </c>
    </row>
    <row r="48" spans="1:23" x14ac:dyDescent="0.25">
      <c r="A48" t="s">
        <v>2375</v>
      </c>
      <c r="B48" s="2">
        <v>45184</v>
      </c>
      <c r="C48" t="s">
        <v>87</v>
      </c>
      <c r="D48" t="s">
        <v>2</v>
      </c>
      <c r="E48" t="s">
        <v>3</v>
      </c>
      <c r="F48" t="s">
        <v>2619</v>
      </c>
      <c r="G48" t="s">
        <v>2620</v>
      </c>
      <c r="H48" s="3">
        <v>995.82</v>
      </c>
      <c r="I48" t="s">
        <v>2748</v>
      </c>
      <c r="J48" t="s">
        <v>460</v>
      </c>
      <c r="L48" t="s">
        <v>8</v>
      </c>
      <c r="M48" t="s">
        <v>2749</v>
      </c>
      <c r="N48" t="s">
        <v>524</v>
      </c>
      <c r="O48" t="s">
        <v>1</v>
      </c>
      <c r="P48" s="2">
        <v>45174</v>
      </c>
      <c r="Q48" t="s">
        <v>2750</v>
      </c>
      <c r="R48" s="2">
        <v>45184</v>
      </c>
      <c r="S48" t="s">
        <v>2751</v>
      </c>
      <c r="T48" t="s">
        <v>8</v>
      </c>
      <c r="U48" s="17">
        <v>0</v>
      </c>
      <c r="V48" t="s">
        <v>8</v>
      </c>
      <c r="W48" t="s">
        <v>8</v>
      </c>
    </row>
    <row r="49" spans="1:24" x14ac:dyDescent="0.25">
      <c r="A49" t="s">
        <v>2375</v>
      </c>
      <c r="B49" s="2">
        <v>45184</v>
      </c>
      <c r="C49" t="s">
        <v>87</v>
      </c>
      <c r="D49" t="s">
        <v>2</v>
      </c>
      <c r="E49" t="s">
        <v>3</v>
      </c>
      <c r="F49" t="s">
        <v>2619</v>
      </c>
      <c r="G49" t="s">
        <v>2620</v>
      </c>
      <c r="H49" s="3">
        <v>413.1</v>
      </c>
      <c r="I49" t="s">
        <v>2748</v>
      </c>
      <c r="J49" t="s">
        <v>460</v>
      </c>
      <c r="L49" t="s">
        <v>8</v>
      </c>
      <c r="M49" t="s">
        <v>2749</v>
      </c>
      <c r="N49" t="s">
        <v>524</v>
      </c>
      <c r="O49" t="s">
        <v>12</v>
      </c>
      <c r="P49" s="2">
        <v>45174</v>
      </c>
      <c r="Q49" t="s">
        <v>2750</v>
      </c>
      <c r="R49" s="2">
        <v>45184</v>
      </c>
      <c r="S49" t="s">
        <v>2751</v>
      </c>
      <c r="T49" t="s">
        <v>8</v>
      </c>
      <c r="U49" s="17">
        <v>0</v>
      </c>
      <c r="V49" t="s">
        <v>8</v>
      </c>
      <c r="W49" t="s">
        <v>8</v>
      </c>
    </row>
    <row r="50" spans="1:24" x14ac:dyDescent="0.25">
      <c r="A50" t="s">
        <v>2375</v>
      </c>
      <c r="B50" s="2">
        <v>45215</v>
      </c>
      <c r="C50" t="s">
        <v>30</v>
      </c>
      <c r="D50" t="s">
        <v>2</v>
      </c>
      <c r="E50" t="s">
        <v>3</v>
      </c>
      <c r="F50" t="s">
        <v>4</v>
      </c>
      <c r="G50" t="s">
        <v>5</v>
      </c>
      <c r="H50" s="3">
        <v>10207.879999999999</v>
      </c>
      <c r="I50" t="s">
        <v>2797</v>
      </c>
      <c r="J50" t="s">
        <v>460</v>
      </c>
      <c r="L50" t="s">
        <v>2798</v>
      </c>
      <c r="M50" t="s">
        <v>2799</v>
      </c>
      <c r="N50" t="s">
        <v>524</v>
      </c>
      <c r="O50" t="s">
        <v>1</v>
      </c>
      <c r="P50" s="2">
        <v>45208</v>
      </c>
      <c r="Q50" t="s">
        <v>2800</v>
      </c>
      <c r="R50" s="2">
        <v>45215</v>
      </c>
      <c r="S50" t="s">
        <v>2801</v>
      </c>
      <c r="T50" t="s">
        <v>469</v>
      </c>
      <c r="U50" s="18">
        <v>1</v>
      </c>
      <c r="V50" t="s">
        <v>8</v>
      </c>
      <c r="W50" t="s">
        <v>8</v>
      </c>
      <c r="X50" t="s">
        <v>4</v>
      </c>
    </row>
    <row r="51" spans="1:24" x14ac:dyDescent="0.25">
      <c r="A51" t="s">
        <v>2375</v>
      </c>
      <c r="B51" s="2">
        <v>45215</v>
      </c>
      <c r="C51" t="s">
        <v>30</v>
      </c>
      <c r="D51" t="s">
        <v>2</v>
      </c>
      <c r="E51" t="s">
        <v>3</v>
      </c>
      <c r="F51" t="s">
        <v>2619</v>
      </c>
      <c r="G51" t="s">
        <v>2620</v>
      </c>
      <c r="H51" s="3">
        <v>720.49</v>
      </c>
      <c r="I51" t="s">
        <v>2802</v>
      </c>
      <c r="J51" t="s">
        <v>460</v>
      </c>
      <c r="L51" t="s">
        <v>8</v>
      </c>
      <c r="M51" t="s">
        <v>2803</v>
      </c>
      <c r="N51" t="s">
        <v>524</v>
      </c>
      <c r="O51" t="s">
        <v>1</v>
      </c>
      <c r="P51" s="2">
        <v>45208</v>
      </c>
      <c r="Q51" t="s">
        <v>2804</v>
      </c>
      <c r="R51" s="2">
        <v>45215</v>
      </c>
      <c r="S51" t="s">
        <v>2805</v>
      </c>
      <c r="T51" t="s">
        <v>8</v>
      </c>
      <c r="U51" s="17">
        <v>0</v>
      </c>
      <c r="V51" t="s">
        <v>8</v>
      </c>
      <c r="W51" t="s">
        <v>8</v>
      </c>
      <c r="X51" t="s">
        <v>2619</v>
      </c>
    </row>
    <row r="52" spans="1:24" x14ac:dyDescent="0.25">
      <c r="A52" t="s">
        <v>2375</v>
      </c>
      <c r="B52" s="2">
        <v>45215</v>
      </c>
      <c r="C52" t="s">
        <v>30</v>
      </c>
      <c r="D52" t="s">
        <v>2</v>
      </c>
      <c r="E52" t="s">
        <v>3</v>
      </c>
      <c r="F52" t="s">
        <v>4</v>
      </c>
      <c r="G52" t="s">
        <v>5</v>
      </c>
      <c r="H52" s="3">
        <v>352.24</v>
      </c>
      <c r="I52" t="s">
        <v>2802</v>
      </c>
      <c r="J52" t="s">
        <v>460</v>
      </c>
      <c r="L52" t="s">
        <v>8</v>
      </c>
      <c r="M52" t="s">
        <v>2803</v>
      </c>
      <c r="N52" t="s">
        <v>524</v>
      </c>
      <c r="O52" t="s">
        <v>17</v>
      </c>
      <c r="P52" s="2">
        <v>45208</v>
      </c>
      <c r="Q52" t="s">
        <v>2804</v>
      </c>
      <c r="R52" s="2">
        <v>45215</v>
      </c>
      <c r="S52" t="s">
        <v>2805</v>
      </c>
      <c r="T52" t="s">
        <v>8</v>
      </c>
      <c r="U52" s="17">
        <v>0</v>
      </c>
      <c r="V52" t="s">
        <v>8</v>
      </c>
      <c r="W52" t="s">
        <v>8</v>
      </c>
      <c r="X52" t="s">
        <v>4</v>
      </c>
    </row>
    <row r="53" spans="1:24" x14ac:dyDescent="0.25">
      <c r="A53" t="s">
        <v>2375</v>
      </c>
      <c r="B53" s="2">
        <v>45243</v>
      </c>
      <c r="C53" t="s">
        <v>289</v>
      </c>
      <c r="D53" t="s">
        <v>2</v>
      </c>
      <c r="E53" t="s">
        <v>3</v>
      </c>
      <c r="F53" t="s">
        <v>4</v>
      </c>
      <c r="G53" t="s">
        <v>5</v>
      </c>
      <c r="H53" s="3">
        <v>10207.879999999999</v>
      </c>
      <c r="I53" t="s">
        <v>2831</v>
      </c>
      <c r="J53" t="s">
        <v>460</v>
      </c>
      <c r="L53" t="s">
        <v>2832</v>
      </c>
      <c r="M53" t="s">
        <v>2833</v>
      </c>
      <c r="N53" t="s">
        <v>16</v>
      </c>
      <c r="O53" t="s">
        <v>1</v>
      </c>
      <c r="P53" s="2">
        <v>45236</v>
      </c>
      <c r="Q53" t="s">
        <v>2834</v>
      </c>
      <c r="R53" s="2">
        <v>45243</v>
      </c>
      <c r="S53" t="s">
        <v>2835</v>
      </c>
      <c r="T53" t="s">
        <v>469</v>
      </c>
      <c r="U53" s="18">
        <v>1</v>
      </c>
      <c r="V53" t="s">
        <v>8</v>
      </c>
      <c r="W53" t="s">
        <v>8</v>
      </c>
      <c r="X53" t="s">
        <v>4</v>
      </c>
    </row>
    <row r="54" spans="1:24" x14ac:dyDescent="0.25">
      <c r="A54" t="s">
        <v>2375</v>
      </c>
      <c r="B54" s="2">
        <v>45243</v>
      </c>
      <c r="C54" t="s">
        <v>289</v>
      </c>
      <c r="D54" t="s">
        <v>2</v>
      </c>
      <c r="E54" t="s">
        <v>3</v>
      </c>
      <c r="F54" t="s">
        <v>2619</v>
      </c>
      <c r="G54" t="s">
        <v>2620</v>
      </c>
      <c r="H54" s="3">
        <v>3508.08</v>
      </c>
      <c r="I54" t="s">
        <v>2836</v>
      </c>
      <c r="J54" t="s">
        <v>460</v>
      </c>
      <c r="L54" t="s">
        <v>8</v>
      </c>
      <c r="M54" t="s">
        <v>2837</v>
      </c>
      <c r="N54" t="s">
        <v>524</v>
      </c>
      <c r="O54" t="s">
        <v>12</v>
      </c>
      <c r="P54" s="2">
        <v>45236</v>
      </c>
      <c r="Q54" t="s">
        <v>2838</v>
      </c>
      <c r="R54" s="2">
        <v>45243</v>
      </c>
      <c r="S54" t="s">
        <v>2839</v>
      </c>
      <c r="T54" t="s">
        <v>8</v>
      </c>
      <c r="U54" s="17">
        <v>0</v>
      </c>
      <c r="V54" t="s">
        <v>8</v>
      </c>
      <c r="W54" t="s">
        <v>8</v>
      </c>
      <c r="X54" t="s">
        <v>2619</v>
      </c>
    </row>
    <row r="55" spans="1:24" x14ac:dyDescent="0.25">
      <c r="A55" t="s">
        <v>2375</v>
      </c>
      <c r="B55" s="2">
        <v>45243</v>
      </c>
      <c r="C55" t="s">
        <v>289</v>
      </c>
      <c r="D55" t="s">
        <v>2</v>
      </c>
      <c r="E55" t="s">
        <v>3</v>
      </c>
      <c r="F55" t="s">
        <v>4</v>
      </c>
      <c r="G55" t="s">
        <v>5</v>
      </c>
      <c r="H55" s="3">
        <v>151.12</v>
      </c>
      <c r="I55" t="s">
        <v>2836</v>
      </c>
      <c r="J55" t="s">
        <v>460</v>
      </c>
      <c r="L55" t="s">
        <v>8</v>
      </c>
      <c r="M55" t="s">
        <v>2837</v>
      </c>
      <c r="N55" t="s">
        <v>524</v>
      </c>
      <c r="O55" t="s">
        <v>1</v>
      </c>
      <c r="P55" s="2">
        <v>45236</v>
      </c>
      <c r="Q55" t="s">
        <v>2838</v>
      </c>
      <c r="R55" s="2">
        <v>45243</v>
      </c>
      <c r="S55" t="s">
        <v>2839</v>
      </c>
      <c r="T55" t="s">
        <v>8</v>
      </c>
      <c r="U55" s="17">
        <v>0</v>
      </c>
      <c r="V55" t="s">
        <v>8</v>
      </c>
      <c r="W55" t="s">
        <v>8</v>
      </c>
      <c r="X55" t="s">
        <v>4</v>
      </c>
    </row>
    <row r="56" spans="1:24" x14ac:dyDescent="0.25">
      <c r="A56" t="s">
        <v>2375</v>
      </c>
      <c r="B56" s="2">
        <v>45268</v>
      </c>
      <c r="C56" t="s">
        <v>246</v>
      </c>
      <c r="D56" t="s">
        <v>2</v>
      </c>
      <c r="E56" t="s">
        <v>3</v>
      </c>
      <c r="F56" t="s">
        <v>4</v>
      </c>
      <c r="G56" t="s">
        <v>5</v>
      </c>
      <c r="H56" s="3">
        <v>10207.879999999999</v>
      </c>
      <c r="I56" t="s">
        <v>2859</v>
      </c>
      <c r="J56" t="s">
        <v>460</v>
      </c>
      <c r="L56" t="s">
        <v>2860</v>
      </c>
      <c r="M56" t="s">
        <v>2861</v>
      </c>
      <c r="N56" t="s">
        <v>29</v>
      </c>
      <c r="O56" t="s">
        <v>1</v>
      </c>
      <c r="P56" s="2">
        <v>45264</v>
      </c>
      <c r="Q56" t="s">
        <v>2862</v>
      </c>
      <c r="R56" s="2">
        <v>45268</v>
      </c>
      <c r="S56" t="s">
        <v>2863</v>
      </c>
      <c r="T56" t="s">
        <v>469</v>
      </c>
      <c r="U56" s="18">
        <v>1</v>
      </c>
      <c r="V56" t="s">
        <v>8</v>
      </c>
      <c r="W56" t="s">
        <v>8</v>
      </c>
      <c r="X56" t="s">
        <v>4</v>
      </c>
    </row>
    <row r="57" spans="1:24" x14ac:dyDescent="0.25">
      <c r="A57" t="s">
        <v>2375</v>
      </c>
      <c r="B57" s="2">
        <v>45268</v>
      </c>
      <c r="C57" t="s">
        <v>246</v>
      </c>
      <c r="D57" t="s">
        <v>2</v>
      </c>
      <c r="E57" t="s">
        <v>3</v>
      </c>
      <c r="F57" t="s">
        <v>2619</v>
      </c>
      <c r="G57" t="s">
        <v>2620</v>
      </c>
      <c r="H57" s="3">
        <v>3886.58</v>
      </c>
      <c r="I57" t="s">
        <v>2864</v>
      </c>
      <c r="J57" t="s">
        <v>460</v>
      </c>
      <c r="L57" t="s">
        <v>8</v>
      </c>
      <c r="M57" t="s">
        <v>2865</v>
      </c>
      <c r="N57" t="s">
        <v>524</v>
      </c>
      <c r="O57" t="s">
        <v>77</v>
      </c>
      <c r="P57" s="2">
        <v>45264</v>
      </c>
      <c r="Q57" t="s">
        <v>2866</v>
      </c>
      <c r="R57" s="2">
        <v>45268</v>
      </c>
      <c r="S57" t="s">
        <v>2867</v>
      </c>
      <c r="T57" t="s">
        <v>8</v>
      </c>
      <c r="U57" s="17">
        <v>0</v>
      </c>
      <c r="V57" t="s">
        <v>8</v>
      </c>
      <c r="W57" t="s">
        <v>8</v>
      </c>
      <c r="X57" t="s">
        <v>2619</v>
      </c>
    </row>
    <row r="58" spans="1:24" x14ac:dyDescent="0.25">
      <c r="A58" t="s">
        <v>2375</v>
      </c>
      <c r="B58" s="2">
        <v>45268</v>
      </c>
      <c r="C58" t="s">
        <v>246</v>
      </c>
      <c r="D58" t="s">
        <v>2</v>
      </c>
      <c r="E58" t="s">
        <v>3</v>
      </c>
      <c r="F58" t="s">
        <v>2619</v>
      </c>
      <c r="G58" t="s">
        <v>2620</v>
      </c>
      <c r="H58" s="3">
        <v>2736.97</v>
      </c>
      <c r="I58" t="s">
        <v>2864</v>
      </c>
      <c r="J58" t="s">
        <v>460</v>
      </c>
      <c r="L58" t="s">
        <v>8</v>
      </c>
      <c r="M58" t="s">
        <v>2865</v>
      </c>
      <c r="N58" t="s">
        <v>524</v>
      </c>
      <c r="O58" t="s">
        <v>1</v>
      </c>
      <c r="P58" s="2">
        <v>45264</v>
      </c>
      <c r="Q58" t="s">
        <v>2866</v>
      </c>
      <c r="R58" s="2">
        <v>45268</v>
      </c>
      <c r="S58" t="s">
        <v>2867</v>
      </c>
      <c r="T58" t="s">
        <v>8</v>
      </c>
      <c r="U58" s="17">
        <v>0</v>
      </c>
      <c r="V58" t="s">
        <v>8</v>
      </c>
      <c r="W58" t="s">
        <v>8</v>
      </c>
      <c r="X58" t="s">
        <v>2619</v>
      </c>
    </row>
    <row r="59" spans="1:24" x14ac:dyDescent="0.25">
      <c r="A59" t="s">
        <v>2375</v>
      </c>
      <c r="B59" s="2">
        <v>45268</v>
      </c>
      <c r="C59" t="s">
        <v>246</v>
      </c>
      <c r="D59" t="s">
        <v>2</v>
      </c>
      <c r="E59" t="s">
        <v>3</v>
      </c>
      <c r="F59" t="s">
        <v>2868</v>
      </c>
      <c r="G59" t="s">
        <v>2869</v>
      </c>
      <c r="H59" s="3">
        <v>2125.34</v>
      </c>
      <c r="I59" t="s">
        <v>2864</v>
      </c>
      <c r="J59" t="s">
        <v>460</v>
      </c>
      <c r="L59" t="s">
        <v>8</v>
      </c>
      <c r="M59" t="s">
        <v>2865</v>
      </c>
      <c r="N59" t="s">
        <v>524</v>
      </c>
      <c r="O59" t="s">
        <v>43</v>
      </c>
      <c r="P59" s="2">
        <v>45264</v>
      </c>
      <c r="Q59" t="s">
        <v>2866</v>
      </c>
      <c r="R59" s="2">
        <v>45268</v>
      </c>
      <c r="S59" t="s">
        <v>2867</v>
      </c>
      <c r="T59" t="s">
        <v>8</v>
      </c>
      <c r="U59" s="17">
        <v>0</v>
      </c>
      <c r="V59" t="s">
        <v>8</v>
      </c>
      <c r="W59" t="s">
        <v>8</v>
      </c>
      <c r="X59" t="s">
        <v>2868</v>
      </c>
    </row>
    <row r="60" spans="1:24" x14ac:dyDescent="0.25">
      <c r="A60" t="s">
        <v>2375</v>
      </c>
      <c r="B60" s="2">
        <v>45268</v>
      </c>
      <c r="C60" t="s">
        <v>246</v>
      </c>
      <c r="D60" t="s">
        <v>2</v>
      </c>
      <c r="E60" t="s">
        <v>3</v>
      </c>
      <c r="F60" t="s">
        <v>2619</v>
      </c>
      <c r="G60" t="s">
        <v>2620</v>
      </c>
      <c r="H60" s="3">
        <v>324.22000000000003</v>
      </c>
      <c r="I60" t="s">
        <v>2864</v>
      </c>
      <c r="J60" t="s">
        <v>460</v>
      </c>
      <c r="L60" t="s">
        <v>8</v>
      </c>
      <c r="M60" t="s">
        <v>2865</v>
      </c>
      <c r="N60" t="s">
        <v>524</v>
      </c>
      <c r="O60" t="s">
        <v>12</v>
      </c>
      <c r="P60" s="2">
        <v>45264</v>
      </c>
      <c r="Q60" t="s">
        <v>2866</v>
      </c>
      <c r="R60" s="2">
        <v>45268</v>
      </c>
      <c r="S60" t="s">
        <v>2867</v>
      </c>
      <c r="T60" t="s">
        <v>8</v>
      </c>
      <c r="U60" s="17">
        <v>0</v>
      </c>
      <c r="V60" t="s">
        <v>8</v>
      </c>
      <c r="W60" t="s">
        <v>8</v>
      </c>
      <c r="X60" t="s">
        <v>2619</v>
      </c>
    </row>
    <row r="61" spans="1:24" x14ac:dyDescent="0.25">
      <c r="A61" t="s">
        <v>2375</v>
      </c>
      <c r="B61" s="2">
        <v>45268</v>
      </c>
      <c r="C61" t="s">
        <v>246</v>
      </c>
      <c r="D61" t="s">
        <v>2</v>
      </c>
      <c r="E61" t="s">
        <v>3</v>
      </c>
      <c r="F61" t="s">
        <v>4</v>
      </c>
      <c r="G61" t="s">
        <v>5</v>
      </c>
      <c r="H61" s="3">
        <v>32.729999999999997</v>
      </c>
      <c r="I61" t="s">
        <v>2864</v>
      </c>
      <c r="J61" t="s">
        <v>460</v>
      </c>
      <c r="L61" t="s">
        <v>8</v>
      </c>
      <c r="M61" t="s">
        <v>2865</v>
      </c>
      <c r="N61" t="s">
        <v>524</v>
      </c>
      <c r="O61" t="s">
        <v>17</v>
      </c>
      <c r="P61" s="2">
        <v>45264</v>
      </c>
      <c r="Q61" t="s">
        <v>2866</v>
      </c>
      <c r="R61" s="2">
        <v>45268</v>
      </c>
      <c r="S61" t="s">
        <v>2867</v>
      </c>
      <c r="T61" t="s">
        <v>8</v>
      </c>
      <c r="U61" s="17">
        <v>0</v>
      </c>
      <c r="V61" t="s">
        <v>8</v>
      </c>
      <c r="W61" t="s">
        <v>8</v>
      </c>
      <c r="X61" t="s">
        <v>4</v>
      </c>
    </row>
    <row r="62" spans="1:24" x14ac:dyDescent="0.25">
      <c r="A62" t="s">
        <v>2880</v>
      </c>
      <c r="B62" s="2">
        <v>45308</v>
      </c>
      <c r="C62" t="s">
        <v>1</v>
      </c>
      <c r="D62" t="s">
        <v>2</v>
      </c>
      <c r="E62" t="s">
        <v>3</v>
      </c>
      <c r="F62" t="s">
        <v>4</v>
      </c>
      <c r="G62" t="s">
        <v>5</v>
      </c>
      <c r="H62" s="3">
        <v>10207.879999999999</v>
      </c>
      <c r="I62" t="s">
        <v>2901</v>
      </c>
      <c r="J62" t="s">
        <v>460</v>
      </c>
      <c r="L62" t="s">
        <v>2902</v>
      </c>
      <c r="M62" t="s">
        <v>2903</v>
      </c>
      <c r="N62" t="s">
        <v>524</v>
      </c>
      <c r="O62" t="s">
        <v>1</v>
      </c>
      <c r="P62" s="2">
        <v>45307</v>
      </c>
      <c r="Q62" t="s">
        <v>2904</v>
      </c>
      <c r="R62" s="2">
        <v>45308</v>
      </c>
      <c r="S62" t="s">
        <v>2905</v>
      </c>
      <c r="T62" t="s">
        <v>469</v>
      </c>
      <c r="U62" s="18">
        <v>1</v>
      </c>
      <c r="V62" t="s">
        <v>8</v>
      </c>
      <c r="W62" t="s">
        <v>8</v>
      </c>
      <c r="X62" t="s">
        <v>4</v>
      </c>
    </row>
    <row r="63" spans="1:24" x14ac:dyDescent="0.25">
      <c r="A63" t="s">
        <v>2880</v>
      </c>
      <c r="B63" s="2">
        <v>45315</v>
      </c>
      <c r="C63" t="s">
        <v>1</v>
      </c>
      <c r="D63" t="s">
        <v>2</v>
      </c>
      <c r="E63" t="s">
        <v>3</v>
      </c>
      <c r="F63" t="s">
        <v>4</v>
      </c>
      <c r="G63" t="s">
        <v>5</v>
      </c>
      <c r="H63" s="3">
        <v>332.95</v>
      </c>
      <c r="I63" t="s">
        <v>2906</v>
      </c>
      <c r="J63" t="s">
        <v>460</v>
      </c>
      <c r="L63" t="s">
        <v>8</v>
      </c>
      <c r="M63" t="s">
        <v>2907</v>
      </c>
      <c r="N63" t="s">
        <v>524</v>
      </c>
      <c r="O63" t="s">
        <v>17</v>
      </c>
      <c r="P63" s="2">
        <v>45307</v>
      </c>
      <c r="Q63" t="s">
        <v>2908</v>
      </c>
      <c r="R63" s="2">
        <v>45315</v>
      </c>
      <c r="S63" t="s">
        <v>2909</v>
      </c>
      <c r="T63" t="s">
        <v>8</v>
      </c>
      <c r="U63" s="17">
        <v>0</v>
      </c>
      <c r="V63" t="s">
        <v>8</v>
      </c>
      <c r="W63" t="s">
        <v>8</v>
      </c>
      <c r="X63" t="s">
        <v>4</v>
      </c>
    </row>
    <row r="64" spans="1:24" x14ac:dyDescent="0.25">
      <c r="A64" t="s">
        <v>2880</v>
      </c>
      <c r="B64" s="2">
        <v>45315</v>
      </c>
      <c r="C64" t="s">
        <v>1</v>
      </c>
      <c r="D64" t="s">
        <v>2</v>
      </c>
      <c r="E64" t="s">
        <v>3</v>
      </c>
      <c r="F64" t="s">
        <v>2619</v>
      </c>
      <c r="G64" t="s">
        <v>2620</v>
      </c>
      <c r="H64" s="3">
        <v>2.96</v>
      </c>
      <c r="I64" t="s">
        <v>2906</v>
      </c>
      <c r="J64" t="s">
        <v>460</v>
      </c>
      <c r="L64" t="s">
        <v>8</v>
      </c>
      <c r="M64" t="s">
        <v>2907</v>
      </c>
      <c r="N64" t="s">
        <v>524</v>
      </c>
      <c r="O64" t="s">
        <v>12</v>
      </c>
      <c r="P64" s="2">
        <v>45307</v>
      </c>
      <c r="Q64" t="s">
        <v>2908</v>
      </c>
      <c r="R64" s="2">
        <v>45315</v>
      </c>
      <c r="S64" t="s">
        <v>2909</v>
      </c>
      <c r="T64" t="s">
        <v>8</v>
      </c>
      <c r="U64" s="17">
        <v>0</v>
      </c>
      <c r="V64" t="s">
        <v>8</v>
      </c>
      <c r="W64" t="s">
        <v>8</v>
      </c>
      <c r="X64" t="s">
        <v>2619</v>
      </c>
    </row>
    <row r="65" spans="1:25" x14ac:dyDescent="0.25">
      <c r="A65" t="s">
        <v>2880</v>
      </c>
      <c r="B65" s="2">
        <v>45343</v>
      </c>
      <c r="C65" t="s">
        <v>12</v>
      </c>
      <c r="D65" t="s">
        <v>2</v>
      </c>
      <c r="E65" t="s">
        <v>3</v>
      </c>
      <c r="F65" t="s">
        <v>4</v>
      </c>
      <c r="G65" t="s">
        <v>5</v>
      </c>
      <c r="H65" s="3">
        <v>10207.879999999999</v>
      </c>
      <c r="I65" t="s">
        <v>2910</v>
      </c>
      <c r="J65" t="s">
        <v>460</v>
      </c>
      <c r="L65" t="s">
        <v>2911</v>
      </c>
      <c r="M65" t="s">
        <v>2912</v>
      </c>
      <c r="N65" t="s">
        <v>2493</v>
      </c>
      <c r="O65" t="s">
        <v>1</v>
      </c>
      <c r="P65" s="2">
        <v>45338</v>
      </c>
      <c r="Q65" t="s">
        <v>2913</v>
      </c>
      <c r="R65" s="2">
        <v>45343</v>
      </c>
      <c r="S65" t="s">
        <v>2914</v>
      </c>
      <c r="T65" t="s">
        <v>469</v>
      </c>
      <c r="U65" s="18">
        <v>1</v>
      </c>
      <c r="V65" t="s">
        <v>8</v>
      </c>
      <c r="W65" t="s">
        <v>8</v>
      </c>
      <c r="X65" t="s">
        <v>4</v>
      </c>
    </row>
    <row r="66" spans="1:25" x14ac:dyDescent="0.25">
      <c r="A66" t="s">
        <v>2880</v>
      </c>
      <c r="B66" s="2">
        <v>45358</v>
      </c>
      <c r="C66" t="s">
        <v>17</v>
      </c>
      <c r="D66" t="s">
        <v>2</v>
      </c>
      <c r="E66" t="s">
        <v>3</v>
      </c>
      <c r="F66" t="s">
        <v>4</v>
      </c>
      <c r="G66" t="s">
        <v>5</v>
      </c>
      <c r="H66" s="3">
        <v>10207.879999999999</v>
      </c>
      <c r="I66" t="s">
        <v>2972</v>
      </c>
      <c r="J66" t="s">
        <v>460</v>
      </c>
      <c r="L66" t="s">
        <v>2973</v>
      </c>
      <c r="M66" t="s">
        <v>2974</v>
      </c>
      <c r="N66" t="s">
        <v>2493</v>
      </c>
      <c r="O66" t="s">
        <v>1</v>
      </c>
      <c r="P66" s="2">
        <v>45355</v>
      </c>
      <c r="Q66" t="s">
        <v>2975</v>
      </c>
      <c r="R66" s="2">
        <v>45358</v>
      </c>
      <c r="S66" t="s">
        <v>2976</v>
      </c>
      <c r="T66" t="s">
        <v>469</v>
      </c>
      <c r="U66" s="18">
        <v>1</v>
      </c>
      <c r="V66" t="s">
        <v>8</v>
      </c>
      <c r="W66" t="s">
        <v>8</v>
      </c>
      <c r="X66" t="s">
        <v>4</v>
      </c>
    </row>
    <row r="67" spans="1:25" x14ac:dyDescent="0.25">
      <c r="A67" t="s">
        <v>2880</v>
      </c>
      <c r="B67" s="2">
        <v>45358</v>
      </c>
      <c r="C67" t="s">
        <v>17</v>
      </c>
      <c r="D67" t="s">
        <v>2</v>
      </c>
      <c r="E67" t="s">
        <v>3</v>
      </c>
      <c r="F67" t="s">
        <v>4</v>
      </c>
      <c r="G67" t="s">
        <v>5</v>
      </c>
      <c r="H67" s="3">
        <v>1169.6600000000001</v>
      </c>
      <c r="I67" t="s">
        <v>2977</v>
      </c>
      <c r="J67" t="s">
        <v>460</v>
      </c>
      <c r="L67" t="s">
        <v>8</v>
      </c>
      <c r="M67" t="s">
        <v>2978</v>
      </c>
      <c r="N67" t="s">
        <v>2493</v>
      </c>
      <c r="O67" t="s">
        <v>1</v>
      </c>
      <c r="P67" s="2">
        <v>45355</v>
      </c>
      <c r="Q67" t="s">
        <v>2979</v>
      </c>
      <c r="R67" s="2">
        <v>45358</v>
      </c>
      <c r="S67" t="s">
        <v>2980</v>
      </c>
      <c r="T67" t="s">
        <v>8</v>
      </c>
      <c r="U67" s="17">
        <v>0</v>
      </c>
      <c r="V67" t="s">
        <v>8</v>
      </c>
      <c r="W67" t="s">
        <v>8</v>
      </c>
      <c r="X67" t="s">
        <v>4</v>
      </c>
    </row>
    <row r="68" spans="1:25" x14ac:dyDescent="0.25">
      <c r="A68" t="s">
        <v>2880</v>
      </c>
      <c r="B68" s="2">
        <v>45358</v>
      </c>
      <c r="C68" t="s">
        <v>17</v>
      </c>
      <c r="D68" t="s">
        <v>2</v>
      </c>
      <c r="E68" t="s">
        <v>3</v>
      </c>
      <c r="F68" t="s">
        <v>2981</v>
      </c>
      <c r="G68" t="s">
        <v>2982</v>
      </c>
      <c r="H68" s="3">
        <v>742.29</v>
      </c>
      <c r="I68" t="s">
        <v>2977</v>
      </c>
      <c r="J68" t="s">
        <v>460</v>
      </c>
      <c r="L68" t="s">
        <v>8</v>
      </c>
      <c r="M68" t="s">
        <v>2978</v>
      </c>
      <c r="N68" t="s">
        <v>2493</v>
      </c>
      <c r="O68" t="s">
        <v>12</v>
      </c>
      <c r="P68" s="2">
        <v>45355</v>
      </c>
      <c r="Q68" t="s">
        <v>2979</v>
      </c>
      <c r="R68" s="2">
        <v>45358</v>
      </c>
      <c r="S68" t="s">
        <v>2980</v>
      </c>
      <c r="T68" t="s">
        <v>8</v>
      </c>
      <c r="U68" s="17">
        <v>0</v>
      </c>
      <c r="V68" t="s">
        <v>8</v>
      </c>
      <c r="W68" t="s">
        <v>8</v>
      </c>
      <c r="X68" t="s">
        <v>2981</v>
      </c>
    </row>
    <row r="69" spans="1:25" x14ac:dyDescent="0.25">
      <c r="A69" t="s">
        <v>2880</v>
      </c>
      <c r="B69" s="2">
        <v>45358</v>
      </c>
      <c r="C69" t="s">
        <v>17</v>
      </c>
      <c r="D69" t="s">
        <v>2</v>
      </c>
      <c r="E69" t="s">
        <v>3</v>
      </c>
      <c r="F69" t="s">
        <v>2619</v>
      </c>
      <c r="G69" t="s">
        <v>2620</v>
      </c>
      <c r="H69" s="3">
        <v>337.4</v>
      </c>
      <c r="I69" t="s">
        <v>2977</v>
      </c>
      <c r="J69" t="s">
        <v>460</v>
      </c>
      <c r="L69" t="s">
        <v>8</v>
      </c>
      <c r="M69" t="s">
        <v>2978</v>
      </c>
      <c r="N69" t="s">
        <v>2493</v>
      </c>
      <c r="O69" t="s">
        <v>17</v>
      </c>
      <c r="P69" s="2">
        <v>45355</v>
      </c>
      <c r="Q69" t="s">
        <v>2979</v>
      </c>
      <c r="R69" s="2">
        <v>45358</v>
      </c>
      <c r="S69" t="s">
        <v>2980</v>
      </c>
      <c r="T69" t="s">
        <v>8</v>
      </c>
      <c r="U69" s="17">
        <v>0</v>
      </c>
      <c r="V69" t="s">
        <v>8</v>
      </c>
      <c r="W69" t="s">
        <v>8</v>
      </c>
      <c r="X69" t="s">
        <v>2619</v>
      </c>
    </row>
    <row r="70" spans="1:25" x14ac:dyDescent="0.25">
      <c r="A70" t="s">
        <v>2880</v>
      </c>
      <c r="B70" s="2">
        <v>45386</v>
      </c>
      <c r="C70" t="s">
        <v>43</v>
      </c>
      <c r="D70" t="s">
        <v>2</v>
      </c>
      <c r="E70" t="s">
        <v>3</v>
      </c>
      <c r="F70" t="s">
        <v>2619</v>
      </c>
      <c r="G70" t="s">
        <v>2620</v>
      </c>
      <c r="H70" s="3">
        <v>436.69</v>
      </c>
      <c r="I70" t="s">
        <v>3030</v>
      </c>
      <c r="J70" t="s">
        <v>460</v>
      </c>
      <c r="L70" t="s">
        <v>8</v>
      </c>
      <c r="M70" t="s">
        <v>3031</v>
      </c>
      <c r="N70" t="s">
        <v>2493</v>
      </c>
      <c r="O70" t="s">
        <v>1</v>
      </c>
      <c r="P70" s="2">
        <v>45384</v>
      </c>
      <c r="Q70" t="s">
        <v>3032</v>
      </c>
      <c r="R70" s="2">
        <v>45386</v>
      </c>
      <c r="S70" t="s">
        <v>3033</v>
      </c>
      <c r="T70" t="s">
        <v>8</v>
      </c>
      <c r="U70" s="17">
        <v>0</v>
      </c>
      <c r="V70" t="s">
        <v>8</v>
      </c>
      <c r="W70" t="s">
        <v>8</v>
      </c>
      <c r="X70" t="s">
        <v>2619</v>
      </c>
    </row>
    <row r="71" spans="1:25" x14ac:dyDescent="0.25">
      <c r="A71" t="s">
        <v>2880</v>
      </c>
      <c r="B71" s="2">
        <v>45386</v>
      </c>
      <c r="C71" t="s">
        <v>43</v>
      </c>
      <c r="D71" t="s">
        <v>2</v>
      </c>
      <c r="E71" t="s">
        <v>3</v>
      </c>
      <c r="F71" t="s">
        <v>4</v>
      </c>
      <c r="G71" t="s">
        <v>5</v>
      </c>
      <c r="H71" s="3">
        <v>10207.879999999999</v>
      </c>
      <c r="I71" t="s">
        <v>3034</v>
      </c>
      <c r="J71" t="s">
        <v>460</v>
      </c>
      <c r="L71" t="s">
        <v>3035</v>
      </c>
      <c r="M71" t="s">
        <v>3036</v>
      </c>
      <c r="N71" t="s">
        <v>2493</v>
      </c>
      <c r="O71" t="s">
        <v>1</v>
      </c>
      <c r="P71" s="2">
        <v>45384</v>
      </c>
      <c r="Q71" t="s">
        <v>3037</v>
      </c>
      <c r="R71" s="2">
        <v>45386</v>
      </c>
      <c r="S71" t="s">
        <v>3038</v>
      </c>
      <c r="T71" t="s">
        <v>469</v>
      </c>
      <c r="U71" s="18">
        <v>1</v>
      </c>
      <c r="V71" t="s">
        <v>8</v>
      </c>
      <c r="W71" t="s">
        <v>8</v>
      </c>
      <c r="X71" t="s">
        <v>4</v>
      </c>
    </row>
    <row r="72" spans="1:25" x14ac:dyDescent="0.25">
      <c r="A72" t="s">
        <v>2880</v>
      </c>
      <c r="B72" s="2">
        <v>45386</v>
      </c>
      <c r="C72" t="s">
        <v>43</v>
      </c>
      <c r="D72" t="s">
        <v>2</v>
      </c>
      <c r="E72" t="s">
        <v>3</v>
      </c>
      <c r="F72" t="s">
        <v>4</v>
      </c>
      <c r="G72" t="s">
        <v>5</v>
      </c>
      <c r="H72" s="3">
        <v>133.69</v>
      </c>
      <c r="I72" t="s">
        <v>3030</v>
      </c>
      <c r="J72" t="s">
        <v>460</v>
      </c>
      <c r="L72" t="s">
        <v>8</v>
      </c>
      <c r="M72" t="s">
        <v>3031</v>
      </c>
      <c r="N72" t="s">
        <v>2493</v>
      </c>
      <c r="O72" t="s">
        <v>12</v>
      </c>
      <c r="P72" s="2">
        <v>45384</v>
      </c>
      <c r="Q72" t="s">
        <v>3032</v>
      </c>
      <c r="R72" s="2">
        <v>45386</v>
      </c>
      <c r="S72" t="s">
        <v>3033</v>
      </c>
      <c r="T72" t="s">
        <v>8</v>
      </c>
      <c r="U72" s="17">
        <v>0</v>
      </c>
      <c r="V72" t="s">
        <v>8</v>
      </c>
      <c r="W72" t="s">
        <v>8</v>
      </c>
      <c r="X72" t="s">
        <v>4</v>
      </c>
    </row>
    <row r="73" spans="1:25" x14ac:dyDescent="0.25">
      <c r="A73" t="s">
        <v>2880</v>
      </c>
      <c r="B73" s="2">
        <v>45404</v>
      </c>
      <c r="C73" t="s">
        <v>43</v>
      </c>
      <c r="D73" t="s">
        <v>2</v>
      </c>
      <c r="E73" t="s">
        <v>3</v>
      </c>
      <c r="F73" t="s">
        <v>4</v>
      </c>
      <c r="G73" t="s">
        <v>5</v>
      </c>
      <c r="H73" s="3">
        <v>1145.31</v>
      </c>
      <c r="I73" t="s">
        <v>3039</v>
      </c>
      <c r="J73" t="s">
        <v>460</v>
      </c>
      <c r="L73" t="s">
        <v>8</v>
      </c>
      <c r="M73" t="s">
        <v>3040</v>
      </c>
      <c r="N73" t="s">
        <v>524</v>
      </c>
      <c r="O73" t="s">
        <v>1</v>
      </c>
      <c r="P73" s="2">
        <v>45398</v>
      </c>
      <c r="Q73" t="s">
        <v>3041</v>
      </c>
      <c r="R73" s="2">
        <v>45404</v>
      </c>
      <c r="S73" t="s">
        <v>3042</v>
      </c>
      <c r="T73" t="s">
        <v>8</v>
      </c>
      <c r="U73" s="17">
        <v>0</v>
      </c>
      <c r="V73" t="s">
        <v>8</v>
      </c>
      <c r="W73" t="s">
        <v>8</v>
      </c>
      <c r="X73" t="s">
        <v>4</v>
      </c>
    </row>
    <row r="74" spans="1:25" x14ac:dyDescent="0.25">
      <c r="A74" t="s">
        <v>2880</v>
      </c>
      <c r="B74" s="9">
        <v>45429</v>
      </c>
      <c r="C74" t="s">
        <v>77</v>
      </c>
      <c r="D74" t="s">
        <v>2</v>
      </c>
      <c r="E74" t="s">
        <v>3</v>
      </c>
      <c r="F74" t="s">
        <v>2619</v>
      </c>
      <c r="G74" t="s">
        <v>2620</v>
      </c>
      <c r="H74">
        <v>2325.85</v>
      </c>
      <c r="I74" t="s">
        <v>3069</v>
      </c>
      <c r="J74" t="s">
        <v>460</v>
      </c>
      <c r="L74" t="s">
        <v>8</v>
      </c>
      <c r="M74" t="s">
        <v>3070</v>
      </c>
      <c r="N74" t="s">
        <v>21</v>
      </c>
      <c r="O74" t="s">
        <v>12</v>
      </c>
      <c r="P74" s="9">
        <v>45418</v>
      </c>
      <c r="Q74" t="s">
        <v>3071</v>
      </c>
      <c r="R74" s="9">
        <v>45429</v>
      </c>
      <c r="S74" t="s">
        <v>3072</v>
      </c>
      <c r="T74" t="s">
        <v>8</v>
      </c>
      <c r="U74">
        <v>0</v>
      </c>
      <c r="V74" t="s">
        <v>8</v>
      </c>
      <c r="W74" t="s">
        <v>8</v>
      </c>
      <c r="X74" t="s">
        <v>2619</v>
      </c>
    </row>
    <row r="75" spans="1:25" x14ac:dyDescent="0.25">
      <c r="A75" t="s">
        <v>2880</v>
      </c>
      <c r="B75" s="9">
        <v>45434</v>
      </c>
      <c r="C75" t="s">
        <v>77</v>
      </c>
      <c r="D75" t="s">
        <v>2</v>
      </c>
      <c r="E75" t="s">
        <v>3</v>
      </c>
      <c r="F75" t="s">
        <v>2619</v>
      </c>
      <c r="G75" t="s">
        <v>2620</v>
      </c>
      <c r="H75">
        <v>93.67</v>
      </c>
      <c r="I75" t="s">
        <v>3073</v>
      </c>
      <c r="J75" t="s">
        <v>460</v>
      </c>
      <c r="L75" t="s">
        <v>8</v>
      </c>
      <c r="M75" t="s">
        <v>3074</v>
      </c>
      <c r="N75" t="s">
        <v>2493</v>
      </c>
      <c r="O75" t="s">
        <v>1</v>
      </c>
      <c r="P75" s="9">
        <v>45418</v>
      </c>
      <c r="Q75" t="s">
        <v>3075</v>
      </c>
      <c r="R75" s="9">
        <v>45434</v>
      </c>
      <c r="S75" t="s">
        <v>3076</v>
      </c>
      <c r="T75" t="s">
        <v>8</v>
      </c>
      <c r="U75">
        <v>0</v>
      </c>
      <c r="V75" t="s">
        <v>8</v>
      </c>
      <c r="W75" t="s">
        <v>8</v>
      </c>
      <c r="X75" t="s">
        <v>2619</v>
      </c>
    </row>
    <row r="76" spans="1:25" x14ac:dyDescent="0.25">
      <c r="A76" t="s">
        <v>2880</v>
      </c>
      <c r="B76" s="9">
        <v>45429</v>
      </c>
      <c r="C76" t="s">
        <v>77</v>
      </c>
      <c r="D76" t="s">
        <v>2</v>
      </c>
      <c r="E76" t="s">
        <v>3</v>
      </c>
      <c r="F76" t="s">
        <v>4</v>
      </c>
      <c r="G76" t="s">
        <v>5</v>
      </c>
      <c r="H76">
        <v>10589.65</v>
      </c>
      <c r="I76" t="s">
        <v>3077</v>
      </c>
      <c r="J76" t="s">
        <v>460</v>
      </c>
      <c r="L76" t="s">
        <v>3078</v>
      </c>
      <c r="M76" t="s">
        <v>3079</v>
      </c>
      <c r="N76" t="s">
        <v>2493</v>
      </c>
      <c r="O76" t="s">
        <v>1</v>
      </c>
      <c r="P76" s="9">
        <v>45418</v>
      </c>
      <c r="Q76" t="s">
        <v>3080</v>
      </c>
      <c r="R76" s="9">
        <v>45429</v>
      </c>
      <c r="S76" t="s">
        <v>3081</v>
      </c>
      <c r="T76" t="s">
        <v>469</v>
      </c>
      <c r="U76">
        <v>1</v>
      </c>
      <c r="V76" t="s">
        <v>8</v>
      </c>
      <c r="W76" t="s">
        <v>8</v>
      </c>
      <c r="X76" t="s">
        <v>4</v>
      </c>
    </row>
    <row r="77" spans="1:25" x14ac:dyDescent="0.25">
      <c r="A77" t="s">
        <v>2880</v>
      </c>
      <c r="B77" s="9">
        <v>45434</v>
      </c>
      <c r="C77" t="s">
        <v>77</v>
      </c>
      <c r="D77" t="s">
        <v>2</v>
      </c>
      <c r="E77" t="s">
        <v>3</v>
      </c>
      <c r="F77" t="s">
        <v>4</v>
      </c>
      <c r="G77" t="s">
        <v>5</v>
      </c>
      <c r="H77">
        <v>15.6</v>
      </c>
      <c r="I77" t="s">
        <v>3073</v>
      </c>
      <c r="J77" t="s">
        <v>460</v>
      </c>
      <c r="L77" t="s">
        <v>8</v>
      </c>
      <c r="M77" t="s">
        <v>3074</v>
      </c>
      <c r="N77" t="s">
        <v>2493</v>
      </c>
      <c r="O77" t="s">
        <v>12</v>
      </c>
      <c r="P77" s="9">
        <v>45418</v>
      </c>
      <c r="Q77" t="s">
        <v>3075</v>
      </c>
      <c r="R77" s="9">
        <v>45434</v>
      </c>
      <c r="S77" t="s">
        <v>3076</v>
      </c>
      <c r="T77" t="s">
        <v>8</v>
      </c>
      <c r="U77">
        <v>0</v>
      </c>
      <c r="V77" t="s">
        <v>8</v>
      </c>
      <c r="W77" t="s">
        <v>8</v>
      </c>
      <c r="X77" t="s">
        <v>4</v>
      </c>
    </row>
    <row r="78" spans="1:25" x14ac:dyDescent="0.25">
      <c r="A78" t="s">
        <v>2880</v>
      </c>
      <c r="B78" s="9">
        <v>45457</v>
      </c>
      <c r="C78" t="s">
        <v>22</v>
      </c>
      <c r="D78" t="s">
        <v>2</v>
      </c>
      <c r="E78" t="s">
        <v>3</v>
      </c>
      <c r="F78" t="s">
        <v>4</v>
      </c>
      <c r="G78" t="s">
        <v>5</v>
      </c>
      <c r="H78">
        <v>10589.65</v>
      </c>
      <c r="I78" t="s">
        <v>3116</v>
      </c>
      <c r="J78" t="s">
        <v>460</v>
      </c>
      <c r="L78" t="s">
        <v>3117</v>
      </c>
      <c r="M78" t="s">
        <v>3118</v>
      </c>
      <c r="N78" t="s">
        <v>2493</v>
      </c>
      <c r="O78" t="s">
        <v>1</v>
      </c>
      <c r="P78" s="9">
        <v>45450</v>
      </c>
      <c r="Q78" t="s">
        <v>3119</v>
      </c>
      <c r="R78" s="9">
        <v>45457</v>
      </c>
      <c r="S78" t="s">
        <v>3120</v>
      </c>
      <c r="T78" t="s">
        <v>469</v>
      </c>
      <c r="U78">
        <v>1</v>
      </c>
      <c r="V78" t="s">
        <v>8</v>
      </c>
      <c r="W78" t="s">
        <v>8</v>
      </c>
      <c r="X78" t="s">
        <v>4</v>
      </c>
      <c r="Y78" t="s">
        <v>3</v>
      </c>
    </row>
    <row r="79" spans="1:25" x14ac:dyDescent="0.25">
      <c r="A79" t="s">
        <v>2880</v>
      </c>
      <c r="B79" s="9">
        <v>45457</v>
      </c>
      <c r="C79" t="s">
        <v>22</v>
      </c>
      <c r="D79" t="s">
        <v>2</v>
      </c>
      <c r="E79" t="s">
        <v>3</v>
      </c>
      <c r="F79" t="s">
        <v>2619</v>
      </c>
      <c r="G79" t="s">
        <v>2620</v>
      </c>
      <c r="H79">
        <v>29.9</v>
      </c>
      <c r="I79" t="s">
        <v>3121</v>
      </c>
      <c r="J79" t="s">
        <v>460</v>
      </c>
      <c r="L79" t="s">
        <v>8</v>
      </c>
      <c r="M79" t="s">
        <v>3122</v>
      </c>
      <c r="N79" t="s">
        <v>2493</v>
      </c>
      <c r="O79" t="s">
        <v>17</v>
      </c>
      <c r="P79" s="9">
        <v>45450</v>
      </c>
      <c r="Q79" t="s">
        <v>3123</v>
      </c>
      <c r="R79" s="9">
        <v>45457</v>
      </c>
      <c r="S79" t="s">
        <v>3124</v>
      </c>
      <c r="T79" t="s">
        <v>8</v>
      </c>
      <c r="U79">
        <v>0</v>
      </c>
      <c r="V79" t="s">
        <v>8</v>
      </c>
      <c r="W79" t="s">
        <v>8</v>
      </c>
      <c r="X79" t="s">
        <v>2619</v>
      </c>
      <c r="Y79" t="s">
        <v>3</v>
      </c>
    </row>
    <row r="80" spans="1:25" x14ac:dyDescent="0.25">
      <c r="A80" t="s">
        <v>2880</v>
      </c>
      <c r="B80" s="9">
        <v>45457</v>
      </c>
      <c r="C80" t="s">
        <v>22</v>
      </c>
      <c r="D80" t="s">
        <v>2</v>
      </c>
      <c r="E80" t="s">
        <v>3</v>
      </c>
      <c r="F80" t="s">
        <v>2619</v>
      </c>
      <c r="G80" t="s">
        <v>2620</v>
      </c>
      <c r="H80">
        <v>113.16</v>
      </c>
      <c r="I80" t="s">
        <v>3125</v>
      </c>
      <c r="J80" t="s">
        <v>460</v>
      </c>
      <c r="L80" t="s">
        <v>8</v>
      </c>
      <c r="M80" t="s">
        <v>3126</v>
      </c>
      <c r="N80" t="s">
        <v>2493</v>
      </c>
      <c r="O80" t="s">
        <v>12</v>
      </c>
      <c r="P80" s="9">
        <v>45450</v>
      </c>
      <c r="Q80" t="s">
        <v>3127</v>
      </c>
      <c r="R80" s="9">
        <v>45457</v>
      </c>
      <c r="S80" t="s">
        <v>3128</v>
      </c>
      <c r="T80" t="s">
        <v>8</v>
      </c>
      <c r="U80">
        <v>0</v>
      </c>
      <c r="V80" t="s">
        <v>8</v>
      </c>
      <c r="W80" t="s">
        <v>8</v>
      </c>
      <c r="X80" t="s">
        <v>2619</v>
      </c>
      <c r="Y80" t="s">
        <v>3</v>
      </c>
    </row>
    <row r="81" spans="1:25" x14ac:dyDescent="0.25">
      <c r="A81" t="s">
        <v>2880</v>
      </c>
      <c r="B81" s="9">
        <v>45457</v>
      </c>
      <c r="C81" t="s">
        <v>22</v>
      </c>
      <c r="D81" t="s">
        <v>2</v>
      </c>
      <c r="E81" t="s">
        <v>3</v>
      </c>
      <c r="F81" t="s">
        <v>4</v>
      </c>
      <c r="G81" t="s">
        <v>5</v>
      </c>
      <c r="H81">
        <v>54.56</v>
      </c>
      <c r="I81" t="s">
        <v>3121</v>
      </c>
      <c r="J81" t="s">
        <v>460</v>
      </c>
      <c r="L81" t="s">
        <v>8</v>
      </c>
      <c r="M81" t="s">
        <v>3122</v>
      </c>
      <c r="N81" t="s">
        <v>2493</v>
      </c>
      <c r="O81" t="s">
        <v>12</v>
      </c>
      <c r="P81" s="9">
        <v>45450</v>
      </c>
      <c r="Q81" t="s">
        <v>3123</v>
      </c>
      <c r="R81" s="9">
        <v>45457</v>
      </c>
      <c r="S81" t="s">
        <v>3124</v>
      </c>
      <c r="T81" t="s">
        <v>8</v>
      </c>
      <c r="U81">
        <v>0</v>
      </c>
      <c r="V81" t="s">
        <v>8</v>
      </c>
      <c r="W81" t="s">
        <v>8</v>
      </c>
      <c r="X81" t="s">
        <v>4</v>
      </c>
      <c r="Y81" t="s">
        <v>3</v>
      </c>
    </row>
    <row r="82" spans="1:25" x14ac:dyDescent="0.25">
      <c r="A82" t="s">
        <v>2880</v>
      </c>
      <c r="B82" s="9">
        <v>45457</v>
      </c>
      <c r="C82" t="s">
        <v>22</v>
      </c>
      <c r="D82" t="s">
        <v>2</v>
      </c>
      <c r="E82" t="s">
        <v>3</v>
      </c>
      <c r="F82" t="s">
        <v>4</v>
      </c>
      <c r="G82" t="s">
        <v>5</v>
      </c>
      <c r="H82">
        <v>264.05</v>
      </c>
      <c r="I82" t="s">
        <v>3125</v>
      </c>
      <c r="J82" t="s">
        <v>460</v>
      </c>
      <c r="L82" t="s">
        <v>8</v>
      </c>
      <c r="M82" t="s">
        <v>3126</v>
      </c>
      <c r="N82" t="s">
        <v>2493</v>
      </c>
      <c r="O82" t="s">
        <v>1</v>
      </c>
      <c r="P82" s="9">
        <v>45450</v>
      </c>
      <c r="Q82" t="s">
        <v>3127</v>
      </c>
      <c r="R82" s="9">
        <v>45457</v>
      </c>
      <c r="S82" t="s">
        <v>3128</v>
      </c>
      <c r="T82" t="s">
        <v>8</v>
      </c>
      <c r="U82">
        <v>0</v>
      </c>
      <c r="V82" t="s">
        <v>8</v>
      </c>
      <c r="W82" t="s">
        <v>8</v>
      </c>
      <c r="X82" t="s">
        <v>4</v>
      </c>
      <c r="Y82" t="s">
        <v>3</v>
      </c>
    </row>
    <row r="83" spans="1:25" x14ac:dyDescent="0.25">
      <c r="A83" t="s">
        <v>2880</v>
      </c>
      <c r="B83" s="2">
        <v>45497</v>
      </c>
      <c r="C83" t="s">
        <v>72</v>
      </c>
      <c r="D83" t="s">
        <v>2</v>
      </c>
      <c r="E83" t="s">
        <v>3</v>
      </c>
      <c r="F83" t="s">
        <v>4</v>
      </c>
      <c r="G83" t="s">
        <v>5</v>
      </c>
      <c r="H83" s="3">
        <v>10589.65</v>
      </c>
      <c r="I83" t="s">
        <v>3155</v>
      </c>
      <c r="J83" t="s">
        <v>460</v>
      </c>
      <c r="L83" t="s">
        <v>3156</v>
      </c>
      <c r="M83" t="s">
        <v>3157</v>
      </c>
      <c r="N83" t="s">
        <v>21</v>
      </c>
      <c r="O83" t="s">
        <v>1</v>
      </c>
      <c r="P83" s="2">
        <v>45478</v>
      </c>
      <c r="Q83" t="s">
        <v>3158</v>
      </c>
      <c r="R83" s="2">
        <v>45497</v>
      </c>
      <c r="S83" t="s">
        <v>3159</v>
      </c>
      <c r="T83" t="s">
        <v>469</v>
      </c>
      <c r="U83" s="18">
        <v>1</v>
      </c>
      <c r="V83" t="s">
        <v>8</v>
      </c>
      <c r="W83" t="s">
        <v>8</v>
      </c>
      <c r="X83" t="s">
        <v>4</v>
      </c>
      <c r="Y83" t="s">
        <v>3</v>
      </c>
    </row>
    <row r="84" spans="1:25" x14ac:dyDescent="0.25">
      <c r="A84" t="s">
        <v>2880</v>
      </c>
      <c r="B84" s="2">
        <v>45497</v>
      </c>
      <c r="C84" t="s">
        <v>72</v>
      </c>
      <c r="D84" t="s">
        <v>2</v>
      </c>
      <c r="E84" t="s">
        <v>3</v>
      </c>
      <c r="F84" t="s">
        <v>2619</v>
      </c>
      <c r="G84" t="s">
        <v>2620</v>
      </c>
      <c r="H84" s="3">
        <v>413.54</v>
      </c>
      <c r="I84" t="s">
        <v>3160</v>
      </c>
      <c r="J84" t="s">
        <v>460</v>
      </c>
      <c r="L84" t="s">
        <v>8</v>
      </c>
      <c r="M84" t="s">
        <v>3161</v>
      </c>
      <c r="N84" t="s">
        <v>21</v>
      </c>
      <c r="O84" t="s">
        <v>1</v>
      </c>
      <c r="P84" s="2">
        <v>45478</v>
      </c>
      <c r="Q84" t="s">
        <v>3162</v>
      </c>
      <c r="R84" s="2">
        <v>45497</v>
      </c>
      <c r="S84" t="s">
        <v>3163</v>
      </c>
      <c r="T84" t="s">
        <v>8</v>
      </c>
      <c r="U84" s="17">
        <v>0</v>
      </c>
      <c r="V84" t="s">
        <v>8</v>
      </c>
      <c r="W84" t="s">
        <v>8</v>
      </c>
      <c r="X84" t="s">
        <v>2619</v>
      </c>
      <c r="Y84" t="s">
        <v>3</v>
      </c>
    </row>
    <row r="85" spans="1:25" x14ac:dyDescent="0.25">
      <c r="A85" t="s">
        <v>2880</v>
      </c>
      <c r="B85" s="2">
        <v>45497</v>
      </c>
      <c r="C85" t="s">
        <v>72</v>
      </c>
      <c r="D85" t="s">
        <v>2</v>
      </c>
      <c r="E85" t="s">
        <v>3</v>
      </c>
      <c r="F85" t="s">
        <v>2981</v>
      </c>
      <c r="G85" t="s">
        <v>2982</v>
      </c>
      <c r="H85" s="3">
        <v>1068.31</v>
      </c>
      <c r="I85" t="s">
        <v>3160</v>
      </c>
      <c r="J85" t="s">
        <v>460</v>
      </c>
      <c r="L85" t="s">
        <v>8</v>
      </c>
      <c r="M85" t="s">
        <v>3161</v>
      </c>
      <c r="N85" t="s">
        <v>21</v>
      </c>
      <c r="O85" t="s">
        <v>17</v>
      </c>
      <c r="P85" s="2">
        <v>45478</v>
      </c>
      <c r="Q85" t="s">
        <v>3162</v>
      </c>
      <c r="R85" s="2">
        <v>45497</v>
      </c>
      <c r="S85" t="s">
        <v>3163</v>
      </c>
      <c r="T85" t="s">
        <v>8</v>
      </c>
      <c r="U85" s="17">
        <v>0</v>
      </c>
      <c r="V85" t="s">
        <v>8</v>
      </c>
      <c r="W85" t="s">
        <v>8</v>
      </c>
      <c r="X85" t="s">
        <v>2981</v>
      </c>
      <c r="Y85" t="s">
        <v>3</v>
      </c>
    </row>
    <row r="86" spans="1:25" x14ac:dyDescent="0.25">
      <c r="A86" t="s">
        <v>2880</v>
      </c>
      <c r="B86" s="2">
        <v>45499</v>
      </c>
      <c r="C86" t="s">
        <v>72</v>
      </c>
      <c r="D86" t="s">
        <v>2</v>
      </c>
      <c r="E86" t="s">
        <v>3</v>
      </c>
      <c r="F86" t="s">
        <v>2619</v>
      </c>
      <c r="G86" t="s">
        <v>2620</v>
      </c>
      <c r="H86" s="3">
        <v>22.74</v>
      </c>
      <c r="I86" t="s">
        <v>3164</v>
      </c>
      <c r="J86" t="s">
        <v>460</v>
      </c>
      <c r="L86" t="s">
        <v>8</v>
      </c>
      <c r="M86" t="s">
        <v>3165</v>
      </c>
      <c r="N86" t="s">
        <v>2429</v>
      </c>
      <c r="O86" t="s">
        <v>12</v>
      </c>
      <c r="P86" s="2">
        <v>45478</v>
      </c>
      <c r="Q86" t="s">
        <v>3166</v>
      </c>
      <c r="R86" s="2">
        <v>45499</v>
      </c>
      <c r="S86" t="s">
        <v>3167</v>
      </c>
      <c r="T86" t="s">
        <v>8</v>
      </c>
      <c r="U86" s="17">
        <v>0</v>
      </c>
      <c r="V86" t="s">
        <v>8</v>
      </c>
      <c r="W86" t="s">
        <v>8</v>
      </c>
      <c r="X86" t="s">
        <v>2619</v>
      </c>
      <c r="Y86" t="s">
        <v>3</v>
      </c>
    </row>
    <row r="87" spans="1:25" x14ac:dyDescent="0.25">
      <c r="A87" t="s">
        <v>2880</v>
      </c>
      <c r="B87" s="2">
        <v>45499</v>
      </c>
      <c r="C87" t="s">
        <v>72</v>
      </c>
      <c r="D87" t="s">
        <v>2</v>
      </c>
      <c r="E87" t="s">
        <v>3</v>
      </c>
      <c r="F87" t="s">
        <v>4</v>
      </c>
      <c r="G87" t="s">
        <v>5</v>
      </c>
      <c r="H87" s="3">
        <v>35.53</v>
      </c>
      <c r="I87" t="s">
        <v>3164</v>
      </c>
      <c r="J87" t="s">
        <v>460</v>
      </c>
      <c r="L87" t="s">
        <v>8</v>
      </c>
      <c r="M87" t="s">
        <v>3165</v>
      </c>
      <c r="N87" t="s">
        <v>2429</v>
      </c>
      <c r="O87" t="s">
        <v>43</v>
      </c>
      <c r="P87" s="2">
        <v>45478</v>
      </c>
      <c r="Q87" t="s">
        <v>3166</v>
      </c>
      <c r="R87" s="2">
        <v>45499</v>
      </c>
      <c r="S87" t="s">
        <v>3167</v>
      </c>
      <c r="T87" t="s">
        <v>8</v>
      </c>
      <c r="U87" s="17">
        <v>0</v>
      </c>
      <c r="V87" t="s">
        <v>8</v>
      </c>
      <c r="W87" t="s">
        <v>8</v>
      </c>
      <c r="X87" t="s">
        <v>4</v>
      </c>
      <c r="Y87" t="s">
        <v>3</v>
      </c>
    </row>
    <row r="88" spans="1:25" x14ac:dyDescent="0.25">
      <c r="A88" t="s">
        <v>2880</v>
      </c>
      <c r="B88" s="2">
        <v>45499</v>
      </c>
      <c r="C88" t="s">
        <v>72</v>
      </c>
      <c r="D88" t="s">
        <v>2</v>
      </c>
      <c r="E88" t="s">
        <v>3</v>
      </c>
      <c r="F88" t="s">
        <v>4</v>
      </c>
      <c r="G88" t="s">
        <v>5</v>
      </c>
      <c r="H88" s="3">
        <v>5.67</v>
      </c>
      <c r="I88" t="s">
        <v>3164</v>
      </c>
      <c r="J88" t="s">
        <v>460</v>
      </c>
      <c r="L88" t="s">
        <v>8</v>
      </c>
      <c r="M88" t="s">
        <v>3165</v>
      </c>
      <c r="N88" t="s">
        <v>2429</v>
      </c>
      <c r="O88" t="s">
        <v>77</v>
      </c>
      <c r="P88" s="2">
        <v>45478</v>
      </c>
      <c r="Q88" t="s">
        <v>3166</v>
      </c>
      <c r="R88" s="2">
        <v>45499</v>
      </c>
      <c r="S88" t="s">
        <v>3167</v>
      </c>
      <c r="T88" t="s">
        <v>8</v>
      </c>
      <c r="U88" s="17">
        <v>0</v>
      </c>
      <c r="V88" t="s">
        <v>8</v>
      </c>
      <c r="W88" t="s">
        <v>8</v>
      </c>
      <c r="X88" t="s">
        <v>4</v>
      </c>
      <c r="Y88" t="s">
        <v>3</v>
      </c>
    </row>
    <row r="89" spans="1:25" x14ac:dyDescent="0.25">
      <c r="A89" t="s">
        <v>2880</v>
      </c>
      <c r="B89" s="9">
        <v>45541</v>
      </c>
      <c r="C89" t="s">
        <v>87</v>
      </c>
      <c r="D89" t="s">
        <v>2</v>
      </c>
      <c r="E89" t="s">
        <v>3</v>
      </c>
      <c r="F89" t="s">
        <v>4</v>
      </c>
      <c r="G89" t="s">
        <v>5</v>
      </c>
      <c r="H89">
        <v>119.34</v>
      </c>
      <c r="I89" t="s">
        <v>3239</v>
      </c>
      <c r="J89" t="s">
        <v>460</v>
      </c>
      <c r="L89" t="s">
        <v>8</v>
      </c>
      <c r="M89" t="s">
        <v>3240</v>
      </c>
      <c r="N89" t="s">
        <v>21</v>
      </c>
      <c r="O89" t="s">
        <v>1</v>
      </c>
      <c r="P89" s="9">
        <v>45507</v>
      </c>
      <c r="Q89" t="s">
        <v>3241</v>
      </c>
      <c r="R89" s="9">
        <v>45541</v>
      </c>
      <c r="S89" t="s">
        <v>3242</v>
      </c>
      <c r="T89" t="s">
        <v>8</v>
      </c>
      <c r="U89">
        <v>0</v>
      </c>
      <c r="V89" t="s">
        <v>8</v>
      </c>
      <c r="W89" t="s">
        <v>8</v>
      </c>
      <c r="X89" t="s">
        <v>4</v>
      </c>
      <c r="Y89" t="s">
        <v>3</v>
      </c>
    </row>
    <row r="90" spans="1:25" x14ac:dyDescent="0.25">
      <c r="A90" t="s">
        <v>2880</v>
      </c>
      <c r="B90" s="9">
        <v>45541</v>
      </c>
      <c r="C90" t="s">
        <v>87</v>
      </c>
      <c r="D90" t="s">
        <v>2</v>
      </c>
      <c r="E90" t="s">
        <v>3</v>
      </c>
      <c r="F90" t="s">
        <v>2619</v>
      </c>
      <c r="G90" t="s">
        <v>2620</v>
      </c>
      <c r="H90">
        <v>207.63</v>
      </c>
      <c r="I90" t="s">
        <v>3239</v>
      </c>
      <c r="J90" t="s">
        <v>460</v>
      </c>
      <c r="L90" t="s">
        <v>8</v>
      </c>
      <c r="M90" t="s">
        <v>3240</v>
      </c>
      <c r="N90" t="s">
        <v>21</v>
      </c>
      <c r="O90" t="s">
        <v>12</v>
      </c>
      <c r="P90" s="9">
        <v>45507</v>
      </c>
      <c r="Q90" t="s">
        <v>3241</v>
      </c>
      <c r="R90" s="9">
        <v>45541</v>
      </c>
      <c r="S90" t="s">
        <v>3242</v>
      </c>
      <c r="T90" t="s">
        <v>8</v>
      </c>
      <c r="U90">
        <v>0</v>
      </c>
      <c r="V90" t="s">
        <v>8</v>
      </c>
      <c r="W90" t="s">
        <v>8</v>
      </c>
      <c r="X90" t="s">
        <v>2619</v>
      </c>
      <c r="Y90" t="s">
        <v>3</v>
      </c>
    </row>
    <row r="91" spans="1:25" x14ac:dyDescent="0.25">
      <c r="A91" t="s">
        <v>2880</v>
      </c>
      <c r="B91" s="9">
        <v>45541</v>
      </c>
      <c r="C91" t="s">
        <v>87</v>
      </c>
      <c r="D91" t="s">
        <v>2</v>
      </c>
      <c r="E91" t="s">
        <v>3</v>
      </c>
      <c r="F91" t="s">
        <v>2619</v>
      </c>
      <c r="G91" t="s">
        <v>2620</v>
      </c>
      <c r="H91">
        <v>21.02</v>
      </c>
      <c r="I91" t="s">
        <v>3243</v>
      </c>
      <c r="J91" t="s">
        <v>460</v>
      </c>
      <c r="L91" t="s">
        <v>8</v>
      </c>
      <c r="M91" t="s">
        <v>3244</v>
      </c>
      <c r="N91" t="s">
        <v>21</v>
      </c>
      <c r="O91" t="s">
        <v>1</v>
      </c>
      <c r="P91" s="9">
        <v>45509</v>
      </c>
      <c r="Q91" t="s">
        <v>3245</v>
      </c>
      <c r="R91" s="9">
        <v>45541</v>
      </c>
      <c r="S91" t="s">
        <v>3246</v>
      </c>
      <c r="T91" t="s">
        <v>8</v>
      </c>
      <c r="U91">
        <v>0</v>
      </c>
      <c r="V91" t="s">
        <v>8</v>
      </c>
      <c r="W91" t="s">
        <v>8</v>
      </c>
      <c r="X91" t="s">
        <v>2619</v>
      </c>
      <c r="Y91" t="s">
        <v>3</v>
      </c>
    </row>
    <row r="92" spans="1:25" x14ac:dyDescent="0.25">
      <c r="A92" t="s">
        <v>2880</v>
      </c>
      <c r="B92" s="9">
        <v>45559</v>
      </c>
      <c r="C92" t="s">
        <v>87</v>
      </c>
      <c r="D92" t="s">
        <v>2</v>
      </c>
      <c r="E92" t="s">
        <v>3</v>
      </c>
      <c r="F92" t="s">
        <v>4</v>
      </c>
      <c r="G92" t="s">
        <v>5</v>
      </c>
      <c r="H92">
        <v>10589.65</v>
      </c>
      <c r="I92" t="s">
        <v>3247</v>
      </c>
      <c r="J92" t="s">
        <v>460</v>
      </c>
      <c r="L92" s="7">
        <v>660871748</v>
      </c>
      <c r="M92" t="s">
        <v>3248</v>
      </c>
      <c r="N92" t="s">
        <v>21</v>
      </c>
      <c r="O92" t="s">
        <v>1</v>
      </c>
      <c r="P92" s="9">
        <v>45507</v>
      </c>
      <c r="Q92" t="s">
        <v>3249</v>
      </c>
      <c r="R92" s="9">
        <v>45559</v>
      </c>
      <c r="S92" t="s">
        <v>3250</v>
      </c>
      <c r="T92" t="s">
        <v>469</v>
      </c>
      <c r="U92">
        <v>1</v>
      </c>
      <c r="V92" t="s">
        <v>8</v>
      </c>
      <c r="W92" t="s">
        <v>8</v>
      </c>
      <c r="X92" t="s">
        <v>4</v>
      </c>
      <c r="Y92" t="s">
        <v>3</v>
      </c>
    </row>
    <row r="93" spans="1:25" x14ac:dyDescent="0.25">
      <c r="A93" t="s">
        <v>2880</v>
      </c>
      <c r="B93" s="2">
        <v>45583</v>
      </c>
      <c r="C93" t="s">
        <v>30</v>
      </c>
      <c r="D93" t="s">
        <v>2</v>
      </c>
      <c r="E93" t="s">
        <v>3</v>
      </c>
      <c r="F93" t="s">
        <v>4</v>
      </c>
      <c r="G93" t="s">
        <v>5</v>
      </c>
      <c r="H93" s="3">
        <v>10589.65</v>
      </c>
      <c r="I93" t="s">
        <v>3288</v>
      </c>
      <c r="J93" t="s">
        <v>460</v>
      </c>
      <c r="L93" t="s">
        <v>3289</v>
      </c>
      <c r="M93" t="s">
        <v>3290</v>
      </c>
      <c r="N93" t="s">
        <v>3291</v>
      </c>
      <c r="O93" t="s">
        <v>1</v>
      </c>
      <c r="P93" s="2">
        <v>45544</v>
      </c>
      <c r="Q93" t="s">
        <v>3292</v>
      </c>
      <c r="R93" s="2">
        <v>45583</v>
      </c>
      <c r="S93" t="s">
        <v>3293</v>
      </c>
      <c r="T93" t="s">
        <v>469</v>
      </c>
      <c r="U93" s="18">
        <v>1</v>
      </c>
      <c r="V93" t="s">
        <v>8</v>
      </c>
      <c r="W93" t="s">
        <v>8</v>
      </c>
      <c r="X93" t="s">
        <v>4</v>
      </c>
      <c r="Y93" t="s">
        <v>3</v>
      </c>
    </row>
    <row r="94" spans="1:25" x14ac:dyDescent="0.25">
      <c r="A94" t="s">
        <v>2880</v>
      </c>
      <c r="B94" s="2">
        <v>45584</v>
      </c>
      <c r="C94" t="s">
        <v>30</v>
      </c>
      <c r="D94" t="s">
        <v>2</v>
      </c>
      <c r="E94" t="s">
        <v>3</v>
      </c>
      <c r="F94" t="s">
        <v>2619</v>
      </c>
      <c r="G94" t="s">
        <v>2620</v>
      </c>
      <c r="H94" s="3">
        <v>4272.75</v>
      </c>
      <c r="I94" t="s">
        <v>3294</v>
      </c>
      <c r="J94" t="s">
        <v>460</v>
      </c>
      <c r="L94" t="s">
        <v>8</v>
      </c>
      <c r="M94" t="s">
        <v>3295</v>
      </c>
      <c r="N94" t="s">
        <v>21</v>
      </c>
      <c r="O94" t="s">
        <v>1</v>
      </c>
      <c r="P94" s="2">
        <v>45544</v>
      </c>
      <c r="Q94" t="s">
        <v>3296</v>
      </c>
      <c r="R94" s="2">
        <v>45584</v>
      </c>
      <c r="S94" t="s">
        <v>3297</v>
      </c>
      <c r="T94" t="s">
        <v>8</v>
      </c>
      <c r="U94" s="17">
        <v>0</v>
      </c>
      <c r="V94" t="s">
        <v>8</v>
      </c>
      <c r="W94" t="s">
        <v>8</v>
      </c>
      <c r="X94" t="s">
        <v>2619</v>
      </c>
      <c r="Y94" t="s">
        <v>3</v>
      </c>
    </row>
    <row r="95" spans="1:25" x14ac:dyDescent="0.25">
      <c r="A95" t="s">
        <v>2880</v>
      </c>
      <c r="B95" s="2">
        <v>45584</v>
      </c>
      <c r="C95" t="s">
        <v>30</v>
      </c>
      <c r="D95" t="s">
        <v>2</v>
      </c>
      <c r="E95" t="s">
        <v>3</v>
      </c>
      <c r="F95" t="s">
        <v>2619</v>
      </c>
      <c r="G95" t="s">
        <v>2620</v>
      </c>
      <c r="H95" s="3">
        <v>173.1</v>
      </c>
      <c r="I95" t="s">
        <v>3298</v>
      </c>
      <c r="J95" t="s">
        <v>460</v>
      </c>
      <c r="L95" t="s">
        <v>8</v>
      </c>
      <c r="M95" t="s">
        <v>3299</v>
      </c>
      <c r="N95" t="s">
        <v>21</v>
      </c>
      <c r="O95" t="s">
        <v>1</v>
      </c>
      <c r="P95" s="2">
        <v>45544</v>
      </c>
      <c r="Q95" t="s">
        <v>3300</v>
      </c>
      <c r="R95" s="2">
        <v>45584</v>
      </c>
      <c r="S95" t="s">
        <v>3301</v>
      </c>
      <c r="T95" t="s">
        <v>8</v>
      </c>
      <c r="U95" s="17">
        <v>0</v>
      </c>
      <c r="V95" t="s">
        <v>8</v>
      </c>
      <c r="W95" t="s">
        <v>8</v>
      </c>
      <c r="X95" t="s">
        <v>2619</v>
      </c>
      <c r="Y95" t="s">
        <v>3</v>
      </c>
    </row>
    <row r="96" spans="1:25" x14ac:dyDescent="0.25">
      <c r="A96" t="s">
        <v>2880</v>
      </c>
      <c r="B96" s="2">
        <v>45587</v>
      </c>
      <c r="C96" t="s">
        <v>30</v>
      </c>
      <c r="D96" t="s">
        <v>2</v>
      </c>
      <c r="E96" t="s">
        <v>3</v>
      </c>
      <c r="F96" t="s">
        <v>4</v>
      </c>
      <c r="G96" t="s">
        <v>5</v>
      </c>
      <c r="H96" s="3">
        <v>10589.65</v>
      </c>
      <c r="I96" t="s">
        <v>3302</v>
      </c>
      <c r="J96" t="s">
        <v>460</v>
      </c>
      <c r="L96" t="s">
        <v>3303</v>
      </c>
      <c r="M96" t="s">
        <v>3304</v>
      </c>
      <c r="N96" t="s">
        <v>3280</v>
      </c>
      <c r="O96" t="s">
        <v>1</v>
      </c>
      <c r="P96" s="2">
        <v>45572</v>
      </c>
      <c r="Q96" t="s">
        <v>3305</v>
      </c>
      <c r="R96" s="2">
        <v>45587</v>
      </c>
      <c r="S96" t="s">
        <v>3306</v>
      </c>
      <c r="T96" t="s">
        <v>469</v>
      </c>
      <c r="U96" s="18">
        <v>1</v>
      </c>
      <c r="V96" t="s">
        <v>8</v>
      </c>
      <c r="W96" t="s">
        <v>8</v>
      </c>
      <c r="X96" t="s">
        <v>4</v>
      </c>
      <c r="Y96" t="s">
        <v>3</v>
      </c>
    </row>
    <row r="97" spans="1:25" x14ac:dyDescent="0.25">
      <c r="A97" t="s">
        <v>2880</v>
      </c>
      <c r="B97" s="2">
        <v>45594</v>
      </c>
      <c r="C97" t="s">
        <v>30</v>
      </c>
      <c r="D97" t="s">
        <v>2</v>
      </c>
      <c r="E97" t="s">
        <v>3</v>
      </c>
      <c r="F97" t="s">
        <v>2619</v>
      </c>
      <c r="G97" t="s">
        <v>2620</v>
      </c>
      <c r="H97" s="3">
        <v>313.7</v>
      </c>
      <c r="I97" t="s">
        <v>3307</v>
      </c>
      <c r="J97" t="s">
        <v>460</v>
      </c>
      <c r="L97" t="s">
        <v>8</v>
      </c>
      <c r="M97" t="s">
        <v>3308</v>
      </c>
      <c r="N97" t="s">
        <v>2493</v>
      </c>
      <c r="O97" t="s">
        <v>1</v>
      </c>
      <c r="P97" s="2">
        <v>45572</v>
      </c>
      <c r="Q97" t="s">
        <v>3309</v>
      </c>
      <c r="R97" s="2">
        <v>45594</v>
      </c>
      <c r="S97" t="s">
        <v>3310</v>
      </c>
      <c r="T97" t="s">
        <v>8</v>
      </c>
      <c r="U97" s="17">
        <v>0</v>
      </c>
      <c r="V97" t="s">
        <v>8</v>
      </c>
      <c r="W97" t="s">
        <v>8</v>
      </c>
      <c r="X97" t="s">
        <v>2619</v>
      </c>
      <c r="Y97" t="s">
        <v>3</v>
      </c>
    </row>
    <row r="98" spans="1:25" x14ac:dyDescent="0.25">
      <c r="A98" t="s">
        <v>2880</v>
      </c>
      <c r="B98" s="2">
        <v>45594</v>
      </c>
      <c r="C98" t="s">
        <v>30</v>
      </c>
      <c r="D98" t="s">
        <v>2</v>
      </c>
      <c r="E98" t="s">
        <v>3</v>
      </c>
      <c r="F98" t="s">
        <v>3311</v>
      </c>
      <c r="G98" t="s">
        <v>3312</v>
      </c>
      <c r="H98" s="3">
        <v>116.03</v>
      </c>
      <c r="I98" t="s">
        <v>3307</v>
      </c>
      <c r="J98" t="s">
        <v>460</v>
      </c>
      <c r="L98" t="s">
        <v>8</v>
      </c>
      <c r="M98" t="s">
        <v>3308</v>
      </c>
      <c r="N98" t="s">
        <v>2493</v>
      </c>
      <c r="O98" t="s">
        <v>12</v>
      </c>
      <c r="P98" s="2">
        <v>45572</v>
      </c>
      <c r="Q98" t="s">
        <v>3309</v>
      </c>
      <c r="R98" s="2">
        <v>45594</v>
      </c>
      <c r="S98" t="s">
        <v>3310</v>
      </c>
      <c r="T98" t="s">
        <v>8</v>
      </c>
      <c r="U98" s="17">
        <v>0</v>
      </c>
      <c r="V98" t="s">
        <v>8</v>
      </c>
      <c r="W98" t="s">
        <v>8</v>
      </c>
      <c r="X98" t="s">
        <v>3311</v>
      </c>
      <c r="Y98" t="s">
        <v>3</v>
      </c>
    </row>
    <row r="99" spans="1:25" x14ac:dyDescent="0.25">
      <c r="A99" t="s">
        <v>2880</v>
      </c>
      <c r="B99" s="2">
        <v>45594</v>
      </c>
      <c r="C99" t="s">
        <v>30</v>
      </c>
      <c r="D99" t="s">
        <v>2</v>
      </c>
      <c r="E99" t="s">
        <v>3</v>
      </c>
      <c r="F99" t="s">
        <v>4</v>
      </c>
      <c r="G99" t="s">
        <v>5</v>
      </c>
      <c r="H99" s="3">
        <v>5.0199999999999996</v>
      </c>
      <c r="I99" t="s">
        <v>3313</v>
      </c>
      <c r="J99" t="s">
        <v>460</v>
      </c>
      <c r="L99" t="s">
        <v>8</v>
      </c>
      <c r="M99" t="s">
        <v>3314</v>
      </c>
      <c r="N99" t="s">
        <v>2493</v>
      </c>
      <c r="O99" t="s">
        <v>1</v>
      </c>
      <c r="P99" s="2">
        <v>45572</v>
      </c>
      <c r="Q99" t="s">
        <v>3315</v>
      </c>
      <c r="R99" s="2">
        <v>45594</v>
      </c>
      <c r="S99" t="s">
        <v>3316</v>
      </c>
      <c r="T99" t="s">
        <v>8</v>
      </c>
      <c r="U99" s="17">
        <v>0</v>
      </c>
      <c r="V99" t="s">
        <v>8</v>
      </c>
      <c r="W99" t="s">
        <v>8</v>
      </c>
      <c r="X99" t="s">
        <v>4</v>
      </c>
      <c r="Y99" t="s">
        <v>3</v>
      </c>
    </row>
    <row r="100" spans="1:25" x14ac:dyDescent="0.25">
      <c r="A100" t="s">
        <v>2880</v>
      </c>
      <c r="B100" s="2">
        <v>45594</v>
      </c>
      <c r="C100" t="s">
        <v>30</v>
      </c>
      <c r="D100" t="s">
        <v>2</v>
      </c>
      <c r="E100" t="s">
        <v>3</v>
      </c>
      <c r="F100" t="s">
        <v>3311</v>
      </c>
      <c r="G100" t="s">
        <v>3312</v>
      </c>
      <c r="H100" s="3">
        <v>25.01</v>
      </c>
      <c r="I100" t="s">
        <v>3313</v>
      </c>
      <c r="J100" t="s">
        <v>460</v>
      </c>
      <c r="L100" t="s">
        <v>8</v>
      </c>
      <c r="M100" t="s">
        <v>3314</v>
      </c>
      <c r="N100" t="s">
        <v>2493</v>
      </c>
      <c r="O100" t="s">
        <v>12</v>
      </c>
      <c r="P100" s="2">
        <v>45572</v>
      </c>
      <c r="Q100" t="s">
        <v>3315</v>
      </c>
      <c r="R100" s="2">
        <v>45594</v>
      </c>
      <c r="S100" t="s">
        <v>3316</v>
      </c>
      <c r="T100" t="s">
        <v>8</v>
      </c>
      <c r="U100" s="17">
        <v>0</v>
      </c>
      <c r="V100" t="s">
        <v>8</v>
      </c>
      <c r="W100" t="s">
        <v>8</v>
      </c>
      <c r="X100" t="s">
        <v>3311</v>
      </c>
      <c r="Y100" t="s">
        <v>3</v>
      </c>
    </row>
    <row r="101" spans="1:25" x14ac:dyDescent="0.25">
      <c r="A101" t="s">
        <v>2880</v>
      </c>
      <c r="B101" s="2">
        <v>45601</v>
      </c>
      <c r="C101" t="s">
        <v>289</v>
      </c>
      <c r="D101" t="s">
        <v>2</v>
      </c>
      <c r="E101" t="s">
        <v>3</v>
      </c>
      <c r="F101" t="s">
        <v>4</v>
      </c>
      <c r="G101" t="s">
        <v>5</v>
      </c>
      <c r="H101" s="3">
        <v>10589.65</v>
      </c>
      <c r="I101" t="s">
        <v>3359</v>
      </c>
      <c r="J101" t="s">
        <v>460</v>
      </c>
      <c r="L101" t="s">
        <v>3360</v>
      </c>
      <c r="M101" t="s">
        <v>3361</v>
      </c>
      <c r="N101" t="s">
        <v>3280</v>
      </c>
      <c r="O101" t="s">
        <v>1</v>
      </c>
      <c r="P101" s="2">
        <v>45601</v>
      </c>
      <c r="Q101" t="s">
        <v>3362</v>
      </c>
      <c r="R101" s="2">
        <v>45601</v>
      </c>
      <c r="S101" t="s">
        <v>3363</v>
      </c>
      <c r="T101" t="s">
        <v>469</v>
      </c>
      <c r="U101" s="18">
        <v>1</v>
      </c>
      <c r="V101" t="s">
        <v>8</v>
      </c>
      <c r="W101" t="s">
        <v>8</v>
      </c>
      <c r="X101" t="s">
        <v>4</v>
      </c>
      <c r="Y101" t="s">
        <v>3</v>
      </c>
    </row>
    <row r="102" spans="1:25" outlineLevel="2" x14ac:dyDescent="0.25">
      <c r="A102" t="s">
        <v>2880</v>
      </c>
      <c r="B102" s="2">
        <v>45632</v>
      </c>
      <c r="C102" t="s">
        <v>246</v>
      </c>
      <c r="D102" t="s">
        <v>2</v>
      </c>
      <c r="E102" t="s">
        <v>3</v>
      </c>
      <c r="F102" t="s">
        <v>4</v>
      </c>
      <c r="G102" t="s">
        <v>5</v>
      </c>
      <c r="H102" s="3">
        <v>10589.65</v>
      </c>
      <c r="I102" t="s">
        <v>3404</v>
      </c>
      <c r="J102" t="s">
        <v>460</v>
      </c>
      <c r="L102" t="s">
        <v>3405</v>
      </c>
      <c r="M102" t="s">
        <v>3406</v>
      </c>
      <c r="N102" t="s">
        <v>3291</v>
      </c>
      <c r="O102" t="s">
        <v>1</v>
      </c>
      <c r="P102" s="2">
        <v>45630</v>
      </c>
      <c r="Q102" t="s">
        <v>3407</v>
      </c>
      <c r="R102" s="2">
        <v>45632</v>
      </c>
      <c r="S102" t="s">
        <v>3408</v>
      </c>
      <c r="T102" t="s">
        <v>469</v>
      </c>
      <c r="U102" s="18">
        <v>1</v>
      </c>
      <c r="V102" t="s">
        <v>8</v>
      </c>
      <c r="W102" t="s">
        <v>8</v>
      </c>
      <c r="X102" t="s">
        <v>4</v>
      </c>
      <c r="Y102" t="s">
        <v>3</v>
      </c>
    </row>
    <row r="103" spans="1:25" outlineLevel="2" x14ac:dyDescent="0.25">
      <c r="A103" t="s">
        <v>2880</v>
      </c>
      <c r="B103" s="2">
        <v>45642</v>
      </c>
      <c r="C103" t="s">
        <v>246</v>
      </c>
      <c r="D103" t="s">
        <v>2</v>
      </c>
      <c r="E103" t="s">
        <v>3</v>
      </c>
      <c r="F103" t="s">
        <v>2619</v>
      </c>
      <c r="G103" t="s">
        <v>2620</v>
      </c>
      <c r="H103" s="3">
        <v>3336.2</v>
      </c>
      <c r="I103" t="s">
        <v>3409</v>
      </c>
      <c r="J103" t="s">
        <v>460</v>
      </c>
      <c r="L103" t="s">
        <v>8</v>
      </c>
      <c r="M103" t="s">
        <v>3410</v>
      </c>
      <c r="N103" t="s">
        <v>2493</v>
      </c>
      <c r="O103" t="s">
        <v>1</v>
      </c>
      <c r="P103" s="2">
        <v>45615</v>
      </c>
      <c r="Q103" t="s">
        <v>3411</v>
      </c>
      <c r="R103" s="2">
        <v>45642</v>
      </c>
      <c r="S103" t="s">
        <v>3412</v>
      </c>
      <c r="T103" t="s">
        <v>8</v>
      </c>
      <c r="U103" s="17">
        <v>0</v>
      </c>
      <c r="V103" t="s">
        <v>8</v>
      </c>
      <c r="W103" t="s">
        <v>8</v>
      </c>
      <c r="X103" t="s">
        <v>2619</v>
      </c>
      <c r="Y103" t="s">
        <v>3</v>
      </c>
    </row>
    <row r="104" spans="1:25" outlineLevel="2" x14ac:dyDescent="0.25">
      <c r="A104" t="s">
        <v>2880</v>
      </c>
      <c r="B104" s="2">
        <v>45642</v>
      </c>
      <c r="C104" t="s">
        <v>246</v>
      </c>
      <c r="D104" t="s">
        <v>2</v>
      </c>
      <c r="E104" t="s">
        <v>3</v>
      </c>
      <c r="F104" t="s">
        <v>4</v>
      </c>
      <c r="G104" t="s">
        <v>5</v>
      </c>
      <c r="H104" s="3">
        <v>236.34</v>
      </c>
      <c r="I104" t="s">
        <v>3409</v>
      </c>
      <c r="J104" t="s">
        <v>460</v>
      </c>
      <c r="L104" t="s">
        <v>8</v>
      </c>
      <c r="M104" t="s">
        <v>3410</v>
      </c>
      <c r="N104" t="s">
        <v>2493</v>
      </c>
      <c r="O104" t="s">
        <v>12</v>
      </c>
      <c r="P104" s="2">
        <v>45615</v>
      </c>
      <c r="Q104" t="s">
        <v>3411</v>
      </c>
      <c r="R104" s="2">
        <v>45642</v>
      </c>
      <c r="S104" t="s">
        <v>3412</v>
      </c>
      <c r="T104" t="s">
        <v>8</v>
      </c>
      <c r="U104" s="17">
        <v>0</v>
      </c>
      <c r="V104" t="s">
        <v>8</v>
      </c>
      <c r="W104" t="s">
        <v>8</v>
      </c>
      <c r="X104" t="s">
        <v>4</v>
      </c>
      <c r="Y104" t="s">
        <v>3</v>
      </c>
    </row>
    <row r="105" spans="1:25" outlineLevel="2" x14ac:dyDescent="0.25">
      <c r="A105" t="s">
        <v>2880</v>
      </c>
      <c r="B105" s="2">
        <v>45642</v>
      </c>
      <c r="C105" t="s">
        <v>246</v>
      </c>
      <c r="D105" t="s">
        <v>2</v>
      </c>
      <c r="E105" t="s">
        <v>3</v>
      </c>
      <c r="F105" t="s">
        <v>4</v>
      </c>
      <c r="G105" t="s">
        <v>5</v>
      </c>
      <c r="H105" s="3">
        <v>1923.67</v>
      </c>
      <c r="I105" t="s">
        <v>3409</v>
      </c>
      <c r="J105" t="s">
        <v>460</v>
      </c>
      <c r="L105" t="s">
        <v>8</v>
      </c>
      <c r="M105" t="s">
        <v>3410</v>
      </c>
      <c r="N105" t="s">
        <v>2493</v>
      </c>
      <c r="O105" t="s">
        <v>17</v>
      </c>
      <c r="P105" s="2">
        <v>45615</v>
      </c>
      <c r="Q105" t="s">
        <v>3411</v>
      </c>
      <c r="R105" s="2">
        <v>45642</v>
      </c>
      <c r="S105" t="s">
        <v>3412</v>
      </c>
      <c r="T105" t="s">
        <v>8</v>
      </c>
      <c r="U105" s="17">
        <v>0</v>
      </c>
      <c r="V105" t="s">
        <v>8</v>
      </c>
      <c r="W105" t="s">
        <v>8</v>
      </c>
      <c r="X105" t="s">
        <v>4</v>
      </c>
      <c r="Y105" t="s">
        <v>3</v>
      </c>
    </row>
    <row r="106" spans="1:25" x14ac:dyDescent="0.25">
      <c r="A106" t="s">
        <v>3433</v>
      </c>
      <c r="B106" s="9">
        <v>45664</v>
      </c>
      <c r="C106" t="s">
        <v>1</v>
      </c>
      <c r="D106" t="s">
        <v>2</v>
      </c>
      <c r="E106" t="s">
        <v>3</v>
      </c>
      <c r="F106" t="s">
        <v>4</v>
      </c>
      <c r="G106" t="s">
        <v>5</v>
      </c>
      <c r="H106">
        <v>10589.65</v>
      </c>
      <c r="I106" t="s">
        <v>3439</v>
      </c>
      <c r="J106" t="s">
        <v>460</v>
      </c>
      <c r="L106" t="s">
        <v>3440</v>
      </c>
      <c r="M106" t="s">
        <v>3441</v>
      </c>
      <c r="N106" t="s">
        <v>3291</v>
      </c>
      <c r="O106" t="s">
        <v>1</v>
      </c>
      <c r="P106" s="9">
        <v>45664</v>
      </c>
      <c r="Q106" t="s">
        <v>3442</v>
      </c>
      <c r="R106" s="9">
        <v>45664</v>
      </c>
      <c r="S106" t="s">
        <v>3443</v>
      </c>
      <c r="T106" t="s">
        <v>469</v>
      </c>
      <c r="U106">
        <v>1</v>
      </c>
      <c r="V106" t="s">
        <v>8</v>
      </c>
      <c r="W106" t="s">
        <v>8</v>
      </c>
      <c r="X106" t="s">
        <v>4</v>
      </c>
      <c r="Y106" t="s">
        <v>3</v>
      </c>
    </row>
    <row r="107" spans="1:25" x14ac:dyDescent="0.25">
      <c r="A107" t="s">
        <v>3433</v>
      </c>
      <c r="B107" s="9">
        <v>45667</v>
      </c>
      <c r="C107" t="s">
        <v>1</v>
      </c>
      <c r="D107" t="s">
        <v>2</v>
      </c>
      <c r="E107" t="s">
        <v>3</v>
      </c>
      <c r="F107" t="s">
        <v>4</v>
      </c>
      <c r="G107" t="s">
        <v>5</v>
      </c>
      <c r="H107">
        <v>37.03</v>
      </c>
      <c r="I107" t="s">
        <v>3444</v>
      </c>
      <c r="J107" t="s">
        <v>460</v>
      </c>
      <c r="L107" t="s">
        <v>8</v>
      </c>
      <c r="M107" t="s">
        <v>3445</v>
      </c>
      <c r="N107" t="s">
        <v>3280</v>
      </c>
      <c r="O107" t="s">
        <v>1</v>
      </c>
      <c r="P107" s="9">
        <v>45666</v>
      </c>
      <c r="Q107" t="s">
        <v>3446</v>
      </c>
      <c r="R107" s="9">
        <v>45667</v>
      </c>
      <c r="S107" t="s">
        <v>3447</v>
      </c>
      <c r="T107" t="s">
        <v>8</v>
      </c>
      <c r="U107">
        <v>0</v>
      </c>
      <c r="V107" t="s">
        <v>8</v>
      </c>
      <c r="W107" t="s">
        <v>8</v>
      </c>
      <c r="X107" t="s">
        <v>4</v>
      </c>
      <c r="Y107" t="s">
        <v>3</v>
      </c>
    </row>
    <row r="108" spans="1:25" x14ac:dyDescent="0.25">
      <c r="A108" t="s">
        <v>3433</v>
      </c>
      <c r="B108" s="9">
        <v>45667</v>
      </c>
      <c r="C108" t="s">
        <v>1</v>
      </c>
      <c r="D108" t="s">
        <v>2</v>
      </c>
      <c r="E108" t="s">
        <v>3</v>
      </c>
      <c r="F108" t="s">
        <v>4</v>
      </c>
      <c r="G108" t="s">
        <v>5</v>
      </c>
      <c r="H108">
        <v>74.16</v>
      </c>
      <c r="I108" t="s">
        <v>3448</v>
      </c>
      <c r="J108" t="s">
        <v>460</v>
      </c>
      <c r="L108" t="s">
        <v>8</v>
      </c>
      <c r="M108" t="s">
        <v>3449</v>
      </c>
      <c r="N108" t="s">
        <v>3280</v>
      </c>
      <c r="O108" t="s">
        <v>1</v>
      </c>
      <c r="P108" s="9">
        <v>45666</v>
      </c>
      <c r="Q108" t="s">
        <v>3450</v>
      </c>
      <c r="R108" s="9">
        <v>45667</v>
      </c>
      <c r="S108" t="s">
        <v>3451</v>
      </c>
      <c r="T108" t="s">
        <v>8</v>
      </c>
      <c r="U108">
        <v>0</v>
      </c>
      <c r="V108" t="s">
        <v>8</v>
      </c>
      <c r="W108" t="s">
        <v>8</v>
      </c>
      <c r="X108" t="s">
        <v>4</v>
      </c>
      <c r="Y108" t="s">
        <v>3</v>
      </c>
    </row>
    <row r="109" spans="1:25" x14ac:dyDescent="0.25">
      <c r="A109" t="s">
        <v>3433</v>
      </c>
      <c r="B109" s="9">
        <v>45667</v>
      </c>
      <c r="C109" t="s">
        <v>1</v>
      </c>
      <c r="D109" t="s">
        <v>2</v>
      </c>
      <c r="E109" t="s">
        <v>3</v>
      </c>
      <c r="F109" t="s">
        <v>2619</v>
      </c>
      <c r="G109" t="s">
        <v>2620</v>
      </c>
      <c r="H109">
        <v>638.04</v>
      </c>
      <c r="I109" t="s">
        <v>3452</v>
      </c>
      <c r="J109" t="s">
        <v>460</v>
      </c>
      <c r="L109" t="s">
        <v>8</v>
      </c>
      <c r="M109" t="s">
        <v>3453</v>
      </c>
      <c r="N109" t="s">
        <v>3280</v>
      </c>
      <c r="O109" t="s">
        <v>12</v>
      </c>
      <c r="P109" s="9">
        <v>45666</v>
      </c>
      <c r="Q109" t="s">
        <v>3454</v>
      </c>
      <c r="R109" s="9">
        <v>45667</v>
      </c>
      <c r="S109" t="s">
        <v>3455</v>
      </c>
      <c r="T109" t="s">
        <v>8</v>
      </c>
      <c r="U109">
        <v>0</v>
      </c>
      <c r="V109" t="s">
        <v>8</v>
      </c>
      <c r="W109" t="s">
        <v>8</v>
      </c>
      <c r="X109" t="s">
        <v>2619</v>
      </c>
      <c r="Y109" t="s">
        <v>3</v>
      </c>
    </row>
    <row r="110" spans="1:25" x14ac:dyDescent="0.25">
      <c r="A110" t="s">
        <v>3433</v>
      </c>
      <c r="B110" s="9">
        <v>45667</v>
      </c>
      <c r="C110" t="s">
        <v>1</v>
      </c>
      <c r="D110" t="s">
        <v>2</v>
      </c>
      <c r="E110" t="s">
        <v>3</v>
      </c>
      <c r="F110" t="s">
        <v>4</v>
      </c>
      <c r="G110" t="s">
        <v>5</v>
      </c>
      <c r="H110">
        <v>557.66</v>
      </c>
      <c r="I110" t="s">
        <v>3452</v>
      </c>
      <c r="J110" t="s">
        <v>460</v>
      </c>
      <c r="L110" t="s">
        <v>8</v>
      </c>
      <c r="M110" t="s">
        <v>3453</v>
      </c>
      <c r="N110" t="s">
        <v>3280</v>
      </c>
      <c r="O110" t="s">
        <v>17</v>
      </c>
      <c r="P110" s="9">
        <v>45666</v>
      </c>
      <c r="Q110" t="s">
        <v>3454</v>
      </c>
      <c r="R110" s="9">
        <v>45667</v>
      </c>
      <c r="S110" t="s">
        <v>3455</v>
      </c>
      <c r="T110" t="s">
        <v>8</v>
      </c>
      <c r="U110">
        <v>0</v>
      </c>
      <c r="V110" t="s">
        <v>8</v>
      </c>
      <c r="W110" t="s">
        <v>8</v>
      </c>
      <c r="X110" t="s">
        <v>4</v>
      </c>
      <c r="Y110" t="s">
        <v>3</v>
      </c>
    </row>
    <row r="111" spans="1:25" x14ac:dyDescent="0.25">
      <c r="A111" t="s">
        <v>3433</v>
      </c>
      <c r="B111" s="9">
        <v>45667</v>
      </c>
      <c r="C111" t="s">
        <v>1</v>
      </c>
      <c r="D111" t="s">
        <v>2</v>
      </c>
      <c r="E111" t="s">
        <v>3</v>
      </c>
      <c r="F111" t="s">
        <v>2619</v>
      </c>
      <c r="G111" t="s">
        <v>2620</v>
      </c>
      <c r="H111">
        <v>241.38</v>
      </c>
      <c r="I111" t="s">
        <v>3456</v>
      </c>
      <c r="J111" t="s">
        <v>460</v>
      </c>
      <c r="L111" t="s">
        <v>8</v>
      </c>
      <c r="M111" t="s">
        <v>3457</v>
      </c>
      <c r="N111" t="s">
        <v>3280</v>
      </c>
      <c r="O111" t="s">
        <v>12</v>
      </c>
      <c r="P111" s="9">
        <v>45666</v>
      </c>
      <c r="Q111" t="s">
        <v>3458</v>
      </c>
      <c r="R111" s="9">
        <v>45667</v>
      </c>
      <c r="S111" t="s">
        <v>3459</v>
      </c>
      <c r="T111" t="s">
        <v>8</v>
      </c>
      <c r="U111">
        <v>0</v>
      </c>
      <c r="V111" t="s">
        <v>8</v>
      </c>
      <c r="W111" t="s">
        <v>8</v>
      </c>
      <c r="X111" t="s">
        <v>2619</v>
      </c>
      <c r="Y111" t="s">
        <v>3</v>
      </c>
    </row>
    <row r="112" spans="1:25" x14ac:dyDescent="0.25">
      <c r="A112" t="s">
        <v>3433</v>
      </c>
      <c r="B112" s="9">
        <v>45667</v>
      </c>
      <c r="C112" t="s">
        <v>1</v>
      </c>
      <c r="D112" t="s">
        <v>2</v>
      </c>
      <c r="E112" t="s">
        <v>3</v>
      </c>
      <c r="F112" t="s">
        <v>4</v>
      </c>
      <c r="G112" t="s">
        <v>5</v>
      </c>
      <c r="H112">
        <v>636.36</v>
      </c>
      <c r="I112" t="s">
        <v>3456</v>
      </c>
      <c r="J112" t="s">
        <v>460</v>
      </c>
      <c r="L112" t="s">
        <v>8</v>
      </c>
      <c r="M112" t="s">
        <v>3457</v>
      </c>
      <c r="N112" t="s">
        <v>3280</v>
      </c>
      <c r="O112" t="s">
        <v>17</v>
      </c>
      <c r="P112" s="9">
        <v>45666</v>
      </c>
      <c r="Q112" t="s">
        <v>3458</v>
      </c>
      <c r="R112" s="9">
        <v>45667</v>
      </c>
      <c r="S112" t="s">
        <v>3459</v>
      </c>
      <c r="T112" t="s">
        <v>8</v>
      </c>
      <c r="U112">
        <v>0</v>
      </c>
      <c r="V112" t="s">
        <v>8</v>
      </c>
      <c r="W112" t="s">
        <v>8</v>
      </c>
      <c r="X112" t="s">
        <v>4</v>
      </c>
      <c r="Y112" t="s">
        <v>3</v>
      </c>
    </row>
    <row r="113" spans="1:26" x14ac:dyDescent="0.25">
      <c r="A113" t="s">
        <v>3433</v>
      </c>
      <c r="B113" s="9">
        <v>45698</v>
      </c>
      <c r="C113" t="s">
        <v>12</v>
      </c>
      <c r="D113" t="s">
        <v>2</v>
      </c>
      <c r="E113" t="s">
        <v>3</v>
      </c>
      <c r="F113" t="s">
        <v>4</v>
      </c>
      <c r="G113" t="s">
        <v>5</v>
      </c>
      <c r="H113">
        <v>10589.65</v>
      </c>
      <c r="I113" t="s">
        <v>3487</v>
      </c>
      <c r="J113" t="s">
        <v>460</v>
      </c>
      <c r="L113" t="s">
        <v>3488</v>
      </c>
      <c r="M113" t="s">
        <v>3489</v>
      </c>
      <c r="N113" t="s">
        <v>3280</v>
      </c>
      <c r="O113" t="s">
        <v>1</v>
      </c>
      <c r="P113" s="9">
        <v>45695</v>
      </c>
      <c r="Q113" t="s">
        <v>3490</v>
      </c>
      <c r="R113" s="9">
        <v>45698</v>
      </c>
      <c r="S113" t="s">
        <v>3491</v>
      </c>
      <c r="T113" t="s">
        <v>469</v>
      </c>
      <c r="U113">
        <v>1</v>
      </c>
      <c r="V113" t="s">
        <v>8</v>
      </c>
      <c r="W113" t="s">
        <v>8</v>
      </c>
      <c r="X113" t="s">
        <v>4</v>
      </c>
      <c r="Z113" t="s">
        <v>3</v>
      </c>
    </row>
    <row r="114" spans="1:26" x14ac:dyDescent="0.25">
      <c r="A114" t="s">
        <v>3433</v>
      </c>
      <c r="B114" s="9">
        <v>45727</v>
      </c>
      <c r="C114" t="s">
        <v>17</v>
      </c>
      <c r="D114" t="s">
        <v>2</v>
      </c>
      <c r="E114" t="s">
        <v>3</v>
      </c>
      <c r="F114" t="s">
        <v>4</v>
      </c>
      <c r="G114" t="s">
        <v>5</v>
      </c>
      <c r="H114">
        <v>10589.65</v>
      </c>
      <c r="I114" t="s">
        <v>3518</v>
      </c>
      <c r="J114" t="s">
        <v>460</v>
      </c>
      <c r="L114" t="s">
        <v>3519</v>
      </c>
      <c r="M114" t="s">
        <v>3520</v>
      </c>
      <c r="N114" t="s">
        <v>21</v>
      </c>
      <c r="O114" t="s">
        <v>1</v>
      </c>
      <c r="P114">
        <v>45723</v>
      </c>
      <c r="Q114" t="s">
        <v>3521</v>
      </c>
      <c r="R114">
        <v>45727</v>
      </c>
      <c r="S114" t="s">
        <v>3522</v>
      </c>
      <c r="T114" t="s">
        <v>469</v>
      </c>
      <c r="U114">
        <v>1</v>
      </c>
      <c r="V114" t="s">
        <v>8</v>
      </c>
      <c r="W114" t="s">
        <v>8</v>
      </c>
      <c r="X114" t="s">
        <v>4</v>
      </c>
      <c r="Y114" t="s">
        <v>3</v>
      </c>
    </row>
    <row r="115" spans="1:26" x14ac:dyDescent="0.25">
      <c r="A115" t="s">
        <v>3433</v>
      </c>
      <c r="B115" s="9">
        <v>45730</v>
      </c>
      <c r="C115" t="s">
        <v>17</v>
      </c>
      <c r="D115" t="s">
        <v>2</v>
      </c>
      <c r="E115" t="s">
        <v>3</v>
      </c>
      <c r="F115" t="s">
        <v>2619</v>
      </c>
      <c r="G115" t="s">
        <v>2620</v>
      </c>
      <c r="H115">
        <v>402.04</v>
      </c>
      <c r="I115" t="s">
        <v>3523</v>
      </c>
      <c r="J115" t="s">
        <v>460</v>
      </c>
      <c r="L115" t="s">
        <v>8</v>
      </c>
      <c r="M115" t="s">
        <v>3524</v>
      </c>
      <c r="N115" t="s">
        <v>3280</v>
      </c>
      <c r="O115" t="s">
        <v>1</v>
      </c>
      <c r="P115">
        <v>45729</v>
      </c>
      <c r="Q115" t="s">
        <v>3525</v>
      </c>
      <c r="R115">
        <v>45730</v>
      </c>
      <c r="S115" t="s">
        <v>3526</v>
      </c>
      <c r="T115" t="s">
        <v>8</v>
      </c>
      <c r="U115">
        <v>0</v>
      </c>
      <c r="V115" t="s">
        <v>8</v>
      </c>
      <c r="W115" t="s">
        <v>8</v>
      </c>
      <c r="X115" t="s">
        <v>2619</v>
      </c>
      <c r="Y115" t="s">
        <v>3</v>
      </c>
    </row>
    <row r="116" spans="1:26" x14ac:dyDescent="0.25">
      <c r="A116" t="s">
        <v>3433</v>
      </c>
      <c r="B116" s="9">
        <v>45730</v>
      </c>
      <c r="C116" t="s">
        <v>17</v>
      </c>
      <c r="D116" t="s">
        <v>2</v>
      </c>
      <c r="E116" t="s">
        <v>3</v>
      </c>
      <c r="F116" t="s">
        <v>4</v>
      </c>
      <c r="G116" t="s">
        <v>5</v>
      </c>
      <c r="H116">
        <v>36.799999999999997</v>
      </c>
      <c r="I116" t="s">
        <v>3523</v>
      </c>
      <c r="J116" t="s">
        <v>460</v>
      </c>
      <c r="L116" t="s">
        <v>8</v>
      </c>
      <c r="M116" t="s">
        <v>3524</v>
      </c>
      <c r="N116" t="s">
        <v>3280</v>
      </c>
      <c r="O116" t="s">
        <v>12</v>
      </c>
      <c r="P116">
        <v>45729</v>
      </c>
      <c r="Q116" t="s">
        <v>3525</v>
      </c>
      <c r="R116">
        <v>45730</v>
      </c>
      <c r="S116" t="s">
        <v>3526</v>
      </c>
      <c r="T116" t="s">
        <v>8</v>
      </c>
      <c r="U116">
        <v>0</v>
      </c>
      <c r="V116" t="s">
        <v>8</v>
      </c>
      <c r="W116" t="s">
        <v>8</v>
      </c>
      <c r="X116" t="s">
        <v>4</v>
      </c>
      <c r="Y116" t="s">
        <v>3</v>
      </c>
    </row>
    <row r="117" spans="1:26" x14ac:dyDescent="0.25">
      <c r="A117" t="s">
        <v>3433</v>
      </c>
      <c r="B117" s="9">
        <v>45730</v>
      </c>
      <c r="C117" t="s">
        <v>17</v>
      </c>
      <c r="D117" t="s">
        <v>2</v>
      </c>
      <c r="E117" t="s">
        <v>3</v>
      </c>
      <c r="F117" t="s">
        <v>2981</v>
      </c>
      <c r="G117" t="s">
        <v>2982</v>
      </c>
      <c r="H117">
        <v>21.16</v>
      </c>
      <c r="I117" t="s">
        <v>3523</v>
      </c>
      <c r="J117" t="s">
        <v>460</v>
      </c>
      <c r="L117" t="s">
        <v>8</v>
      </c>
      <c r="M117" t="s">
        <v>3524</v>
      </c>
      <c r="N117" t="s">
        <v>3280</v>
      </c>
      <c r="O117" t="s">
        <v>17</v>
      </c>
      <c r="P117">
        <v>45729</v>
      </c>
      <c r="Q117" t="s">
        <v>3525</v>
      </c>
      <c r="R117">
        <v>45730</v>
      </c>
      <c r="S117" t="s">
        <v>3526</v>
      </c>
      <c r="T117" t="s">
        <v>8</v>
      </c>
      <c r="U117">
        <v>0</v>
      </c>
      <c r="V117" t="s">
        <v>8</v>
      </c>
      <c r="W117" t="s">
        <v>8</v>
      </c>
      <c r="X117" t="s">
        <v>2981</v>
      </c>
      <c r="Y117" t="s">
        <v>3</v>
      </c>
    </row>
    <row r="118" spans="1:26" x14ac:dyDescent="0.25">
      <c r="A118" t="s">
        <v>3433</v>
      </c>
      <c r="B118" s="9">
        <v>45730</v>
      </c>
      <c r="C118" t="s">
        <v>17</v>
      </c>
      <c r="D118" t="s">
        <v>2</v>
      </c>
      <c r="E118" t="s">
        <v>3</v>
      </c>
      <c r="F118" t="s">
        <v>2619</v>
      </c>
      <c r="G118" t="s">
        <v>2620</v>
      </c>
      <c r="H118">
        <v>8617.8700000000008</v>
      </c>
      <c r="I118" t="s">
        <v>3527</v>
      </c>
      <c r="J118" t="s">
        <v>460</v>
      </c>
      <c r="L118" t="s">
        <v>8</v>
      </c>
      <c r="M118" t="s">
        <v>3528</v>
      </c>
      <c r="N118" t="s">
        <v>3280</v>
      </c>
      <c r="O118" t="s">
        <v>1</v>
      </c>
      <c r="P118">
        <v>45729</v>
      </c>
      <c r="Q118" t="s">
        <v>3529</v>
      </c>
      <c r="R118">
        <v>45730</v>
      </c>
      <c r="S118" t="s">
        <v>3530</v>
      </c>
      <c r="T118" t="s">
        <v>8</v>
      </c>
      <c r="U118">
        <v>0</v>
      </c>
      <c r="V118" t="s">
        <v>8</v>
      </c>
      <c r="W118" t="s">
        <v>8</v>
      </c>
      <c r="X118" t="s">
        <v>2619</v>
      </c>
      <c r="Y118" t="s">
        <v>3</v>
      </c>
    </row>
    <row r="119" spans="1:26" x14ac:dyDescent="0.25">
      <c r="A119" t="s">
        <v>3433</v>
      </c>
      <c r="B119" s="9">
        <v>45730</v>
      </c>
      <c r="C119" t="s">
        <v>17</v>
      </c>
      <c r="D119" t="s">
        <v>2</v>
      </c>
      <c r="E119" t="s">
        <v>3</v>
      </c>
      <c r="F119" t="s">
        <v>4</v>
      </c>
      <c r="G119" t="s">
        <v>5</v>
      </c>
      <c r="H119">
        <v>46.38</v>
      </c>
      <c r="I119" t="s">
        <v>3527</v>
      </c>
      <c r="J119" t="s">
        <v>460</v>
      </c>
      <c r="L119" t="s">
        <v>8</v>
      </c>
      <c r="M119" t="s">
        <v>3528</v>
      </c>
      <c r="N119" t="s">
        <v>3280</v>
      </c>
      <c r="O119" t="s">
        <v>12</v>
      </c>
      <c r="P119">
        <v>45729</v>
      </c>
      <c r="Q119" t="s">
        <v>3529</v>
      </c>
      <c r="R119">
        <v>45730</v>
      </c>
      <c r="S119" t="s">
        <v>3530</v>
      </c>
      <c r="T119" t="s">
        <v>8</v>
      </c>
      <c r="U119">
        <v>0</v>
      </c>
      <c r="V119" t="s">
        <v>8</v>
      </c>
      <c r="W119" t="s">
        <v>8</v>
      </c>
      <c r="X119" t="s">
        <v>4</v>
      </c>
      <c r="Y119" t="s">
        <v>3</v>
      </c>
    </row>
    <row r="120" spans="1:26" x14ac:dyDescent="0.25">
      <c r="A120" t="s">
        <v>3433</v>
      </c>
      <c r="B120" s="9">
        <v>45730</v>
      </c>
      <c r="C120" t="s">
        <v>17</v>
      </c>
      <c r="D120" t="s">
        <v>2</v>
      </c>
      <c r="E120" t="s">
        <v>3</v>
      </c>
      <c r="F120" t="s">
        <v>2981</v>
      </c>
      <c r="G120" t="s">
        <v>2982</v>
      </c>
      <c r="H120">
        <v>612.25</v>
      </c>
      <c r="I120" t="s">
        <v>3527</v>
      </c>
      <c r="J120" t="s">
        <v>460</v>
      </c>
      <c r="L120" t="s">
        <v>8</v>
      </c>
      <c r="M120" t="s">
        <v>3528</v>
      </c>
      <c r="N120" t="s">
        <v>3280</v>
      </c>
      <c r="O120" t="s">
        <v>17</v>
      </c>
      <c r="P120">
        <v>45729</v>
      </c>
      <c r="Q120" t="s">
        <v>3529</v>
      </c>
      <c r="R120">
        <v>45730</v>
      </c>
      <c r="S120" t="s">
        <v>3530</v>
      </c>
      <c r="T120" t="s">
        <v>8</v>
      </c>
      <c r="U120">
        <v>0</v>
      </c>
      <c r="V120" t="s">
        <v>8</v>
      </c>
      <c r="W120" t="s">
        <v>8</v>
      </c>
      <c r="X120" t="s">
        <v>2981</v>
      </c>
      <c r="Y120" t="s">
        <v>3</v>
      </c>
    </row>
    <row r="121" spans="1:26" x14ac:dyDescent="0.25">
      <c r="A121" t="s">
        <v>3433</v>
      </c>
      <c r="B121" s="9">
        <v>45750</v>
      </c>
      <c r="C121" t="s">
        <v>43</v>
      </c>
      <c r="D121" t="s">
        <v>2</v>
      </c>
      <c r="E121" t="s">
        <v>3</v>
      </c>
      <c r="F121" t="s">
        <v>2619</v>
      </c>
      <c r="G121" t="s">
        <v>2620</v>
      </c>
      <c r="H121">
        <v>1976.76</v>
      </c>
      <c r="I121" t="s">
        <v>3553</v>
      </c>
      <c r="J121" t="s">
        <v>460</v>
      </c>
      <c r="K121" t="s">
        <v>8</v>
      </c>
      <c r="M121" t="s">
        <v>3554</v>
      </c>
      <c r="N121" t="s">
        <v>21</v>
      </c>
      <c r="O121" t="s">
        <v>1</v>
      </c>
      <c r="P121">
        <v>45730</v>
      </c>
      <c r="Q121" t="s">
        <v>3555</v>
      </c>
      <c r="R121">
        <v>45750</v>
      </c>
      <c r="S121" t="s">
        <v>3556</v>
      </c>
      <c r="T121" t="s">
        <v>8</v>
      </c>
      <c r="U121">
        <v>0</v>
      </c>
      <c r="V121" t="s">
        <v>8</v>
      </c>
      <c r="W121" t="s">
        <v>8</v>
      </c>
      <c r="X121" t="s">
        <v>2619</v>
      </c>
      <c r="Y121" t="s">
        <v>3</v>
      </c>
    </row>
    <row r="122" spans="1:26" x14ac:dyDescent="0.25">
      <c r="A122" t="s">
        <v>3433</v>
      </c>
      <c r="B122" s="9">
        <v>45761</v>
      </c>
      <c r="C122" t="s">
        <v>43</v>
      </c>
      <c r="D122" t="s">
        <v>2</v>
      </c>
      <c r="E122" t="s">
        <v>3</v>
      </c>
      <c r="F122" t="s">
        <v>4</v>
      </c>
      <c r="G122" t="s">
        <v>5</v>
      </c>
      <c r="H122">
        <v>10589.65</v>
      </c>
      <c r="I122" t="s">
        <v>3557</v>
      </c>
      <c r="J122" t="s">
        <v>460</v>
      </c>
      <c r="L122" t="s">
        <v>3558</v>
      </c>
      <c r="M122" t="s">
        <v>3559</v>
      </c>
      <c r="N122" t="s">
        <v>2493</v>
      </c>
      <c r="O122" t="s">
        <v>1</v>
      </c>
      <c r="P122">
        <v>45757</v>
      </c>
      <c r="Q122" t="s">
        <v>3560</v>
      </c>
      <c r="R122">
        <v>45761</v>
      </c>
      <c r="S122" t="s">
        <v>3561</v>
      </c>
      <c r="T122" t="s">
        <v>469</v>
      </c>
      <c r="U122">
        <v>1</v>
      </c>
      <c r="V122" t="s">
        <v>8</v>
      </c>
      <c r="W122" t="s">
        <v>8</v>
      </c>
      <c r="X122" t="s">
        <v>4</v>
      </c>
      <c r="Y122" t="s">
        <v>3</v>
      </c>
    </row>
    <row r="123" spans="1:26" x14ac:dyDescent="0.25">
      <c r="A123" t="s">
        <v>3433</v>
      </c>
      <c r="B123" s="9">
        <v>45777</v>
      </c>
      <c r="C123" t="s">
        <v>43</v>
      </c>
      <c r="D123" t="s">
        <v>2</v>
      </c>
      <c r="E123" t="s">
        <v>3</v>
      </c>
      <c r="F123" t="s">
        <v>4</v>
      </c>
      <c r="G123" t="s">
        <v>5</v>
      </c>
      <c r="H123">
        <v>549.39</v>
      </c>
      <c r="I123" t="s">
        <v>3562</v>
      </c>
      <c r="J123" t="s">
        <v>460</v>
      </c>
      <c r="K123" t="s">
        <v>8</v>
      </c>
      <c r="M123" t="s">
        <v>3563</v>
      </c>
      <c r="N123" t="s">
        <v>3280</v>
      </c>
      <c r="O123" t="s">
        <v>12</v>
      </c>
      <c r="P123">
        <v>45757</v>
      </c>
      <c r="Q123" t="s">
        <v>3564</v>
      </c>
      <c r="R123">
        <v>45777</v>
      </c>
      <c r="S123" t="s">
        <v>3565</v>
      </c>
      <c r="T123" t="s">
        <v>8</v>
      </c>
      <c r="U123">
        <v>0</v>
      </c>
      <c r="V123" t="s">
        <v>8</v>
      </c>
      <c r="W123" t="s">
        <v>8</v>
      </c>
      <c r="X123" t="s">
        <v>4</v>
      </c>
      <c r="Y123" t="s">
        <v>3</v>
      </c>
    </row>
    <row r="124" spans="1:26" x14ac:dyDescent="0.25">
      <c r="A124" t="s">
        <v>3433</v>
      </c>
      <c r="B124" s="9">
        <v>45777</v>
      </c>
      <c r="C124" t="s">
        <v>43</v>
      </c>
      <c r="D124" t="s">
        <v>2</v>
      </c>
      <c r="E124" t="s">
        <v>3</v>
      </c>
      <c r="F124" t="s">
        <v>3566</v>
      </c>
      <c r="G124" t="s">
        <v>3567</v>
      </c>
      <c r="H124">
        <v>1251.8800000000001</v>
      </c>
      <c r="I124" t="s">
        <v>3562</v>
      </c>
      <c r="J124" t="s">
        <v>460</v>
      </c>
      <c r="K124" t="s">
        <v>8</v>
      </c>
      <c r="M124" t="s">
        <v>3563</v>
      </c>
      <c r="N124" t="s">
        <v>3280</v>
      </c>
      <c r="O124" t="s">
        <v>17</v>
      </c>
      <c r="P124">
        <v>45757</v>
      </c>
      <c r="Q124" t="s">
        <v>3564</v>
      </c>
      <c r="R124">
        <v>45777</v>
      </c>
      <c r="S124" t="s">
        <v>3565</v>
      </c>
      <c r="T124" t="s">
        <v>8</v>
      </c>
      <c r="U124">
        <v>0</v>
      </c>
      <c r="V124" t="s">
        <v>8</v>
      </c>
      <c r="W124" t="s">
        <v>8</v>
      </c>
      <c r="X124" t="s">
        <v>3566</v>
      </c>
      <c r="Y124" t="s">
        <v>3</v>
      </c>
    </row>
    <row r="125" spans="1:26" x14ac:dyDescent="0.25">
      <c r="A125" t="s">
        <v>3433</v>
      </c>
      <c r="B125" s="9">
        <v>45777</v>
      </c>
      <c r="C125" t="s">
        <v>43</v>
      </c>
      <c r="D125" t="s">
        <v>2</v>
      </c>
      <c r="E125" t="s">
        <v>3</v>
      </c>
      <c r="F125" t="s">
        <v>3568</v>
      </c>
      <c r="G125" t="s">
        <v>3569</v>
      </c>
      <c r="H125">
        <v>684.48</v>
      </c>
      <c r="I125" t="s">
        <v>3562</v>
      </c>
      <c r="J125" t="s">
        <v>460</v>
      </c>
      <c r="K125" t="s">
        <v>8</v>
      </c>
      <c r="M125" t="s">
        <v>3563</v>
      </c>
      <c r="N125" t="s">
        <v>3280</v>
      </c>
      <c r="O125" t="s">
        <v>43</v>
      </c>
      <c r="P125">
        <v>45757</v>
      </c>
      <c r="Q125" t="s">
        <v>3564</v>
      </c>
      <c r="R125">
        <v>45777</v>
      </c>
      <c r="S125" t="s">
        <v>3565</v>
      </c>
      <c r="T125" t="s">
        <v>8</v>
      </c>
      <c r="U125">
        <v>0</v>
      </c>
      <c r="V125" t="s">
        <v>8</v>
      </c>
      <c r="W125" t="s">
        <v>8</v>
      </c>
      <c r="X125" t="s">
        <v>3568</v>
      </c>
      <c r="Y125" t="s">
        <v>3</v>
      </c>
    </row>
    <row r="126" spans="1:26" x14ac:dyDescent="0.25">
      <c r="A126" t="s">
        <v>3433</v>
      </c>
      <c r="B126" s="9">
        <v>45777</v>
      </c>
      <c r="C126" t="s">
        <v>43</v>
      </c>
      <c r="D126" t="s">
        <v>2</v>
      </c>
      <c r="E126" t="s">
        <v>3</v>
      </c>
      <c r="F126" t="s">
        <v>4</v>
      </c>
      <c r="G126" t="s">
        <v>5</v>
      </c>
      <c r="H126">
        <v>27.2</v>
      </c>
      <c r="I126" t="s">
        <v>3570</v>
      </c>
      <c r="J126" t="s">
        <v>460</v>
      </c>
      <c r="K126" t="s">
        <v>8</v>
      </c>
      <c r="M126" t="s">
        <v>3571</v>
      </c>
      <c r="N126" t="s">
        <v>3280</v>
      </c>
      <c r="O126" t="s">
        <v>1</v>
      </c>
      <c r="P126">
        <v>45757</v>
      </c>
      <c r="Q126" t="s">
        <v>3572</v>
      </c>
      <c r="R126">
        <v>45777</v>
      </c>
      <c r="S126" t="s">
        <v>3573</v>
      </c>
      <c r="T126" t="s">
        <v>8</v>
      </c>
      <c r="U126">
        <v>0</v>
      </c>
      <c r="V126" t="s">
        <v>8</v>
      </c>
      <c r="W126" t="s">
        <v>8</v>
      </c>
      <c r="X126" t="s">
        <v>4</v>
      </c>
      <c r="Y126" t="s">
        <v>3</v>
      </c>
    </row>
    <row r="127" spans="1:26" x14ac:dyDescent="0.25">
      <c r="A127" t="s">
        <v>3433</v>
      </c>
      <c r="B127" s="9">
        <v>45777</v>
      </c>
      <c r="C127" t="s">
        <v>43</v>
      </c>
      <c r="D127" t="s">
        <v>2</v>
      </c>
      <c r="E127" t="s">
        <v>3</v>
      </c>
      <c r="F127" t="s">
        <v>4</v>
      </c>
      <c r="G127" t="s">
        <v>5</v>
      </c>
      <c r="H127">
        <v>87.38</v>
      </c>
      <c r="I127" t="s">
        <v>3570</v>
      </c>
      <c r="J127" t="s">
        <v>460</v>
      </c>
      <c r="K127" t="s">
        <v>8</v>
      </c>
      <c r="M127" t="s">
        <v>3571</v>
      </c>
      <c r="N127" t="s">
        <v>3280</v>
      </c>
      <c r="O127" t="s">
        <v>17</v>
      </c>
      <c r="P127">
        <v>45757</v>
      </c>
      <c r="Q127" t="s">
        <v>3572</v>
      </c>
      <c r="R127">
        <v>45777</v>
      </c>
      <c r="S127" t="s">
        <v>3573</v>
      </c>
      <c r="T127" t="s">
        <v>8</v>
      </c>
      <c r="U127">
        <v>0</v>
      </c>
      <c r="V127" t="s">
        <v>8</v>
      </c>
      <c r="W127" t="s">
        <v>8</v>
      </c>
      <c r="X127" t="s">
        <v>4</v>
      </c>
      <c r="Y127" t="s">
        <v>3</v>
      </c>
    </row>
    <row r="128" spans="1:26" x14ac:dyDescent="0.25">
      <c r="A128" t="s">
        <v>3433</v>
      </c>
      <c r="B128" s="9">
        <v>45777</v>
      </c>
      <c r="C128" t="s">
        <v>43</v>
      </c>
      <c r="D128" t="s">
        <v>2</v>
      </c>
      <c r="E128" t="s">
        <v>3</v>
      </c>
      <c r="F128" t="s">
        <v>3568</v>
      </c>
      <c r="G128" t="s">
        <v>3569</v>
      </c>
      <c r="H128">
        <v>17</v>
      </c>
      <c r="I128" t="s">
        <v>3570</v>
      </c>
      <c r="J128" t="s">
        <v>460</v>
      </c>
      <c r="K128" t="s">
        <v>8</v>
      </c>
      <c r="M128" t="s">
        <v>3571</v>
      </c>
      <c r="N128" t="s">
        <v>3280</v>
      </c>
      <c r="O128" t="s">
        <v>43</v>
      </c>
      <c r="P128">
        <v>45757</v>
      </c>
      <c r="Q128" t="s">
        <v>3572</v>
      </c>
      <c r="R128">
        <v>45777</v>
      </c>
      <c r="S128" t="s">
        <v>3573</v>
      </c>
      <c r="T128" t="s">
        <v>8</v>
      </c>
      <c r="U128">
        <v>0</v>
      </c>
      <c r="V128" t="s">
        <v>8</v>
      </c>
      <c r="W128" t="s">
        <v>8</v>
      </c>
      <c r="X128" t="s">
        <v>3568</v>
      </c>
      <c r="Y128" t="s">
        <v>3</v>
      </c>
    </row>
    <row r="129" spans="1:26" x14ac:dyDescent="0.25">
      <c r="A129" t="s">
        <v>3433</v>
      </c>
      <c r="B129" s="2">
        <v>45789</v>
      </c>
      <c r="C129" t="s">
        <v>77</v>
      </c>
      <c r="D129" t="s">
        <v>2</v>
      </c>
      <c r="E129" t="s">
        <v>3</v>
      </c>
      <c r="F129" t="s">
        <v>4</v>
      </c>
      <c r="G129" t="s">
        <v>5</v>
      </c>
      <c r="H129" s="3">
        <v>11203.85</v>
      </c>
      <c r="I129" t="s">
        <v>3603</v>
      </c>
      <c r="J129" t="s">
        <v>460</v>
      </c>
      <c r="L129" t="s">
        <v>3604</v>
      </c>
      <c r="M129" t="s">
        <v>3605</v>
      </c>
      <c r="N129" t="s">
        <v>3550</v>
      </c>
      <c r="O129" t="s">
        <v>1</v>
      </c>
      <c r="P129" s="2">
        <v>45786</v>
      </c>
      <c r="Q129" t="s">
        <v>3606</v>
      </c>
      <c r="R129" s="2">
        <v>45789</v>
      </c>
      <c r="S129" t="s">
        <v>3607</v>
      </c>
      <c r="T129" t="s">
        <v>469</v>
      </c>
      <c r="U129" s="18">
        <v>1</v>
      </c>
      <c r="V129" t="s">
        <v>8</v>
      </c>
      <c r="W129" t="s">
        <v>8</v>
      </c>
      <c r="X129" t="s">
        <v>4</v>
      </c>
      <c r="Y129" t="s">
        <v>3</v>
      </c>
    </row>
    <row r="130" spans="1:26" x14ac:dyDescent="0.25">
      <c r="A130" t="s">
        <v>3433</v>
      </c>
      <c r="B130" s="2">
        <v>45814</v>
      </c>
      <c r="C130" t="s">
        <v>22</v>
      </c>
      <c r="D130" t="s">
        <v>2</v>
      </c>
      <c r="E130" t="s">
        <v>3</v>
      </c>
      <c r="F130" t="s">
        <v>2619</v>
      </c>
      <c r="G130" t="s">
        <v>2620</v>
      </c>
      <c r="H130" s="3">
        <v>66.98</v>
      </c>
      <c r="I130" t="s">
        <v>3622</v>
      </c>
      <c r="J130" t="s">
        <v>460</v>
      </c>
      <c r="K130" t="s">
        <v>8</v>
      </c>
      <c r="M130" t="s">
        <v>3623</v>
      </c>
      <c r="N130" t="s">
        <v>21</v>
      </c>
      <c r="O130" t="s">
        <v>12</v>
      </c>
      <c r="P130" s="2">
        <v>45803</v>
      </c>
      <c r="Q130" t="s">
        <v>3624</v>
      </c>
      <c r="R130" s="2">
        <v>45814</v>
      </c>
      <c r="S130" t="s">
        <v>3625</v>
      </c>
      <c r="T130" t="s">
        <v>8</v>
      </c>
      <c r="U130" s="17">
        <v>0</v>
      </c>
      <c r="V130" t="s">
        <v>8</v>
      </c>
      <c r="W130" t="s">
        <v>8</v>
      </c>
      <c r="X130" t="s">
        <v>2619</v>
      </c>
      <c r="Y130" t="s">
        <v>3</v>
      </c>
    </row>
    <row r="131" spans="1:26" x14ac:dyDescent="0.25">
      <c r="A131" t="s">
        <v>3433</v>
      </c>
      <c r="B131" s="2">
        <v>45817</v>
      </c>
      <c r="C131" t="s">
        <v>22</v>
      </c>
      <c r="D131" t="s">
        <v>2</v>
      </c>
      <c r="E131" t="s">
        <v>3</v>
      </c>
      <c r="F131" t="s">
        <v>4</v>
      </c>
      <c r="G131" t="s">
        <v>5</v>
      </c>
      <c r="H131" s="3">
        <v>11203.85</v>
      </c>
      <c r="I131" t="s">
        <v>3626</v>
      </c>
      <c r="J131" t="s">
        <v>460</v>
      </c>
      <c r="L131" t="s">
        <v>3627</v>
      </c>
      <c r="M131" t="s">
        <v>3628</v>
      </c>
      <c r="N131" t="s">
        <v>21</v>
      </c>
      <c r="O131" t="s">
        <v>1</v>
      </c>
      <c r="P131" s="2">
        <v>45813</v>
      </c>
      <c r="Q131" t="s">
        <v>3629</v>
      </c>
      <c r="R131" s="2">
        <v>45817</v>
      </c>
      <c r="S131" t="s">
        <v>3630</v>
      </c>
      <c r="T131" t="s">
        <v>469</v>
      </c>
      <c r="U131" s="18">
        <v>1</v>
      </c>
      <c r="V131" t="s">
        <v>8</v>
      </c>
      <c r="W131" t="s">
        <v>8</v>
      </c>
      <c r="X131" t="s">
        <v>4</v>
      </c>
      <c r="Y131" t="s">
        <v>3</v>
      </c>
    </row>
    <row r="132" spans="1:26" x14ac:dyDescent="0.25">
      <c r="A132" t="s">
        <v>3433</v>
      </c>
      <c r="B132" s="2">
        <v>45834</v>
      </c>
      <c r="C132" t="s">
        <v>22</v>
      </c>
      <c r="D132" t="s">
        <v>2</v>
      </c>
      <c r="E132" t="s">
        <v>3</v>
      </c>
      <c r="F132" t="s">
        <v>2619</v>
      </c>
      <c r="G132" t="s">
        <v>2620</v>
      </c>
      <c r="H132" s="3">
        <v>570.62</v>
      </c>
      <c r="I132" t="s">
        <v>3631</v>
      </c>
      <c r="J132" t="s">
        <v>460</v>
      </c>
      <c r="K132" t="s">
        <v>8</v>
      </c>
      <c r="M132" t="s">
        <v>3632</v>
      </c>
      <c r="N132" t="s">
        <v>21</v>
      </c>
      <c r="O132" t="s">
        <v>1</v>
      </c>
      <c r="P132" s="2">
        <v>45813</v>
      </c>
      <c r="Q132" t="s">
        <v>3633</v>
      </c>
      <c r="R132" s="2">
        <v>45834</v>
      </c>
      <c r="S132" t="s">
        <v>3634</v>
      </c>
      <c r="T132" t="s">
        <v>8</v>
      </c>
      <c r="U132" s="17">
        <v>0</v>
      </c>
      <c r="V132" t="s">
        <v>8</v>
      </c>
      <c r="W132" t="s">
        <v>8</v>
      </c>
      <c r="X132" t="s">
        <v>2619</v>
      </c>
      <c r="Y132" t="s">
        <v>3</v>
      </c>
    </row>
    <row r="133" spans="1:26" x14ac:dyDescent="0.25">
      <c r="A133" t="s">
        <v>3433</v>
      </c>
      <c r="B133" s="2">
        <v>45834</v>
      </c>
      <c r="C133" t="s">
        <v>22</v>
      </c>
      <c r="D133" t="s">
        <v>2</v>
      </c>
      <c r="E133" t="s">
        <v>3</v>
      </c>
      <c r="F133" t="s">
        <v>2981</v>
      </c>
      <c r="G133" t="s">
        <v>2982</v>
      </c>
      <c r="H133" s="3">
        <v>456.5</v>
      </c>
      <c r="I133" t="s">
        <v>3631</v>
      </c>
      <c r="J133" t="s">
        <v>460</v>
      </c>
      <c r="K133" t="s">
        <v>8</v>
      </c>
      <c r="M133" t="s">
        <v>3632</v>
      </c>
      <c r="N133" t="s">
        <v>21</v>
      </c>
      <c r="O133" t="s">
        <v>12</v>
      </c>
      <c r="P133" s="2">
        <v>45813</v>
      </c>
      <c r="Q133" t="s">
        <v>3633</v>
      </c>
      <c r="R133" s="2">
        <v>45834</v>
      </c>
      <c r="S133" t="s">
        <v>3634</v>
      </c>
      <c r="T133" t="s">
        <v>8</v>
      </c>
      <c r="U133" s="17">
        <v>0</v>
      </c>
      <c r="V133" t="s">
        <v>8</v>
      </c>
      <c r="W133" t="s">
        <v>8</v>
      </c>
      <c r="X133" t="s">
        <v>2981</v>
      </c>
      <c r="Y133" t="s">
        <v>3</v>
      </c>
    </row>
    <row r="134" spans="1:26" x14ac:dyDescent="0.25">
      <c r="A134" t="s">
        <v>3433</v>
      </c>
      <c r="B134" s="2">
        <v>45834</v>
      </c>
      <c r="C134" t="s">
        <v>22</v>
      </c>
      <c r="D134" t="s">
        <v>2</v>
      </c>
      <c r="E134" t="s">
        <v>3</v>
      </c>
      <c r="F134" t="s">
        <v>4</v>
      </c>
      <c r="G134" t="s">
        <v>5</v>
      </c>
      <c r="H134" s="3">
        <v>551.61</v>
      </c>
      <c r="I134" t="s">
        <v>3631</v>
      </c>
      <c r="J134" t="s">
        <v>460</v>
      </c>
      <c r="K134" t="s">
        <v>8</v>
      </c>
      <c r="M134" t="s">
        <v>3632</v>
      </c>
      <c r="N134" t="s">
        <v>21</v>
      </c>
      <c r="O134" t="s">
        <v>43</v>
      </c>
      <c r="P134" s="2">
        <v>45813</v>
      </c>
      <c r="Q134" t="s">
        <v>3633</v>
      </c>
      <c r="R134" s="2">
        <v>45834</v>
      </c>
      <c r="S134" t="s">
        <v>3634</v>
      </c>
      <c r="T134" t="s">
        <v>8</v>
      </c>
      <c r="U134" s="17">
        <v>0</v>
      </c>
      <c r="V134" t="s">
        <v>8</v>
      </c>
      <c r="W134" t="s">
        <v>8</v>
      </c>
      <c r="X134" t="s">
        <v>4</v>
      </c>
      <c r="Y134" t="s">
        <v>3</v>
      </c>
    </row>
    <row r="135" spans="1:26" x14ac:dyDescent="0.25">
      <c r="A135" t="s">
        <v>3433</v>
      </c>
      <c r="B135" s="2">
        <v>45834</v>
      </c>
      <c r="C135" t="s">
        <v>22</v>
      </c>
      <c r="D135" t="s">
        <v>2</v>
      </c>
      <c r="E135" t="s">
        <v>3</v>
      </c>
      <c r="F135" t="s">
        <v>2619</v>
      </c>
      <c r="G135" t="s">
        <v>2620</v>
      </c>
      <c r="H135" s="3">
        <v>21.01</v>
      </c>
      <c r="I135" t="s">
        <v>3635</v>
      </c>
      <c r="J135" t="s">
        <v>460</v>
      </c>
      <c r="K135" t="s">
        <v>8</v>
      </c>
      <c r="M135" t="s">
        <v>3636</v>
      </c>
      <c r="N135" t="s">
        <v>21</v>
      </c>
      <c r="O135" t="s">
        <v>1</v>
      </c>
      <c r="P135" s="2">
        <v>45813</v>
      </c>
      <c r="Q135" t="s">
        <v>3637</v>
      </c>
      <c r="R135" s="2">
        <v>45834</v>
      </c>
      <c r="S135" t="s">
        <v>3638</v>
      </c>
      <c r="T135" t="s">
        <v>8</v>
      </c>
      <c r="U135" s="17">
        <v>0</v>
      </c>
      <c r="V135" t="s">
        <v>8</v>
      </c>
      <c r="W135" t="s">
        <v>8</v>
      </c>
      <c r="X135" t="s">
        <v>2619</v>
      </c>
      <c r="Y135" t="s">
        <v>3</v>
      </c>
    </row>
    <row r="136" spans="1:26" x14ac:dyDescent="0.25">
      <c r="A136" t="s">
        <v>3433</v>
      </c>
      <c r="B136" s="2">
        <v>45834</v>
      </c>
      <c r="C136" t="s">
        <v>22</v>
      </c>
      <c r="D136" t="s">
        <v>2</v>
      </c>
      <c r="E136" t="s">
        <v>3</v>
      </c>
      <c r="F136" t="s">
        <v>2981</v>
      </c>
      <c r="G136" t="s">
        <v>2982</v>
      </c>
      <c r="H136" s="3">
        <v>22.01</v>
      </c>
      <c r="I136" t="s">
        <v>3635</v>
      </c>
      <c r="J136" t="s">
        <v>460</v>
      </c>
      <c r="K136" t="s">
        <v>8</v>
      </c>
      <c r="M136" t="s">
        <v>3636</v>
      </c>
      <c r="N136" t="s">
        <v>21</v>
      </c>
      <c r="O136" t="s">
        <v>12</v>
      </c>
      <c r="P136" s="2">
        <v>45813</v>
      </c>
      <c r="Q136" t="s">
        <v>3637</v>
      </c>
      <c r="R136" s="2">
        <v>45834</v>
      </c>
      <c r="S136" t="s">
        <v>3638</v>
      </c>
      <c r="T136" t="s">
        <v>8</v>
      </c>
      <c r="U136" s="17">
        <v>0</v>
      </c>
      <c r="V136" t="s">
        <v>8</v>
      </c>
      <c r="W136" t="s">
        <v>8</v>
      </c>
      <c r="X136" t="s">
        <v>2981</v>
      </c>
      <c r="Y136" t="s">
        <v>3</v>
      </c>
    </row>
    <row r="137" spans="1:26" x14ac:dyDescent="0.25">
      <c r="A137" t="s">
        <v>3433</v>
      </c>
      <c r="B137" s="2">
        <v>45834</v>
      </c>
      <c r="C137" t="s">
        <v>22</v>
      </c>
      <c r="D137" t="s">
        <v>2</v>
      </c>
      <c r="E137" t="s">
        <v>3</v>
      </c>
      <c r="F137" t="s">
        <v>4</v>
      </c>
      <c r="G137" t="s">
        <v>5</v>
      </c>
      <c r="H137" s="3">
        <v>39</v>
      </c>
      <c r="I137" t="s">
        <v>3635</v>
      </c>
      <c r="J137" t="s">
        <v>460</v>
      </c>
      <c r="K137" t="s">
        <v>8</v>
      </c>
      <c r="M137" t="s">
        <v>3636</v>
      </c>
      <c r="N137" t="s">
        <v>21</v>
      </c>
      <c r="O137" t="s">
        <v>43</v>
      </c>
      <c r="P137" s="2">
        <v>45813</v>
      </c>
      <c r="Q137" t="s">
        <v>3637</v>
      </c>
      <c r="R137" s="2">
        <v>45834</v>
      </c>
      <c r="S137" t="s">
        <v>3638</v>
      </c>
      <c r="T137" t="s">
        <v>8</v>
      </c>
      <c r="U137" s="17">
        <v>0</v>
      </c>
      <c r="V137" t="s">
        <v>8</v>
      </c>
      <c r="W137" t="s">
        <v>8</v>
      </c>
      <c r="X137" t="s">
        <v>4</v>
      </c>
      <c r="Y137" t="s">
        <v>3</v>
      </c>
    </row>
    <row r="138" spans="1:26" x14ac:dyDescent="0.25">
      <c r="A138" t="s">
        <v>3433</v>
      </c>
      <c r="B138" s="2">
        <v>45835</v>
      </c>
      <c r="C138" t="s">
        <v>22</v>
      </c>
      <c r="D138" t="s">
        <v>2</v>
      </c>
      <c r="E138" t="s">
        <v>3</v>
      </c>
      <c r="F138" t="s">
        <v>2619</v>
      </c>
      <c r="G138" t="s">
        <v>2620</v>
      </c>
      <c r="H138" s="3">
        <v>1587.14</v>
      </c>
      <c r="I138" t="s">
        <v>3639</v>
      </c>
      <c r="J138" t="s">
        <v>460</v>
      </c>
      <c r="K138" t="s">
        <v>8</v>
      </c>
      <c r="M138" t="s">
        <v>3640</v>
      </c>
      <c r="N138" t="s">
        <v>3280</v>
      </c>
      <c r="O138" t="s">
        <v>12</v>
      </c>
      <c r="P138" s="2">
        <v>45803</v>
      </c>
      <c r="Q138" t="s">
        <v>3641</v>
      </c>
      <c r="R138" s="2">
        <v>45835</v>
      </c>
      <c r="S138" t="s">
        <v>3642</v>
      </c>
      <c r="T138" t="s">
        <v>8</v>
      </c>
      <c r="U138" s="17">
        <v>0</v>
      </c>
      <c r="V138" t="s">
        <v>8</v>
      </c>
      <c r="W138" t="s">
        <v>8</v>
      </c>
      <c r="X138" t="s">
        <v>2619</v>
      </c>
      <c r="Y138" t="s">
        <v>3</v>
      </c>
    </row>
    <row r="139" spans="1:26" x14ac:dyDescent="0.25">
      <c r="A139" t="s">
        <v>3433</v>
      </c>
      <c r="B139" s="2">
        <v>45835</v>
      </c>
      <c r="C139" t="s">
        <v>22</v>
      </c>
      <c r="D139" t="s">
        <v>2</v>
      </c>
      <c r="E139" t="s">
        <v>3</v>
      </c>
      <c r="F139" t="s">
        <v>4</v>
      </c>
      <c r="G139" t="s">
        <v>5</v>
      </c>
      <c r="H139" s="3">
        <v>264.52</v>
      </c>
      <c r="I139" t="s">
        <v>3639</v>
      </c>
      <c r="J139" t="s">
        <v>460</v>
      </c>
      <c r="K139" t="s">
        <v>8</v>
      </c>
      <c r="M139" t="s">
        <v>3640</v>
      </c>
      <c r="N139" t="s">
        <v>3280</v>
      </c>
      <c r="O139" t="s">
        <v>17</v>
      </c>
      <c r="P139" s="2">
        <v>45803</v>
      </c>
      <c r="Q139" t="s">
        <v>3641</v>
      </c>
      <c r="R139" s="2">
        <v>45835</v>
      </c>
      <c r="S139" t="s">
        <v>3642</v>
      </c>
      <c r="T139" t="s">
        <v>8</v>
      </c>
      <c r="U139" s="17">
        <v>0</v>
      </c>
      <c r="V139" t="s">
        <v>8</v>
      </c>
      <c r="W139" t="s">
        <v>8</v>
      </c>
      <c r="X139" t="s">
        <v>4</v>
      </c>
      <c r="Y139" t="s">
        <v>3</v>
      </c>
    </row>
    <row r="140" spans="1:26" x14ac:dyDescent="0.25">
      <c r="A140" t="s">
        <v>3433</v>
      </c>
      <c r="B140" s="2">
        <v>45835</v>
      </c>
      <c r="C140" t="s">
        <v>22</v>
      </c>
      <c r="D140" t="s">
        <v>2</v>
      </c>
      <c r="E140" t="s">
        <v>3</v>
      </c>
      <c r="F140" t="s">
        <v>4</v>
      </c>
      <c r="G140" t="s">
        <v>5</v>
      </c>
      <c r="H140" s="3">
        <v>1670.28</v>
      </c>
      <c r="I140" t="s">
        <v>3639</v>
      </c>
      <c r="J140" t="s">
        <v>460</v>
      </c>
      <c r="K140" t="s">
        <v>8</v>
      </c>
      <c r="M140" t="s">
        <v>3640</v>
      </c>
      <c r="N140" t="s">
        <v>3280</v>
      </c>
      <c r="O140" t="s">
        <v>43</v>
      </c>
      <c r="P140" s="2">
        <v>45803</v>
      </c>
      <c r="Q140" t="s">
        <v>3641</v>
      </c>
      <c r="R140" s="2">
        <v>45835</v>
      </c>
      <c r="S140" t="s">
        <v>3642</v>
      </c>
      <c r="T140" t="s">
        <v>8</v>
      </c>
      <c r="U140" s="17">
        <v>0</v>
      </c>
      <c r="V140" t="s">
        <v>8</v>
      </c>
      <c r="W140" t="s">
        <v>8</v>
      </c>
      <c r="X140" t="s">
        <v>4</v>
      </c>
      <c r="Y140" t="s">
        <v>3</v>
      </c>
    </row>
    <row r="141" spans="1:26" x14ac:dyDescent="0.25">
      <c r="A141" t="s">
        <v>3433</v>
      </c>
      <c r="B141" s="9">
        <v>45855</v>
      </c>
      <c r="C141" t="s">
        <v>72</v>
      </c>
      <c r="D141" t="s">
        <v>2</v>
      </c>
      <c r="E141" t="s">
        <v>3</v>
      </c>
      <c r="F141" t="s">
        <v>4</v>
      </c>
      <c r="G141" t="s">
        <v>5</v>
      </c>
      <c r="H141">
        <v>11203.85</v>
      </c>
      <c r="I141" t="s">
        <v>3676</v>
      </c>
      <c r="J141" t="s">
        <v>460</v>
      </c>
      <c r="L141" t="s">
        <v>3677</v>
      </c>
      <c r="M141" t="s">
        <v>3677</v>
      </c>
      <c r="N141" t="s">
        <v>3678</v>
      </c>
      <c r="O141" t="s">
        <v>21</v>
      </c>
      <c r="P141" t="s">
        <v>1</v>
      </c>
      <c r="Q141">
        <v>45853</v>
      </c>
      <c r="R141" t="s">
        <v>3679</v>
      </c>
      <c r="S141">
        <v>45855</v>
      </c>
      <c r="T141" t="s">
        <v>3680</v>
      </c>
      <c r="U141" t="s">
        <v>469</v>
      </c>
      <c r="V141">
        <v>1</v>
      </c>
      <c r="X141" t="s">
        <v>8</v>
      </c>
      <c r="Y141" t="s">
        <v>4</v>
      </c>
      <c r="Z141" t="s">
        <v>3</v>
      </c>
    </row>
    <row r="142" spans="1:26" x14ac:dyDescent="0.25">
      <c r="A142" t="s">
        <v>3433</v>
      </c>
      <c r="B142" s="9">
        <v>45880</v>
      </c>
      <c r="C142" s="7" t="s">
        <v>82</v>
      </c>
      <c r="D142" t="s">
        <v>2</v>
      </c>
      <c r="E142" t="s">
        <v>3</v>
      </c>
      <c r="F142" t="s">
        <v>2981</v>
      </c>
      <c r="G142" t="s">
        <v>2982</v>
      </c>
      <c r="H142">
        <v>509.63</v>
      </c>
      <c r="I142" t="s">
        <v>3711</v>
      </c>
      <c r="J142" t="s">
        <v>460</v>
      </c>
      <c r="K142" t="s">
        <v>8</v>
      </c>
      <c r="L142" t="s">
        <v>3712</v>
      </c>
      <c r="M142" t="s">
        <v>3712</v>
      </c>
      <c r="N142" t="s">
        <v>2493</v>
      </c>
      <c r="O142" t="s">
        <v>1</v>
      </c>
      <c r="P142">
        <v>45876</v>
      </c>
      <c r="Q142" t="s">
        <v>3713</v>
      </c>
      <c r="R142">
        <v>45880</v>
      </c>
      <c r="S142" t="s">
        <v>3714</v>
      </c>
      <c r="T142" t="s">
        <v>8</v>
      </c>
      <c r="U142">
        <v>0</v>
      </c>
      <c r="V142" t="s">
        <v>8</v>
      </c>
      <c r="W142" t="s">
        <v>8</v>
      </c>
      <c r="X142" t="s">
        <v>2981</v>
      </c>
      <c r="Y142" t="s">
        <v>3</v>
      </c>
    </row>
    <row r="143" spans="1:26" x14ac:dyDescent="0.25">
      <c r="A143" t="s">
        <v>3433</v>
      </c>
      <c r="B143" s="9">
        <v>45880</v>
      </c>
      <c r="C143" s="7" t="s">
        <v>82</v>
      </c>
      <c r="D143" t="s">
        <v>2</v>
      </c>
      <c r="E143" t="s">
        <v>3</v>
      </c>
      <c r="F143" t="s">
        <v>3715</v>
      </c>
      <c r="G143" t="s">
        <v>3716</v>
      </c>
      <c r="H143">
        <v>234.1</v>
      </c>
      <c r="I143" t="s">
        <v>3711</v>
      </c>
      <c r="J143" t="s">
        <v>460</v>
      </c>
      <c r="K143" t="s">
        <v>8</v>
      </c>
      <c r="L143" t="s">
        <v>3712</v>
      </c>
      <c r="M143" t="s">
        <v>3712</v>
      </c>
      <c r="N143" t="s">
        <v>2493</v>
      </c>
      <c r="O143" t="s">
        <v>12</v>
      </c>
      <c r="P143">
        <v>45876</v>
      </c>
      <c r="Q143" t="s">
        <v>3713</v>
      </c>
      <c r="R143">
        <v>45880</v>
      </c>
      <c r="S143" t="s">
        <v>3714</v>
      </c>
      <c r="T143" t="s">
        <v>8</v>
      </c>
      <c r="U143">
        <v>0</v>
      </c>
      <c r="V143" t="s">
        <v>8</v>
      </c>
      <c r="W143" t="s">
        <v>8</v>
      </c>
      <c r="X143" t="s">
        <v>3715</v>
      </c>
      <c r="Y143" t="s">
        <v>3</v>
      </c>
    </row>
    <row r="144" spans="1:26" x14ac:dyDescent="0.25">
      <c r="A144" t="s">
        <v>3433</v>
      </c>
      <c r="B144" s="9">
        <v>45880</v>
      </c>
      <c r="C144" s="7" t="s">
        <v>82</v>
      </c>
      <c r="D144" t="s">
        <v>2</v>
      </c>
      <c r="E144" t="s">
        <v>3</v>
      </c>
      <c r="F144" t="s">
        <v>2619</v>
      </c>
      <c r="G144" t="s">
        <v>2620</v>
      </c>
      <c r="H144">
        <v>1008.45</v>
      </c>
      <c r="I144" t="s">
        <v>3711</v>
      </c>
      <c r="J144" t="s">
        <v>460</v>
      </c>
      <c r="K144" t="s">
        <v>8</v>
      </c>
      <c r="L144" t="s">
        <v>3712</v>
      </c>
      <c r="M144" t="s">
        <v>3712</v>
      </c>
      <c r="N144" t="s">
        <v>2493</v>
      </c>
      <c r="O144" t="s">
        <v>17</v>
      </c>
      <c r="P144">
        <v>45876</v>
      </c>
      <c r="Q144" t="s">
        <v>3713</v>
      </c>
      <c r="R144">
        <v>45880</v>
      </c>
      <c r="S144" t="s">
        <v>3714</v>
      </c>
      <c r="T144" t="s">
        <v>8</v>
      </c>
      <c r="U144">
        <v>0</v>
      </c>
      <c r="V144" t="s">
        <v>8</v>
      </c>
      <c r="W144" t="s">
        <v>8</v>
      </c>
      <c r="X144" t="s">
        <v>2619</v>
      </c>
      <c r="Y144" t="s">
        <v>3</v>
      </c>
    </row>
    <row r="145" spans="1:25" x14ac:dyDescent="0.25">
      <c r="A145" t="s">
        <v>3433</v>
      </c>
      <c r="B145" s="9">
        <v>45880</v>
      </c>
      <c r="C145" s="7" t="s">
        <v>82</v>
      </c>
      <c r="D145" t="s">
        <v>2</v>
      </c>
      <c r="E145" t="s">
        <v>3</v>
      </c>
      <c r="F145" t="s">
        <v>4</v>
      </c>
      <c r="G145" t="s">
        <v>5</v>
      </c>
      <c r="H145">
        <v>48.63</v>
      </c>
      <c r="I145" t="s">
        <v>3711</v>
      </c>
      <c r="J145" t="s">
        <v>460</v>
      </c>
      <c r="K145" t="s">
        <v>8</v>
      </c>
      <c r="L145" t="s">
        <v>3712</v>
      </c>
      <c r="M145" t="s">
        <v>3712</v>
      </c>
      <c r="N145" t="s">
        <v>2493</v>
      </c>
      <c r="O145" t="s">
        <v>43</v>
      </c>
      <c r="P145">
        <v>45876</v>
      </c>
      <c r="Q145" t="s">
        <v>3713</v>
      </c>
      <c r="R145">
        <v>45880</v>
      </c>
      <c r="S145" t="s">
        <v>3714</v>
      </c>
      <c r="T145" t="s">
        <v>8</v>
      </c>
      <c r="U145">
        <v>0</v>
      </c>
      <c r="V145" t="s">
        <v>8</v>
      </c>
      <c r="W145" t="s">
        <v>8</v>
      </c>
      <c r="X145" t="s">
        <v>4</v>
      </c>
      <c r="Y145" t="s">
        <v>3</v>
      </c>
    </row>
    <row r="146" spans="1:25" x14ac:dyDescent="0.25">
      <c r="A146" t="s">
        <v>3433</v>
      </c>
      <c r="B146" s="9">
        <v>45880</v>
      </c>
      <c r="C146" s="7" t="s">
        <v>82</v>
      </c>
      <c r="D146" t="s">
        <v>2</v>
      </c>
      <c r="E146" t="s">
        <v>3</v>
      </c>
      <c r="F146" t="s">
        <v>4</v>
      </c>
      <c r="G146" t="s">
        <v>5</v>
      </c>
      <c r="H146">
        <v>10167.5</v>
      </c>
      <c r="I146" t="s">
        <v>3773</v>
      </c>
      <c r="J146" t="s">
        <v>460</v>
      </c>
      <c r="K146" t="s">
        <v>3774</v>
      </c>
      <c r="L146" t="s">
        <v>3775</v>
      </c>
      <c r="M146" t="s">
        <v>3775</v>
      </c>
      <c r="N146" t="s">
        <v>2493</v>
      </c>
      <c r="O146" t="s">
        <v>1</v>
      </c>
      <c r="P146">
        <v>45876</v>
      </c>
      <c r="Q146" t="s">
        <v>3776</v>
      </c>
      <c r="R146">
        <v>45880</v>
      </c>
      <c r="S146" t="s">
        <v>3777</v>
      </c>
      <c r="T146" t="s">
        <v>469</v>
      </c>
      <c r="U146">
        <v>1</v>
      </c>
      <c r="V146" t="s">
        <v>8</v>
      </c>
      <c r="W146" t="s">
        <v>8</v>
      </c>
      <c r="X146" t="s">
        <v>4</v>
      </c>
      <c r="Y146" t="s">
        <v>3</v>
      </c>
    </row>
    <row r="147" spans="1:25" x14ac:dyDescent="0.25">
      <c r="A147" t="s">
        <v>3433</v>
      </c>
      <c r="B147" s="9">
        <v>45883</v>
      </c>
      <c r="C147" s="7" t="s">
        <v>82</v>
      </c>
      <c r="D147" t="s">
        <v>2</v>
      </c>
      <c r="E147" t="s">
        <v>3</v>
      </c>
      <c r="F147" t="s">
        <v>2619</v>
      </c>
      <c r="G147" t="s">
        <v>2620</v>
      </c>
      <c r="H147">
        <v>232.11</v>
      </c>
      <c r="I147" t="s">
        <v>3717</v>
      </c>
      <c r="J147" t="s">
        <v>460</v>
      </c>
      <c r="K147" t="s">
        <v>8</v>
      </c>
      <c r="L147" t="s">
        <v>3718</v>
      </c>
      <c r="M147" t="s">
        <v>3718</v>
      </c>
      <c r="N147" t="s">
        <v>2493</v>
      </c>
      <c r="O147" t="s">
        <v>1</v>
      </c>
      <c r="P147">
        <v>45853</v>
      </c>
      <c r="Q147" t="s">
        <v>3719</v>
      </c>
      <c r="R147">
        <v>45883</v>
      </c>
      <c r="S147" t="s">
        <v>3720</v>
      </c>
      <c r="T147" t="s">
        <v>8</v>
      </c>
      <c r="U147">
        <v>0</v>
      </c>
      <c r="V147" t="s">
        <v>8</v>
      </c>
      <c r="W147" t="s">
        <v>8</v>
      </c>
      <c r="X147" t="s">
        <v>2619</v>
      </c>
      <c r="Y147" t="s">
        <v>3</v>
      </c>
    </row>
    <row r="148" spans="1:25" x14ac:dyDescent="0.25">
      <c r="A148" t="s">
        <v>3433</v>
      </c>
      <c r="B148" s="9">
        <v>45883</v>
      </c>
      <c r="C148" s="7" t="s">
        <v>82</v>
      </c>
      <c r="D148" t="s">
        <v>2</v>
      </c>
      <c r="E148" t="s">
        <v>3</v>
      </c>
      <c r="F148" t="s">
        <v>4</v>
      </c>
      <c r="G148" t="s">
        <v>5</v>
      </c>
      <c r="H148">
        <v>132.09</v>
      </c>
      <c r="I148" t="s">
        <v>3717</v>
      </c>
      <c r="J148" t="s">
        <v>460</v>
      </c>
      <c r="K148" t="s">
        <v>8</v>
      </c>
      <c r="L148" t="s">
        <v>3718</v>
      </c>
      <c r="M148" t="s">
        <v>3718</v>
      </c>
      <c r="N148" t="s">
        <v>2493</v>
      </c>
      <c r="O148" t="s">
        <v>12</v>
      </c>
      <c r="P148">
        <v>45853</v>
      </c>
      <c r="Q148" t="s">
        <v>3719</v>
      </c>
      <c r="R148">
        <v>45883</v>
      </c>
      <c r="S148" t="s">
        <v>3720</v>
      </c>
      <c r="T148" t="s">
        <v>8</v>
      </c>
      <c r="U148">
        <v>0</v>
      </c>
      <c r="V148" t="s">
        <v>8</v>
      </c>
      <c r="W148" t="s">
        <v>8</v>
      </c>
      <c r="X148" t="s">
        <v>4</v>
      </c>
      <c r="Y148" t="s">
        <v>3</v>
      </c>
    </row>
    <row r="149" spans="1:25" x14ac:dyDescent="0.25">
      <c r="A149" t="s">
        <v>3433</v>
      </c>
      <c r="B149" s="9">
        <v>45883</v>
      </c>
      <c r="C149" s="7" t="s">
        <v>82</v>
      </c>
      <c r="D149" t="s">
        <v>2</v>
      </c>
      <c r="E149" t="s">
        <v>3</v>
      </c>
      <c r="F149" t="s">
        <v>3663</v>
      </c>
      <c r="G149" t="s">
        <v>3664</v>
      </c>
      <c r="H149">
        <v>62.2</v>
      </c>
      <c r="I149" t="s">
        <v>3717</v>
      </c>
      <c r="J149" t="s">
        <v>460</v>
      </c>
      <c r="K149" t="s">
        <v>8</v>
      </c>
      <c r="L149" t="s">
        <v>3718</v>
      </c>
      <c r="M149" t="s">
        <v>3718</v>
      </c>
      <c r="N149" t="s">
        <v>2493</v>
      </c>
      <c r="O149" t="s">
        <v>17</v>
      </c>
      <c r="P149">
        <v>45853</v>
      </c>
      <c r="Q149" t="s">
        <v>3719</v>
      </c>
      <c r="R149">
        <v>45883</v>
      </c>
      <c r="S149" t="s">
        <v>3720</v>
      </c>
      <c r="T149" t="s">
        <v>8</v>
      </c>
      <c r="U149">
        <v>0</v>
      </c>
      <c r="V149" t="s">
        <v>8</v>
      </c>
      <c r="W149" t="s">
        <v>8</v>
      </c>
      <c r="X149" t="s">
        <v>3663</v>
      </c>
      <c r="Y149" t="s">
        <v>3</v>
      </c>
    </row>
    <row r="150" spans="1:25" x14ac:dyDescent="0.25">
      <c r="A150" t="s">
        <v>3433</v>
      </c>
      <c r="B150" s="9">
        <v>45883</v>
      </c>
      <c r="C150" s="7" t="s">
        <v>82</v>
      </c>
      <c r="D150" t="s">
        <v>2</v>
      </c>
      <c r="E150" t="s">
        <v>3</v>
      </c>
      <c r="F150" t="s">
        <v>2981</v>
      </c>
      <c r="G150" t="s">
        <v>2982</v>
      </c>
      <c r="H150">
        <v>179.54</v>
      </c>
      <c r="I150" t="s">
        <v>3717</v>
      </c>
      <c r="J150" t="s">
        <v>460</v>
      </c>
      <c r="K150" t="s">
        <v>8</v>
      </c>
      <c r="L150" t="s">
        <v>3718</v>
      </c>
      <c r="M150" t="s">
        <v>3718</v>
      </c>
      <c r="N150" t="s">
        <v>2493</v>
      </c>
      <c r="O150" t="s">
        <v>43</v>
      </c>
      <c r="P150">
        <v>45853</v>
      </c>
      <c r="Q150" t="s">
        <v>3719</v>
      </c>
      <c r="R150">
        <v>45883</v>
      </c>
      <c r="S150" t="s">
        <v>3720</v>
      </c>
      <c r="T150" t="s">
        <v>8</v>
      </c>
      <c r="U150">
        <v>0</v>
      </c>
      <c r="V150" t="s">
        <v>8</v>
      </c>
      <c r="W150" t="s">
        <v>8</v>
      </c>
      <c r="X150" t="s">
        <v>2981</v>
      </c>
      <c r="Y150" t="s">
        <v>3</v>
      </c>
    </row>
    <row r="151" spans="1:25" x14ac:dyDescent="0.25">
      <c r="A151" t="s">
        <v>3433</v>
      </c>
      <c r="B151" s="9">
        <v>45883</v>
      </c>
      <c r="C151" s="7" t="s">
        <v>82</v>
      </c>
      <c r="D151" t="s">
        <v>2</v>
      </c>
      <c r="E151" t="s">
        <v>3</v>
      </c>
      <c r="F151" t="s">
        <v>2619</v>
      </c>
      <c r="G151" t="s">
        <v>2620</v>
      </c>
      <c r="H151">
        <v>38.86</v>
      </c>
      <c r="I151" t="s">
        <v>3717</v>
      </c>
      <c r="J151" t="s">
        <v>460</v>
      </c>
      <c r="K151" t="s">
        <v>8</v>
      </c>
      <c r="L151" t="s">
        <v>3718</v>
      </c>
      <c r="M151" t="s">
        <v>3718</v>
      </c>
      <c r="N151" t="s">
        <v>2493</v>
      </c>
      <c r="O151" t="s">
        <v>77</v>
      </c>
      <c r="P151">
        <v>45853</v>
      </c>
      <c r="Q151" t="s">
        <v>3719</v>
      </c>
      <c r="R151">
        <v>45883</v>
      </c>
      <c r="S151" t="s">
        <v>3720</v>
      </c>
      <c r="T151" t="s">
        <v>8</v>
      </c>
      <c r="U151">
        <v>0</v>
      </c>
      <c r="V151" t="s">
        <v>8</v>
      </c>
      <c r="W151" t="s">
        <v>8</v>
      </c>
      <c r="X151" t="s">
        <v>2619</v>
      </c>
      <c r="Y151" t="s">
        <v>3</v>
      </c>
    </row>
    <row r="152" spans="1:25" x14ac:dyDescent="0.25">
      <c r="A152" t="s">
        <v>3433</v>
      </c>
      <c r="B152" s="9">
        <v>45883</v>
      </c>
      <c r="C152" s="7" t="s">
        <v>82</v>
      </c>
      <c r="D152" t="s">
        <v>2</v>
      </c>
      <c r="E152" t="s">
        <v>3</v>
      </c>
      <c r="F152" t="s">
        <v>2619</v>
      </c>
      <c r="G152" t="s">
        <v>2620</v>
      </c>
      <c r="H152">
        <v>2894.53</v>
      </c>
      <c r="I152" t="s">
        <v>3721</v>
      </c>
      <c r="J152" t="s">
        <v>460</v>
      </c>
      <c r="K152" t="s">
        <v>8</v>
      </c>
      <c r="L152" t="s">
        <v>3722</v>
      </c>
      <c r="M152" t="s">
        <v>3722</v>
      </c>
      <c r="N152" t="s">
        <v>2493</v>
      </c>
      <c r="O152" t="s">
        <v>1</v>
      </c>
      <c r="P152">
        <v>45853</v>
      </c>
      <c r="Q152" t="s">
        <v>3723</v>
      </c>
      <c r="R152">
        <v>45883</v>
      </c>
      <c r="S152" t="s">
        <v>3724</v>
      </c>
      <c r="T152" t="s">
        <v>8</v>
      </c>
      <c r="U152">
        <v>0</v>
      </c>
      <c r="V152" t="s">
        <v>8</v>
      </c>
      <c r="W152" t="s">
        <v>8</v>
      </c>
      <c r="X152" t="s">
        <v>2619</v>
      </c>
      <c r="Y152" t="s">
        <v>3</v>
      </c>
    </row>
    <row r="153" spans="1:25" x14ac:dyDescent="0.25">
      <c r="A153" t="s">
        <v>3433</v>
      </c>
      <c r="B153" s="9">
        <v>45883</v>
      </c>
      <c r="C153" s="7" t="s">
        <v>82</v>
      </c>
      <c r="D153" t="s">
        <v>2</v>
      </c>
      <c r="E153" t="s">
        <v>3</v>
      </c>
      <c r="F153" t="s">
        <v>3663</v>
      </c>
      <c r="G153" t="s">
        <v>3664</v>
      </c>
      <c r="H153">
        <v>998.11</v>
      </c>
      <c r="I153" t="s">
        <v>3721</v>
      </c>
      <c r="J153" t="s">
        <v>460</v>
      </c>
      <c r="K153" t="s">
        <v>8</v>
      </c>
      <c r="L153" t="s">
        <v>3722</v>
      </c>
      <c r="M153" t="s">
        <v>3722</v>
      </c>
      <c r="N153" t="s">
        <v>2493</v>
      </c>
      <c r="O153" t="s">
        <v>12</v>
      </c>
      <c r="P153">
        <v>45853</v>
      </c>
      <c r="Q153" t="s">
        <v>3723</v>
      </c>
      <c r="R153">
        <v>45883</v>
      </c>
      <c r="S153" t="s">
        <v>3724</v>
      </c>
      <c r="T153" t="s">
        <v>8</v>
      </c>
      <c r="U153">
        <v>0</v>
      </c>
      <c r="V153" t="s">
        <v>8</v>
      </c>
      <c r="W153" t="s">
        <v>8</v>
      </c>
      <c r="X153" t="s">
        <v>3663</v>
      </c>
      <c r="Y153" t="s">
        <v>3</v>
      </c>
    </row>
    <row r="154" spans="1:25" x14ac:dyDescent="0.25">
      <c r="A154" t="s">
        <v>3433</v>
      </c>
      <c r="B154" s="9">
        <v>45883</v>
      </c>
      <c r="C154" s="7" t="s">
        <v>82</v>
      </c>
      <c r="D154" t="s">
        <v>2</v>
      </c>
      <c r="E154" t="s">
        <v>3</v>
      </c>
      <c r="F154" t="s">
        <v>4</v>
      </c>
      <c r="G154" t="s">
        <v>5</v>
      </c>
      <c r="H154">
        <v>329.38</v>
      </c>
      <c r="I154" t="s">
        <v>3721</v>
      </c>
      <c r="J154" t="s">
        <v>460</v>
      </c>
      <c r="K154" t="s">
        <v>8</v>
      </c>
      <c r="L154" t="s">
        <v>3722</v>
      </c>
      <c r="M154" t="s">
        <v>3722</v>
      </c>
      <c r="N154" t="s">
        <v>2493</v>
      </c>
      <c r="O154" t="s">
        <v>17</v>
      </c>
      <c r="P154">
        <v>45853</v>
      </c>
      <c r="Q154" t="s">
        <v>3723</v>
      </c>
      <c r="R154">
        <v>45883</v>
      </c>
      <c r="S154" t="s">
        <v>3724</v>
      </c>
      <c r="T154" t="s">
        <v>8</v>
      </c>
      <c r="U154">
        <v>0</v>
      </c>
      <c r="V154" t="s">
        <v>8</v>
      </c>
      <c r="W154" t="s">
        <v>8</v>
      </c>
      <c r="X154" t="s">
        <v>4</v>
      </c>
      <c r="Y154" t="s">
        <v>3</v>
      </c>
    </row>
    <row r="155" spans="1:25" x14ac:dyDescent="0.25">
      <c r="A155" t="s">
        <v>3433</v>
      </c>
      <c r="B155" s="9">
        <v>45883</v>
      </c>
      <c r="C155" s="7" t="s">
        <v>82</v>
      </c>
      <c r="D155" t="s">
        <v>2</v>
      </c>
      <c r="E155" t="s">
        <v>3</v>
      </c>
      <c r="F155" t="s">
        <v>2981</v>
      </c>
      <c r="G155" t="s">
        <v>2982</v>
      </c>
      <c r="H155">
        <v>3912.59</v>
      </c>
      <c r="I155" t="s">
        <v>3721</v>
      </c>
      <c r="J155" t="s">
        <v>460</v>
      </c>
      <c r="K155" t="s">
        <v>8</v>
      </c>
      <c r="L155" t="s">
        <v>3722</v>
      </c>
      <c r="M155" t="s">
        <v>3722</v>
      </c>
      <c r="N155" t="s">
        <v>2493</v>
      </c>
      <c r="O155" t="s">
        <v>43</v>
      </c>
      <c r="P155">
        <v>45853</v>
      </c>
      <c r="Q155" t="s">
        <v>3723</v>
      </c>
      <c r="R155">
        <v>45883</v>
      </c>
      <c r="S155" t="s">
        <v>3724</v>
      </c>
      <c r="T155" t="s">
        <v>8</v>
      </c>
      <c r="U155">
        <v>0</v>
      </c>
      <c r="V155" t="s">
        <v>8</v>
      </c>
      <c r="W155" t="s">
        <v>8</v>
      </c>
      <c r="X155" t="s">
        <v>2981</v>
      </c>
      <c r="Y155" t="s">
        <v>3</v>
      </c>
    </row>
    <row r="156" spans="1:25" x14ac:dyDescent="0.25">
      <c r="A156" t="s">
        <v>3433</v>
      </c>
      <c r="B156" s="9">
        <v>45883</v>
      </c>
      <c r="C156" s="7" t="s">
        <v>82</v>
      </c>
      <c r="D156" t="s">
        <v>2</v>
      </c>
      <c r="E156" t="s">
        <v>3</v>
      </c>
      <c r="F156" t="s">
        <v>4</v>
      </c>
      <c r="G156" t="s">
        <v>5</v>
      </c>
      <c r="H156">
        <v>1846.49</v>
      </c>
      <c r="I156" t="s">
        <v>3721</v>
      </c>
      <c r="J156" t="s">
        <v>460</v>
      </c>
      <c r="K156" t="s">
        <v>8</v>
      </c>
      <c r="L156" t="s">
        <v>3722</v>
      </c>
      <c r="M156" t="s">
        <v>3722</v>
      </c>
      <c r="N156" t="s">
        <v>2493</v>
      </c>
      <c r="O156" t="s">
        <v>77</v>
      </c>
      <c r="P156">
        <v>45853</v>
      </c>
      <c r="Q156" t="s">
        <v>3723</v>
      </c>
      <c r="R156">
        <v>45883</v>
      </c>
      <c r="S156" t="s">
        <v>3724</v>
      </c>
      <c r="T156" t="s">
        <v>8</v>
      </c>
      <c r="U156">
        <v>0</v>
      </c>
      <c r="V156" t="s">
        <v>8</v>
      </c>
      <c r="W156" t="s">
        <v>8</v>
      </c>
      <c r="X156" t="s">
        <v>4</v>
      </c>
      <c r="Y156" t="s">
        <v>3</v>
      </c>
    </row>
    <row r="157" spans="1:25" x14ac:dyDescent="0.25">
      <c r="A157" t="s">
        <v>3433</v>
      </c>
      <c r="B157" s="9">
        <v>45891</v>
      </c>
      <c r="C157" s="7" t="s">
        <v>82</v>
      </c>
      <c r="D157" t="s">
        <v>2</v>
      </c>
      <c r="E157" t="s">
        <v>3</v>
      </c>
      <c r="F157" t="s">
        <v>4</v>
      </c>
      <c r="G157" t="s">
        <v>5</v>
      </c>
      <c r="H157">
        <v>-10167.5</v>
      </c>
      <c r="I157" t="s">
        <v>469</v>
      </c>
      <c r="J157" t="s">
        <v>460</v>
      </c>
      <c r="K157" t="s">
        <v>3774</v>
      </c>
      <c r="L157" t="s">
        <v>3778</v>
      </c>
      <c r="M157" t="s">
        <v>3778</v>
      </c>
      <c r="N157" t="s">
        <v>2493</v>
      </c>
      <c r="O157" t="s">
        <v>1</v>
      </c>
      <c r="P157">
        <v>45876</v>
      </c>
      <c r="Q157" t="s">
        <v>3779</v>
      </c>
      <c r="R157">
        <v>45880</v>
      </c>
      <c r="S157" t="s">
        <v>3777</v>
      </c>
      <c r="T157" t="s">
        <v>469</v>
      </c>
      <c r="U157">
        <v>-1</v>
      </c>
      <c r="V157" t="s">
        <v>8</v>
      </c>
      <c r="W157" t="s">
        <v>8</v>
      </c>
      <c r="X157" t="s">
        <v>4</v>
      </c>
      <c r="Y157" t="s">
        <v>3</v>
      </c>
    </row>
    <row r="158" spans="1:25" x14ac:dyDescent="0.25">
      <c r="A158" t="s">
        <v>3433</v>
      </c>
      <c r="B158" s="9">
        <v>45891</v>
      </c>
      <c r="C158" s="7" t="s">
        <v>82</v>
      </c>
      <c r="D158" t="s">
        <v>2</v>
      </c>
      <c r="E158" t="s">
        <v>3</v>
      </c>
      <c r="F158" t="s">
        <v>2981</v>
      </c>
      <c r="G158" t="s">
        <v>2982</v>
      </c>
      <c r="H158">
        <v>-509.63</v>
      </c>
      <c r="I158" t="s">
        <v>3711</v>
      </c>
      <c r="J158" t="s">
        <v>460</v>
      </c>
      <c r="K158" t="s">
        <v>8</v>
      </c>
      <c r="L158" t="s">
        <v>3725</v>
      </c>
      <c r="M158" t="s">
        <v>3725</v>
      </c>
      <c r="N158" t="s">
        <v>2493</v>
      </c>
      <c r="O158" t="s">
        <v>1</v>
      </c>
      <c r="P158">
        <v>45876</v>
      </c>
      <c r="Q158" t="s">
        <v>3726</v>
      </c>
      <c r="R158">
        <v>45880</v>
      </c>
      <c r="S158" t="s">
        <v>3714</v>
      </c>
      <c r="T158" t="s">
        <v>8</v>
      </c>
      <c r="U158">
        <v>0</v>
      </c>
      <c r="V158" t="s">
        <v>8</v>
      </c>
      <c r="W158" t="s">
        <v>8</v>
      </c>
      <c r="X158" t="s">
        <v>2981</v>
      </c>
      <c r="Y158" t="s">
        <v>3</v>
      </c>
    </row>
    <row r="159" spans="1:25" x14ac:dyDescent="0.25">
      <c r="A159" t="s">
        <v>3433</v>
      </c>
      <c r="B159" s="9">
        <v>45891</v>
      </c>
      <c r="C159" s="7" t="s">
        <v>82</v>
      </c>
      <c r="D159" t="s">
        <v>2</v>
      </c>
      <c r="E159" t="s">
        <v>3</v>
      </c>
      <c r="F159" t="s">
        <v>3715</v>
      </c>
      <c r="G159" t="s">
        <v>3716</v>
      </c>
      <c r="H159">
        <v>-234.1</v>
      </c>
      <c r="I159" t="s">
        <v>3711</v>
      </c>
      <c r="J159" t="s">
        <v>460</v>
      </c>
      <c r="K159" t="s">
        <v>8</v>
      </c>
      <c r="L159" t="s">
        <v>3725</v>
      </c>
      <c r="M159" t="s">
        <v>3725</v>
      </c>
      <c r="N159" t="s">
        <v>2493</v>
      </c>
      <c r="O159" t="s">
        <v>12</v>
      </c>
      <c r="P159">
        <v>45876</v>
      </c>
      <c r="Q159" t="s">
        <v>3726</v>
      </c>
      <c r="R159">
        <v>45880</v>
      </c>
      <c r="S159" t="s">
        <v>3714</v>
      </c>
      <c r="T159" t="s">
        <v>8</v>
      </c>
      <c r="U159">
        <v>0</v>
      </c>
      <c r="V159" t="s">
        <v>8</v>
      </c>
      <c r="W159" t="s">
        <v>8</v>
      </c>
      <c r="X159" t="s">
        <v>3715</v>
      </c>
      <c r="Y159" t="s">
        <v>3</v>
      </c>
    </row>
    <row r="160" spans="1:25" x14ac:dyDescent="0.25">
      <c r="A160" t="s">
        <v>3433</v>
      </c>
      <c r="B160" s="9">
        <v>45891</v>
      </c>
      <c r="C160" s="7" t="s">
        <v>82</v>
      </c>
      <c r="D160" t="s">
        <v>2</v>
      </c>
      <c r="E160" t="s">
        <v>3</v>
      </c>
      <c r="F160" t="s">
        <v>2619</v>
      </c>
      <c r="G160" t="s">
        <v>2620</v>
      </c>
      <c r="H160">
        <v>-1008.45</v>
      </c>
      <c r="I160" t="s">
        <v>3711</v>
      </c>
      <c r="J160" t="s">
        <v>460</v>
      </c>
      <c r="K160" t="s">
        <v>8</v>
      </c>
      <c r="L160" t="s">
        <v>3725</v>
      </c>
      <c r="M160" t="s">
        <v>3725</v>
      </c>
      <c r="N160" t="s">
        <v>2493</v>
      </c>
      <c r="O160" t="s">
        <v>17</v>
      </c>
      <c r="P160">
        <v>45876</v>
      </c>
      <c r="Q160" t="s">
        <v>3726</v>
      </c>
      <c r="R160">
        <v>45880</v>
      </c>
      <c r="S160" t="s">
        <v>3714</v>
      </c>
      <c r="T160" t="s">
        <v>8</v>
      </c>
      <c r="U160">
        <v>0</v>
      </c>
      <c r="V160" t="s">
        <v>8</v>
      </c>
      <c r="W160" t="s">
        <v>8</v>
      </c>
      <c r="X160" t="s">
        <v>2619</v>
      </c>
      <c r="Y160" t="s">
        <v>3</v>
      </c>
    </row>
    <row r="161" spans="1:25" x14ac:dyDescent="0.25">
      <c r="A161" t="s">
        <v>3433</v>
      </c>
      <c r="B161" s="9">
        <v>45891</v>
      </c>
      <c r="C161" s="7" t="s">
        <v>82</v>
      </c>
      <c r="D161" t="s">
        <v>2</v>
      </c>
      <c r="E161" t="s">
        <v>3</v>
      </c>
      <c r="F161" t="s">
        <v>4</v>
      </c>
      <c r="G161" t="s">
        <v>5</v>
      </c>
      <c r="H161">
        <v>-48.63</v>
      </c>
      <c r="I161" t="s">
        <v>3711</v>
      </c>
      <c r="J161" t="s">
        <v>460</v>
      </c>
      <c r="K161" t="s">
        <v>8</v>
      </c>
      <c r="L161" t="s">
        <v>3725</v>
      </c>
      <c r="M161" t="s">
        <v>3725</v>
      </c>
      <c r="N161" t="s">
        <v>2493</v>
      </c>
      <c r="O161" t="s">
        <v>43</v>
      </c>
      <c r="P161">
        <v>45876</v>
      </c>
      <c r="Q161" t="s">
        <v>3726</v>
      </c>
      <c r="R161">
        <v>45880</v>
      </c>
      <c r="S161" t="s">
        <v>3714</v>
      </c>
      <c r="T161" t="s">
        <v>8</v>
      </c>
      <c r="U161">
        <v>0</v>
      </c>
      <c r="V161" t="s">
        <v>8</v>
      </c>
      <c r="W161" t="s">
        <v>8</v>
      </c>
      <c r="X161" t="s">
        <v>4</v>
      </c>
      <c r="Y161" t="s">
        <v>3</v>
      </c>
    </row>
    <row r="162" spans="1:25" x14ac:dyDescent="0.25">
      <c r="A162" t="s">
        <v>3433</v>
      </c>
      <c r="B162" s="9">
        <v>45891</v>
      </c>
      <c r="C162" s="7" t="s">
        <v>82</v>
      </c>
      <c r="D162" t="s">
        <v>2</v>
      </c>
      <c r="E162" t="s">
        <v>3</v>
      </c>
      <c r="F162" t="s">
        <v>2619</v>
      </c>
      <c r="G162" t="s">
        <v>2620</v>
      </c>
      <c r="H162">
        <v>-2894.53</v>
      </c>
      <c r="I162" t="s">
        <v>3721</v>
      </c>
      <c r="J162" t="s">
        <v>460</v>
      </c>
      <c r="K162" t="s">
        <v>8</v>
      </c>
      <c r="L162" t="s">
        <v>3727</v>
      </c>
      <c r="M162" t="s">
        <v>3727</v>
      </c>
      <c r="N162" t="s">
        <v>2493</v>
      </c>
      <c r="O162" t="s">
        <v>1</v>
      </c>
      <c r="P162">
        <v>45853</v>
      </c>
      <c r="Q162" t="s">
        <v>3728</v>
      </c>
      <c r="R162">
        <v>45883</v>
      </c>
      <c r="S162" t="s">
        <v>3724</v>
      </c>
      <c r="T162" t="s">
        <v>8</v>
      </c>
      <c r="U162">
        <v>0</v>
      </c>
      <c r="V162" t="s">
        <v>8</v>
      </c>
      <c r="W162" t="s">
        <v>8</v>
      </c>
      <c r="X162" t="s">
        <v>2619</v>
      </c>
      <c r="Y162" t="s">
        <v>3</v>
      </c>
    </row>
    <row r="163" spans="1:25" x14ac:dyDescent="0.25">
      <c r="A163" t="s">
        <v>3433</v>
      </c>
      <c r="B163" s="9">
        <v>45891</v>
      </c>
      <c r="C163" s="7" t="s">
        <v>82</v>
      </c>
      <c r="D163" t="s">
        <v>2</v>
      </c>
      <c r="E163" t="s">
        <v>3</v>
      </c>
      <c r="F163" t="s">
        <v>3663</v>
      </c>
      <c r="G163" t="s">
        <v>3664</v>
      </c>
      <c r="H163">
        <v>-998.11</v>
      </c>
      <c r="I163" t="s">
        <v>3721</v>
      </c>
      <c r="J163" t="s">
        <v>460</v>
      </c>
      <c r="K163" t="s">
        <v>8</v>
      </c>
      <c r="L163" t="s">
        <v>3727</v>
      </c>
      <c r="M163" t="s">
        <v>3727</v>
      </c>
      <c r="N163" t="s">
        <v>2493</v>
      </c>
      <c r="O163" t="s">
        <v>12</v>
      </c>
      <c r="P163">
        <v>45853</v>
      </c>
      <c r="Q163" t="s">
        <v>3728</v>
      </c>
      <c r="R163">
        <v>45883</v>
      </c>
      <c r="S163" t="s">
        <v>3724</v>
      </c>
      <c r="T163" t="s">
        <v>8</v>
      </c>
      <c r="U163">
        <v>0</v>
      </c>
      <c r="V163" t="s">
        <v>8</v>
      </c>
      <c r="W163" t="s">
        <v>8</v>
      </c>
      <c r="X163" t="s">
        <v>3663</v>
      </c>
      <c r="Y163" t="s">
        <v>3</v>
      </c>
    </row>
    <row r="164" spans="1:25" x14ac:dyDescent="0.25">
      <c r="A164" t="s">
        <v>3433</v>
      </c>
      <c r="B164" s="9">
        <v>45891</v>
      </c>
      <c r="C164" s="7" t="s">
        <v>82</v>
      </c>
      <c r="D164" t="s">
        <v>2</v>
      </c>
      <c r="E164" t="s">
        <v>3</v>
      </c>
      <c r="F164" t="s">
        <v>4</v>
      </c>
      <c r="G164" t="s">
        <v>5</v>
      </c>
      <c r="H164">
        <v>-329.38</v>
      </c>
      <c r="I164" t="s">
        <v>3721</v>
      </c>
      <c r="J164" t="s">
        <v>460</v>
      </c>
      <c r="K164" t="s">
        <v>8</v>
      </c>
      <c r="L164" t="s">
        <v>3727</v>
      </c>
      <c r="M164" t="s">
        <v>3727</v>
      </c>
      <c r="N164" t="s">
        <v>2493</v>
      </c>
      <c r="O164" t="s">
        <v>17</v>
      </c>
      <c r="P164">
        <v>45853</v>
      </c>
      <c r="Q164" t="s">
        <v>3728</v>
      </c>
      <c r="R164">
        <v>45883</v>
      </c>
      <c r="S164" t="s">
        <v>3724</v>
      </c>
      <c r="T164" t="s">
        <v>8</v>
      </c>
      <c r="U164">
        <v>0</v>
      </c>
      <c r="V164" t="s">
        <v>8</v>
      </c>
      <c r="W164" t="s">
        <v>8</v>
      </c>
      <c r="X164" t="s">
        <v>4</v>
      </c>
      <c r="Y164" t="s">
        <v>3</v>
      </c>
    </row>
    <row r="165" spans="1:25" x14ac:dyDescent="0.25">
      <c r="A165" t="s">
        <v>3433</v>
      </c>
      <c r="B165" s="9">
        <v>45891</v>
      </c>
      <c r="C165" s="7" t="s">
        <v>82</v>
      </c>
      <c r="D165" t="s">
        <v>2</v>
      </c>
      <c r="E165" t="s">
        <v>3</v>
      </c>
      <c r="F165" t="s">
        <v>2981</v>
      </c>
      <c r="G165" t="s">
        <v>2982</v>
      </c>
      <c r="H165">
        <v>-3912.59</v>
      </c>
      <c r="I165" t="s">
        <v>3721</v>
      </c>
      <c r="J165" t="s">
        <v>460</v>
      </c>
      <c r="K165" t="s">
        <v>8</v>
      </c>
      <c r="L165" t="s">
        <v>3727</v>
      </c>
      <c r="M165" t="s">
        <v>3727</v>
      </c>
      <c r="N165" t="s">
        <v>2493</v>
      </c>
      <c r="O165" t="s">
        <v>43</v>
      </c>
      <c r="P165">
        <v>45853</v>
      </c>
      <c r="Q165" t="s">
        <v>3728</v>
      </c>
      <c r="R165">
        <v>45883</v>
      </c>
      <c r="S165" t="s">
        <v>3724</v>
      </c>
      <c r="T165" t="s">
        <v>8</v>
      </c>
      <c r="U165">
        <v>0</v>
      </c>
      <c r="V165" t="s">
        <v>8</v>
      </c>
      <c r="W165" t="s">
        <v>8</v>
      </c>
      <c r="X165" t="s">
        <v>2981</v>
      </c>
      <c r="Y165" t="s">
        <v>3</v>
      </c>
    </row>
    <row r="166" spans="1:25" x14ac:dyDescent="0.25">
      <c r="A166" t="s">
        <v>3433</v>
      </c>
      <c r="B166" s="9">
        <v>45891</v>
      </c>
      <c r="C166" s="7" t="s">
        <v>82</v>
      </c>
      <c r="D166" t="s">
        <v>2</v>
      </c>
      <c r="E166" t="s">
        <v>3</v>
      </c>
      <c r="F166" t="s">
        <v>4</v>
      </c>
      <c r="G166" t="s">
        <v>5</v>
      </c>
      <c r="H166">
        <v>-1846.49</v>
      </c>
      <c r="I166" t="s">
        <v>3721</v>
      </c>
      <c r="J166" t="s">
        <v>460</v>
      </c>
      <c r="K166" t="s">
        <v>8</v>
      </c>
      <c r="L166" t="s">
        <v>3727</v>
      </c>
      <c r="M166" t="s">
        <v>3727</v>
      </c>
      <c r="N166" t="s">
        <v>2493</v>
      </c>
      <c r="O166" t="s">
        <v>77</v>
      </c>
      <c r="P166">
        <v>45853</v>
      </c>
      <c r="Q166" t="s">
        <v>3728</v>
      </c>
      <c r="R166">
        <v>45883</v>
      </c>
      <c r="S166" t="s">
        <v>3724</v>
      </c>
      <c r="T166" t="s">
        <v>8</v>
      </c>
      <c r="U166">
        <v>0</v>
      </c>
      <c r="V166" t="s">
        <v>8</v>
      </c>
      <c r="W166" t="s">
        <v>8</v>
      </c>
      <c r="X166" t="s">
        <v>4</v>
      </c>
      <c r="Y166" t="s">
        <v>3</v>
      </c>
    </row>
    <row r="167" spans="1:25" x14ac:dyDescent="0.25">
      <c r="A167" t="s">
        <v>3433</v>
      </c>
      <c r="B167" s="9">
        <v>45891</v>
      </c>
      <c r="C167" s="7" t="s">
        <v>82</v>
      </c>
      <c r="D167" t="s">
        <v>2</v>
      </c>
      <c r="E167" t="s">
        <v>3</v>
      </c>
      <c r="F167" t="s">
        <v>2619</v>
      </c>
      <c r="G167" t="s">
        <v>2620</v>
      </c>
      <c r="H167">
        <v>-232.11</v>
      </c>
      <c r="I167" t="s">
        <v>3717</v>
      </c>
      <c r="J167" t="s">
        <v>460</v>
      </c>
      <c r="K167" t="s">
        <v>8</v>
      </c>
      <c r="L167" t="s">
        <v>3729</v>
      </c>
      <c r="M167" t="s">
        <v>3729</v>
      </c>
      <c r="N167" t="s">
        <v>2493</v>
      </c>
      <c r="O167" t="s">
        <v>1</v>
      </c>
      <c r="P167">
        <v>45853</v>
      </c>
      <c r="Q167" t="s">
        <v>3730</v>
      </c>
      <c r="R167">
        <v>45883</v>
      </c>
      <c r="S167" t="s">
        <v>3720</v>
      </c>
      <c r="T167" t="s">
        <v>8</v>
      </c>
      <c r="U167">
        <v>0</v>
      </c>
      <c r="V167" t="s">
        <v>8</v>
      </c>
      <c r="W167" t="s">
        <v>8</v>
      </c>
      <c r="X167" t="s">
        <v>2619</v>
      </c>
      <c r="Y167" t="s">
        <v>3</v>
      </c>
    </row>
    <row r="168" spans="1:25" x14ac:dyDescent="0.25">
      <c r="A168" t="s">
        <v>3433</v>
      </c>
      <c r="B168" s="9">
        <v>45891</v>
      </c>
      <c r="C168" s="7" t="s">
        <v>82</v>
      </c>
      <c r="D168" t="s">
        <v>2</v>
      </c>
      <c r="E168" t="s">
        <v>3</v>
      </c>
      <c r="F168" t="s">
        <v>4</v>
      </c>
      <c r="G168" t="s">
        <v>5</v>
      </c>
      <c r="H168">
        <v>-132.09</v>
      </c>
      <c r="I168" t="s">
        <v>3717</v>
      </c>
      <c r="J168" t="s">
        <v>460</v>
      </c>
      <c r="K168" t="s">
        <v>8</v>
      </c>
      <c r="L168" t="s">
        <v>3729</v>
      </c>
      <c r="M168" t="s">
        <v>3729</v>
      </c>
      <c r="N168" t="s">
        <v>2493</v>
      </c>
      <c r="O168" t="s">
        <v>12</v>
      </c>
      <c r="P168">
        <v>45853</v>
      </c>
      <c r="Q168" t="s">
        <v>3730</v>
      </c>
      <c r="R168">
        <v>45883</v>
      </c>
      <c r="S168" t="s">
        <v>3720</v>
      </c>
      <c r="T168" t="s">
        <v>8</v>
      </c>
      <c r="U168">
        <v>0</v>
      </c>
      <c r="V168" t="s">
        <v>8</v>
      </c>
      <c r="W168" t="s">
        <v>8</v>
      </c>
      <c r="X168" t="s">
        <v>4</v>
      </c>
      <c r="Y168" t="s">
        <v>3</v>
      </c>
    </row>
    <row r="169" spans="1:25" x14ac:dyDescent="0.25">
      <c r="A169" t="s">
        <v>3433</v>
      </c>
      <c r="B169" s="9">
        <v>45891</v>
      </c>
      <c r="C169" s="7" t="s">
        <v>82</v>
      </c>
      <c r="D169" t="s">
        <v>2</v>
      </c>
      <c r="E169" t="s">
        <v>3</v>
      </c>
      <c r="F169" t="s">
        <v>3663</v>
      </c>
      <c r="G169" t="s">
        <v>3664</v>
      </c>
      <c r="H169">
        <v>-62.2</v>
      </c>
      <c r="I169" t="s">
        <v>3717</v>
      </c>
      <c r="J169" t="s">
        <v>460</v>
      </c>
      <c r="K169" t="s">
        <v>8</v>
      </c>
      <c r="L169" t="s">
        <v>3729</v>
      </c>
      <c r="M169" t="s">
        <v>3729</v>
      </c>
      <c r="N169" t="s">
        <v>2493</v>
      </c>
      <c r="O169" t="s">
        <v>17</v>
      </c>
      <c r="P169">
        <v>45853</v>
      </c>
      <c r="Q169" t="s">
        <v>3730</v>
      </c>
      <c r="R169">
        <v>45883</v>
      </c>
      <c r="S169" t="s">
        <v>3720</v>
      </c>
      <c r="T169" t="s">
        <v>8</v>
      </c>
      <c r="U169">
        <v>0</v>
      </c>
      <c r="V169" t="s">
        <v>8</v>
      </c>
      <c r="W169" t="s">
        <v>8</v>
      </c>
      <c r="X169" t="s">
        <v>3663</v>
      </c>
      <c r="Y169" t="s">
        <v>3</v>
      </c>
    </row>
    <row r="170" spans="1:25" x14ac:dyDescent="0.25">
      <c r="A170" t="s">
        <v>3433</v>
      </c>
      <c r="B170" s="9">
        <v>45891</v>
      </c>
      <c r="C170" s="7" t="s">
        <v>82</v>
      </c>
      <c r="D170" t="s">
        <v>2</v>
      </c>
      <c r="E170" t="s">
        <v>3</v>
      </c>
      <c r="F170" t="s">
        <v>2981</v>
      </c>
      <c r="G170" t="s">
        <v>2982</v>
      </c>
      <c r="H170">
        <v>-179.54</v>
      </c>
      <c r="I170" t="s">
        <v>3717</v>
      </c>
      <c r="J170" t="s">
        <v>460</v>
      </c>
      <c r="K170" t="s">
        <v>8</v>
      </c>
      <c r="L170" t="s">
        <v>3729</v>
      </c>
      <c r="M170" t="s">
        <v>3729</v>
      </c>
      <c r="N170" t="s">
        <v>2493</v>
      </c>
      <c r="O170" t="s">
        <v>43</v>
      </c>
      <c r="P170">
        <v>45853</v>
      </c>
      <c r="Q170" t="s">
        <v>3730</v>
      </c>
      <c r="R170">
        <v>45883</v>
      </c>
      <c r="S170" t="s">
        <v>3720</v>
      </c>
      <c r="T170" t="s">
        <v>8</v>
      </c>
      <c r="U170">
        <v>0</v>
      </c>
      <c r="V170" t="s">
        <v>8</v>
      </c>
      <c r="W170" t="s">
        <v>8</v>
      </c>
      <c r="X170" t="s">
        <v>2981</v>
      </c>
      <c r="Y170" t="s">
        <v>3</v>
      </c>
    </row>
    <row r="171" spans="1:25" x14ac:dyDescent="0.25">
      <c r="A171" t="s">
        <v>3433</v>
      </c>
      <c r="B171" s="9">
        <v>45891</v>
      </c>
      <c r="C171" s="7" t="s">
        <v>82</v>
      </c>
      <c r="D171" t="s">
        <v>2</v>
      </c>
      <c r="E171" t="s">
        <v>3</v>
      </c>
      <c r="F171" t="s">
        <v>2619</v>
      </c>
      <c r="G171" t="s">
        <v>2620</v>
      </c>
      <c r="H171">
        <v>-38.86</v>
      </c>
      <c r="I171" t="s">
        <v>3717</v>
      </c>
      <c r="J171" t="s">
        <v>460</v>
      </c>
      <c r="K171" t="s">
        <v>8</v>
      </c>
      <c r="L171" t="s">
        <v>3729</v>
      </c>
      <c r="M171" t="s">
        <v>3729</v>
      </c>
      <c r="N171" t="s">
        <v>2493</v>
      </c>
      <c r="O171" t="s">
        <v>77</v>
      </c>
      <c r="P171">
        <v>45853</v>
      </c>
      <c r="Q171" t="s">
        <v>3730</v>
      </c>
      <c r="R171">
        <v>45883</v>
      </c>
      <c r="S171" t="s">
        <v>3720</v>
      </c>
      <c r="T171" t="s">
        <v>8</v>
      </c>
      <c r="U171">
        <v>0</v>
      </c>
      <c r="V171" t="s">
        <v>8</v>
      </c>
      <c r="W171" t="s">
        <v>8</v>
      </c>
      <c r="X171" t="s">
        <v>2619</v>
      </c>
      <c r="Y171" t="s">
        <v>3</v>
      </c>
    </row>
    <row r="172" spans="1:25" x14ac:dyDescent="0.25">
      <c r="A172" t="s">
        <v>3433</v>
      </c>
      <c r="B172" s="9">
        <v>45891</v>
      </c>
      <c r="C172" s="7" t="s">
        <v>82</v>
      </c>
      <c r="D172" t="s">
        <v>2</v>
      </c>
      <c r="E172" t="s">
        <v>3</v>
      </c>
      <c r="F172" t="s">
        <v>4</v>
      </c>
      <c r="G172" t="s">
        <v>5</v>
      </c>
      <c r="H172">
        <v>11203.85</v>
      </c>
      <c r="I172" t="s">
        <v>3773</v>
      </c>
      <c r="J172" t="s">
        <v>460</v>
      </c>
      <c r="K172" t="s">
        <v>3774</v>
      </c>
      <c r="L172" t="s">
        <v>3780</v>
      </c>
      <c r="M172" t="s">
        <v>3780</v>
      </c>
      <c r="N172" t="s">
        <v>2493</v>
      </c>
      <c r="O172" t="s">
        <v>1</v>
      </c>
      <c r="P172">
        <v>45876</v>
      </c>
      <c r="Q172" t="s">
        <v>3781</v>
      </c>
      <c r="R172">
        <v>45891</v>
      </c>
      <c r="S172" t="s">
        <v>3777</v>
      </c>
      <c r="T172" t="s">
        <v>469</v>
      </c>
      <c r="U172">
        <v>1</v>
      </c>
      <c r="V172" t="s">
        <v>8</v>
      </c>
      <c r="W172" t="s">
        <v>8</v>
      </c>
      <c r="X172" t="s">
        <v>4</v>
      </c>
      <c r="Y172" t="s">
        <v>3</v>
      </c>
    </row>
    <row r="173" spans="1:25" x14ac:dyDescent="0.25">
      <c r="A173" t="s">
        <v>3433</v>
      </c>
      <c r="B173" s="9">
        <v>45891</v>
      </c>
      <c r="C173" s="7" t="s">
        <v>82</v>
      </c>
      <c r="D173" t="s">
        <v>2</v>
      </c>
      <c r="E173" t="s">
        <v>3</v>
      </c>
      <c r="F173" t="s">
        <v>2981</v>
      </c>
      <c r="G173" t="s">
        <v>2982</v>
      </c>
      <c r="H173">
        <v>561.58000000000004</v>
      </c>
      <c r="I173" t="s">
        <v>3711</v>
      </c>
      <c r="J173" t="s">
        <v>460</v>
      </c>
      <c r="K173" t="s">
        <v>8</v>
      </c>
      <c r="L173" t="s">
        <v>3731</v>
      </c>
      <c r="M173" t="s">
        <v>3731</v>
      </c>
      <c r="N173" t="s">
        <v>2493</v>
      </c>
      <c r="O173" t="s">
        <v>1</v>
      </c>
      <c r="P173">
        <v>45876</v>
      </c>
      <c r="Q173" t="s">
        <v>3732</v>
      </c>
      <c r="R173">
        <v>45891</v>
      </c>
      <c r="S173" t="s">
        <v>3714</v>
      </c>
      <c r="T173" t="s">
        <v>8</v>
      </c>
      <c r="U173">
        <v>0</v>
      </c>
      <c r="V173" t="s">
        <v>8</v>
      </c>
      <c r="W173" t="s">
        <v>8</v>
      </c>
      <c r="X173" t="s">
        <v>2981</v>
      </c>
      <c r="Y173" t="s">
        <v>3</v>
      </c>
    </row>
    <row r="174" spans="1:25" x14ac:dyDescent="0.25">
      <c r="A174" t="s">
        <v>3433</v>
      </c>
      <c r="B174" s="9">
        <v>45891</v>
      </c>
      <c r="C174" s="7" t="s">
        <v>82</v>
      </c>
      <c r="D174" t="s">
        <v>2</v>
      </c>
      <c r="E174" t="s">
        <v>3</v>
      </c>
      <c r="F174" t="s">
        <v>3715</v>
      </c>
      <c r="G174" t="s">
        <v>3716</v>
      </c>
      <c r="H174">
        <v>257.97000000000003</v>
      </c>
      <c r="I174" t="s">
        <v>3711</v>
      </c>
      <c r="J174" t="s">
        <v>460</v>
      </c>
      <c r="K174" t="s">
        <v>8</v>
      </c>
      <c r="L174" t="s">
        <v>3731</v>
      </c>
      <c r="M174" t="s">
        <v>3731</v>
      </c>
      <c r="N174" t="s">
        <v>2493</v>
      </c>
      <c r="O174" t="s">
        <v>12</v>
      </c>
      <c r="P174">
        <v>45876</v>
      </c>
      <c r="Q174" t="s">
        <v>3732</v>
      </c>
      <c r="R174">
        <v>45891</v>
      </c>
      <c r="S174" t="s">
        <v>3714</v>
      </c>
      <c r="T174" t="s">
        <v>8</v>
      </c>
      <c r="U174">
        <v>0</v>
      </c>
      <c r="V174" t="s">
        <v>8</v>
      </c>
      <c r="W174" t="s">
        <v>8</v>
      </c>
      <c r="X174" t="s">
        <v>3715</v>
      </c>
      <c r="Y174" t="s">
        <v>3</v>
      </c>
    </row>
    <row r="175" spans="1:25" x14ac:dyDescent="0.25">
      <c r="A175" t="s">
        <v>3433</v>
      </c>
      <c r="B175" s="9">
        <v>45891</v>
      </c>
      <c r="C175" s="7" t="s">
        <v>82</v>
      </c>
      <c r="D175" t="s">
        <v>2</v>
      </c>
      <c r="E175" t="s">
        <v>3</v>
      </c>
      <c r="F175" t="s">
        <v>2619</v>
      </c>
      <c r="G175" t="s">
        <v>2620</v>
      </c>
      <c r="H175">
        <v>1111.25</v>
      </c>
      <c r="I175" t="s">
        <v>3711</v>
      </c>
      <c r="J175" t="s">
        <v>460</v>
      </c>
      <c r="K175" t="s">
        <v>8</v>
      </c>
      <c r="L175" t="s">
        <v>3731</v>
      </c>
      <c r="M175" t="s">
        <v>3731</v>
      </c>
      <c r="N175" t="s">
        <v>2493</v>
      </c>
      <c r="O175" t="s">
        <v>17</v>
      </c>
      <c r="P175">
        <v>45876</v>
      </c>
      <c r="Q175" t="s">
        <v>3732</v>
      </c>
      <c r="R175">
        <v>45891</v>
      </c>
      <c r="S175" t="s">
        <v>3714</v>
      </c>
      <c r="T175" t="s">
        <v>8</v>
      </c>
      <c r="U175">
        <v>0</v>
      </c>
      <c r="V175" t="s">
        <v>8</v>
      </c>
      <c r="W175" t="s">
        <v>8</v>
      </c>
      <c r="X175" t="s">
        <v>2619</v>
      </c>
      <c r="Y175" t="s">
        <v>3</v>
      </c>
    </row>
    <row r="176" spans="1:25" x14ac:dyDescent="0.25">
      <c r="A176" t="s">
        <v>3433</v>
      </c>
      <c r="B176" s="9">
        <v>45891</v>
      </c>
      <c r="C176" s="7" t="s">
        <v>82</v>
      </c>
      <c r="D176" t="s">
        <v>2</v>
      </c>
      <c r="E176" t="s">
        <v>3</v>
      </c>
      <c r="F176" t="s">
        <v>4</v>
      </c>
      <c r="G176" t="s">
        <v>5</v>
      </c>
      <c r="H176">
        <v>53.58</v>
      </c>
      <c r="I176" t="s">
        <v>3711</v>
      </c>
      <c r="J176" t="s">
        <v>460</v>
      </c>
      <c r="K176" t="s">
        <v>8</v>
      </c>
      <c r="L176" t="s">
        <v>3731</v>
      </c>
      <c r="M176" t="s">
        <v>3731</v>
      </c>
      <c r="N176" t="s">
        <v>2493</v>
      </c>
      <c r="O176" t="s">
        <v>43</v>
      </c>
      <c r="P176">
        <v>45876</v>
      </c>
      <c r="Q176" t="s">
        <v>3732</v>
      </c>
      <c r="R176">
        <v>45891</v>
      </c>
      <c r="S176" t="s">
        <v>3714</v>
      </c>
      <c r="T176" t="s">
        <v>8</v>
      </c>
      <c r="U176">
        <v>0</v>
      </c>
      <c r="V176" t="s">
        <v>8</v>
      </c>
      <c r="W176" t="s">
        <v>8</v>
      </c>
      <c r="X176" t="s">
        <v>4</v>
      </c>
      <c r="Y176" t="s">
        <v>3</v>
      </c>
    </row>
    <row r="177" spans="1:25" x14ac:dyDescent="0.25">
      <c r="A177" t="s">
        <v>3433</v>
      </c>
      <c r="B177" s="9">
        <v>45891</v>
      </c>
      <c r="C177" s="7" t="s">
        <v>82</v>
      </c>
      <c r="D177" t="s">
        <v>2</v>
      </c>
      <c r="E177" t="s">
        <v>3</v>
      </c>
      <c r="F177" t="s">
        <v>2619</v>
      </c>
      <c r="G177" t="s">
        <v>2620</v>
      </c>
      <c r="H177">
        <v>3189.56</v>
      </c>
      <c r="I177" t="s">
        <v>3721</v>
      </c>
      <c r="J177" t="s">
        <v>460</v>
      </c>
      <c r="K177" t="s">
        <v>8</v>
      </c>
      <c r="L177" t="s">
        <v>3733</v>
      </c>
      <c r="M177" t="s">
        <v>3733</v>
      </c>
      <c r="N177" t="s">
        <v>2493</v>
      </c>
      <c r="O177" t="s">
        <v>1</v>
      </c>
      <c r="P177">
        <v>45876</v>
      </c>
      <c r="Q177" t="s">
        <v>3734</v>
      </c>
      <c r="R177">
        <v>45891</v>
      </c>
      <c r="S177" t="s">
        <v>3724</v>
      </c>
      <c r="T177" t="s">
        <v>8</v>
      </c>
      <c r="U177">
        <v>0</v>
      </c>
      <c r="V177" t="s">
        <v>8</v>
      </c>
      <c r="W177" t="s">
        <v>8</v>
      </c>
      <c r="X177" t="s">
        <v>2619</v>
      </c>
      <c r="Y177" t="s">
        <v>3</v>
      </c>
    </row>
    <row r="178" spans="1:25" x14ac:dyDescent="0.25">
      <c r="A178" t="s">
        <v>3433</v>
      </c>
      <c r="B178" s="9">
        <v>45891</v>
      </c>
      <c r="C178" s="7" t="s">
        <v>82</v>
      </c>
      <c r="D178" t="s">
        <v>2</v>
      </c>
      <c r="E178" t="s">
        <v>3</v>
      </c>
      <c r="F178" t="s">
        <v>3663</v>
      </c>
      <c r="G178" t="s">
        <v>3664</v>
      </c>
      <c r="H178">
        <v>1099.8499999999999</v>
      </c>
      <c r="I178" t="s">
        <v>3721</v>
      </c>
      <c r="J178" t="s">
        <v>460</v>
      </c>
      <c r="K178" t="s">
        <v>8</v>
      </c>
      <c r="L178" t="s">
        <v>3733</v>
      </c>
      <c r="M178" t="s">
        <v>3733</v>
      </c>
      <c r="N178" t="s">
        <v>2493</v>
      </c>
      <c r="O178" t="s">
        <v>12</v>
      </c>
      <c r="P178">
        <v>45876</v>
      </c>
      <c r="Q178" t="s">
        <v>3734</v>
      </c>
      <c r="R178">
        <v>45891</v>
      </c>
      <c r="S178" t="s">
        <v>3724</v>
      </c>
      <c r="T178" t="s">
        <v>8</v>
      </c>
      <c r="U178">
        <v>0</v>
      </c>
      <c r="V178" t="s">
        <v>8</v>
      </c>
      <c r="W178" t="s">
        <v>8</v>
      </c>
      <c r="X178" t="s">
        <v>3663</v>
      </c>
      <c r="Y178" t="s">
        <v>3</v>
      </c>
    </row>
    <row r="179" spans="1:25" x14ac:dyDescent="0.25">
      <c r="A179" t="s">
        <v>3433</v>
      </c>
      <c r="B179" s="9">
        <v>45891</v>
      </c>
      <c r="C179" s="7" t="s">
        <v>82</v>
      </c>
      <c r="D179" t="s">
        <v>2</v>
      </c>
      <c r="E179" t="s">
        <v>3</v>
      </c>
      <c r="F179" t="s">
        <v>4</v>
      </c>
      <c r="G179" t="s">
        <v>5</v>
      </c>
      <c r="H179">
        <v>362.95</v>
      </c>
      <c r="I179" t="s">
        <v>3721</v>
      </c>
      <c r="J179" t="s">
        <v>460</v>
      </c>
      <c r="K179" t="s">
        <v>8</v>
      </c>
      <c r="L179" t="s">
        <v>3733</v>
      </c>
      <c r="M179" t="s">
        <v>3733</v>
      </c>
      <c r="N179" t="s">
        <v>2493</v>
      </c>
      <c r="O179" t="s">
        <v>17</v>
      </c>
      <c r="P179">
        <v>45876</v>
      </c>
      <c r="Q179" t="s">
        <v>3734</v>
      </c>
      <c r="R179">
        <v>45891</v>
      </c>
      <c r="S179" t="s">
        <v>3724</v>
      </c>
      <c r="T179" t="s">
        <v>8</v>
      </c>
      <c r="U179">
        <v>0</v>
      </c>
      <c r="V179" t="s">
        <v>8</v>
      </c>
      <c r="W179" t="s">
        <v>8</v>
      </c>
      <c r="X179" t="s">
        <v>4</v>
      </c>
      <c r="Y179" t="s">
        <v>3</v>
      </c>
    </row>
    <row r="180" spans="1:25" x14ac:dyDescent="0.25">
      <c r="A180" t="s">
        <v>3433</v>
      </c>
      <c r="B180" s="9">
        <v>45891</v>
      </c>
      <c r="C180" s="7" t="s">
        <v>82</v>
      </c>
      <c r="D180" t="s">
        <v>2</v>
      </c>
      <c r="E180" t="s">
        <v>3</v>
      </c>
      <c r="F180" t="s">
        <v>2981</v>
      </c>
      <c r="G180" t="s">
        <v>2982</v>
      </c>
      <c r="H180">
        <v>4311.3999999999996</v>
      </c>
      <c r="I180" t="s">
        <v>3721</v>
      </c>
      <c r="J180" t="s">
        <v>460</v>
      </c>
      <c r="K180" t="s">
        <v>8</v>
      </c>
      <c r="L180" t="s">
        <v>3733</v>
      </c>
      <c r="M180" t="s">
        <v>3733</v>
      </c>
      <c r="N180" t="s">
        <v>2493</v>
      </c>
      <c r="O180" t="s">
        <v>43</v>
      </c>
      <c r="P180">
        <v>45876</v>
      </c>
      <c r="Q180" t="s">
        <v>3734</v>
      </c>
      <c r="R180">
        <v>45891</v>
      </c>
      <c r="S180" t="s">
        <v>3724</v>
      </c>
      <c r="T180" t="s">
        <v>8</v>
      </c>
      <c r="U180">
        <v>0</v>
      </c>
      <c r="V180" t="s">
        <v>8</v>
      </c>
      <c r="W180" t="s">
        <v>8</v>
      </c>
      <c r="X180" t="s">
        <v>2981</v>
      </c>
      <c r="Y180" t="s">
        <v>3</v>
      </c>
    </row>
    <row r="181" spans="1:25" x14ac:dyDescent="0.25">
      <c r="A181" t="s">
        <v>3433</v>
      </c>
      <c r="B181" s="9">
        <v>45891</v>
      </c>
      <c r="C181" s="7" t="s">
        <v>82</v>
      </c>
      <c r="D181" t="s">
        <v>2</v>
      </c>
      <c r="E181" t="s">
        <v>3</v>
      </c>
      <c r="F181" t="s">
        <v>4</v>
      </c>
      <c r="G181" t="s">
        <v>5</v>
      </c>
      <c r="H181">
        <v>2034.71</v>
      </c>
      <c r="I181" t="s">
        <v>3721</v>
      </c>
      <c r="J181" t="s">
        <v>460</v>
      </c>
      <c r="K181" t="s">
        <v>8</v>
      </c>
      <c r="L181" t="s">
        <v>3733</v>
      </c>
      <c r="M181" t="s">
        <v>3733</v>
      </c>
      <c r="N181" t="s">
        <v>2493</v>
      </c>
      <c r="O181" t="s">
        <v>77</v>
      </c>
      <c r="P181">
        <v>45876</v>
      </c>
      <c r="Q181" t="s">
        <v>3734</v>
      </c>
      <c r="R181">
        <v>45891</v>
      </c>
      <c r="S181" t="s">
        <v>3724</v>
      </c>
      <c r="T181" t="s">
        <v>8</v>
      </c>
      <c r="U181">
        <v>0</v>
      </c>
      <c r="V181" t="s">
        <v>8</v>
      </c>
      <c r="W181" t="s">
        <v>8</v>
      </c>
      <c r="X181" t="s">
        <v>4</v>
      </c>
      <c r="Y181" t="s">
        <v>3</v>
      </c>
    </row>
    <row r="182" spans="1:25" x14ac:dyDescent="0.25">
      <c r="A182" t="s">
        <v>3433</v>
      </c>
      <c r="B182" s="9">
        <v>45891</v>
      </c>
      <c r="C182" s="7" t="s">
        <v>82</v>
      </c>
      <c r="D182" t="s">
        <v>2</v>
      </c>
      <c r="E182" t="s">
        <v>3</v>
      </c>
      <c r="F182" t="s">
        <v>2619</v>
      </c>
      <c r="G182" t="s">
        <v>2620</v>
      </c>
      <c r="H182">
        <v>255.77</v>
      </c>
      <c r="I182" t="s">
        <v>3717</v>
      </c>
      <c r="J182" t="s">
        <v>460</v>
      </c>
      <c r="K182" t="s">
        <v>8</v>
      </c>
      <c r="L182" t="s">
        <v>3735</v>
      </c>
      <c r="M182" t="s">
        <v>3735</v>
      </c>
      <c r="N182" t="s">
        <v>2493</v>
      </c>
      <c r="O182" t="s">
        <v>1</v>
      </c>
      <c r="P182">
        <v>45853</v>
      </c>
      <c r="Q182" t="s">
        <v>3736</v>
      </c>
      <c r="R182">
        <v>45891</v>
      </c>
      <c r="S182" t="s">
        <v>3720</v>
      </c>
      <c r="T182" t="s">
        <v>8</v>
      </c>
      <c r="U182">
        <v>0</v>
      </c>
      <c r="V182" t="s">
        <v>8</v>
      </c>
      <c r="W182" t="s">
        <v>8</v>
      </c>
      <c r="X182" t="s">
        <v>2619</v>
      </c>
      <c r="Y182" t="s">
        <v>3</v>
      </c>
    </row>
    <row r="183" spans="1:25" x14ac:dyDescent="0.25">
      <c r="A183" t="s">
        <v>3433</v>
      </c>
      <c r="B183" s="9">
        <v>45891</v>
      </c>
      <c r="C183" s="7" t="s">
        <v>82</v>
      </c>
      <c r="D183" t="s">
        <v>2</v>
      </c>
      <c r="E183" t="s">
        <v>3</v>
      </c>
      <c r="F183" t="s">
        <v>4</v>
      </c>
      <c r="G183" t="s">
        <v>5</v>
      </c>
      <c r="H183">
        <v>145.55000000000001</v>
      </c>
      <c r="I183" t="s">
        <v>3717</v>
      </c>
      <c r="J183" t="s">
        <v>460</v>
      </c>
      <c r="K183" t="s">
        <v>8</v>
      </c>
      <c r="L183" t="s">
        <v>3735</v>
      </c>
      <c r="M183" t="s">
        <v>3735</v>
      </c>
      <c r="N183" t="s">
        <v>2493</v>
      </c>
      <c r="O183" t="s">
        <v>12</v>
      </c>
      <c r="P183">
        <v>45853</v>
      </c>
      <c r="Q183" t="s">
        <v>3736</v>
      </c>
      <c r="R183">
        <v>45891</v>
      </c>
      <c r="S183" t="s">
        <v>3720</v>
      </c>
      <c r="T183" t="s">
        <v>8</v>
      </c>
      <c r="U183">
        <v>0</v>
      </c>
      <c r="V183" t="s">
        <v>8</v>
      </c>
      <c r="W183" t="s">
        <v>8</v>
      </c>
      <c r="X183" t="s">
        <v>4</v>
      </c>
      <c r="Y183" t="s">
        <v>3</v>
      </c>
    </row>
    <row r="184" spans="1:25" x14ac:dyDescent="0.25">
      <c r="A184" t="s">
        <v>3433</v>
      </c>
      <c r="B184" s="9">
        <v>45891</v>
      </c>
      <c r="C184" s="7" t="s">
        <v>82</v>
      </c>
      <c r="D184" t="s">
        <v>2</v>
      </c>
      <c r="E184" t="s">
        <v>3</v>
      </c>
      <c r="F184" t="s">
        <v>3663</v>
      </c>
      <c r="G184" t="s">
        <v>3664</v>
      </c>
      <c r="H184">
        <v>68.540000000000006</v>
      </c>
      <c r="I184" t="s">
        <v>3717</v>
      </c>
      <c r="J184" t="s">
        <v>460</v>
      </c>
      <c r="K184" t="s">
        <v>8</v>
      </c>
      <c r="L184" t="s">
        <v>3735</v>
      </c>
      <c r="M184" t="s">
        <v>3735</v>
      </c>
      <c r="N184" t="s">
        <v>2493</v>
      </c>
      <c r="O184" t="s">
        <v>17</v>
      </c>
      <c r="P184">
        <v>45853</v>
      </c>
      <c r="Q184" t="s">
        <v>3736</v>
      </c>
      <c r="R184">
        <v>45891</v>
      </c>
      <c r="S184" t="s">
        <v>3720</v>
      </c>
      <c r="T184" t="s">
        <v>8</v>
      </c>
      <c r="U184">
        <v>0</v>
      </c>
      <c r="V184" t="s">
        <v>8</v>
      </c>
      <c r="W184" t="s">
        <v>8</v>
      </c>
      <c r="X184" t="s">
        <v>3663</v>
      </c>
      <c r="Y184" t="s">
        <v>3</v>
      </c>
    </row>
    <row r="185" spans="1:25" x14ac:dyDescent="0.25">
      <c r="A185" t="s">
        <v>3433</v>
      </c>
      <c r="B185" s="9">
        <v>45891</v>
      </c>
      <c r="C185" s="7" t="s">
        <v>82</v>
      </c>
      <c r="D185" t="s">
        <v>2</v>
      </c>
      <c r="E185" t="s">
        <v>3</v>
      </c>
      <c r="F185" t="s">
        <v>2981</v>
      </c>
      <c r="G185" t="s">
        <v>2982</v>
      </c>
      <c r="H185">
        <v>197.84</v>
      </c>
      <c r="I185" t="s">
        <v>3717</v>
      </c>
      <c r="J185" t="s">
        <v>460</v>
      </c>
      <c r="K185" t="s">
        <v>8</v>
      </c>
      <c r="L185" t="s">
        <v>3735</v>
      </c>
      <c r="M185" t="s">
        <v>3735</v>
      </c>
      <c r="N185" t="s">
        <v>2493</v>
      </c>
      <c r="O185" t="s">
        <v>43</v>
      </c>
      <c r="P185">
        <v>45853</v>
      </c>
      <c r="Q185" t="s">
        <v>3736</v>
      </c>
      <c r="R185">
        <v>45891</v>
      </c>
      <c r="S185" t="s">
        <v>3720</v>
      </c>
      <c r="T185" t="s">
        <v>8</v>
      </c>
      <c r="U185">
        <v>0</v>
      </c>
      <c r="V185" t="s">
        <v>8</v>
      </c>
      <c r="W185" t="s">
        <v>8</v>
      </c>
      <c r="X185" t="s">
        <v>2981</v>
      </c>
      <c r="Y185" t="s">
        <v>3</v>
      </c>
    </row>
    <row r="186" spans="1:25" x14ac:dyDescent="0.25">
      <c r="A186" t="s">
        <v>3433</v>
      </c>
      <c r="B186" s="9">
        <v>45891</v>
      </c>
      <c r="C186" s="7" t="s">
        <v>82</v>
      </c>
      <c r="D186" t="s">
        <v>2</v>
      </c>
      <c r="E186" t="s">
        <v>3</v>
      </c>
      <c r="F186" t="s">
        <v>4</v>
      </c>
      <c r="G186" t="s">
        <v>5</v>
      </c>
      <c r="H186">
        <v>38.86</v>
      </c>
      <c r="I186" t="s">
        <v>3717</v>
      </c>
      <c r="J186" t="s">
        <v>460</v>
      </c>
      <c r="K186" t="s">
        <v>8</v>
      </c>
      <c r="L186" t="s">
        <v>3735</v>
      </c>
      <c r="M186" t="s">
        <v>3735</v>
      </c>
      <c r="N186" t="s">
        <v>2493</v>
      </c>
      <c r="O186" t="s">
        <v>77</v>
      </c>
      <c r="P186">
        <v>45853</v>
      </c>
      <c r="Q186" t="s">
        <v>3736</v>
      </c>
      <c r="R186">
        <v>45891</v>
      </c>
      <c r="S186" t="s">
        <v>3720</v>
      </c>
      <c r="T186" t="s">
        <v>8</v>
      </c>
      <c r="U186">
        <v>0</v>
      </c>
      <c r="V186" t="s">
        <v>8</v>
      </c>
      <c r="W186" t="s">
        <v>8</v>
      </c>
      <c r="X186" t="s">
        <v>4</v>
      </c>
      <c r="Y186" t="s">
        <v>3</v>
      </c>
    </row>
    <row r="187" spans="1:25" x14ac:dyDescent="0.25">
      <c r="A187" t="s">
        <v>3433</v>
      </c>
      <c r="B187" s="9">
        <v>45903</v>
      </c>
      <c r="C187" s="7" t="s">
        <v>87</v>
      </c>
      <c r="D187" t="s">
        <v>2</v>
      </c>
      <c r="E187" t="s">
        <v>3</v>
      </c>
      <c r="F187" t="s">
        <v>2619</v>
      </c>
      <c r="G187" t="s">
        <v>2620</v>
      </c>
      <c r="H187">
        <v>-10998.47</v>
      </c>
      <c r="I187" t="s">
        <v>3823</v>
      </c>
      <c r="J187" t="s">
        <v>460</v>
      </c>
      <c r="K187" t="s">
        <v>8</v>
      </c>
      <c r="L187" t="s">
        <v>3824</v>
      </c>
      <c r="M187" t="s">
        <v>3824</v>
      </c>
      <c r="N187" t="s">
        <v>2493</v>
      </c>
      <c r="O187" t="s">
        <v>1</v>
      </c>
      <c r="P187">
        <v>45876</v>
      </c>
      <c r="Q187" t="s">
        <v>3825</v>
      </c>
      <c r="R187">
        <v>45903</v>
      </c>
      <c r="S187" t="s">
        <v>3724</v>
      </c>
      <c r="T187" t="s">
        <v>8</v>
      </c>
      <c r="U187">
        <v>0</v>
      </c>
      <c r="V187" t="s">
        <v>8</v>
      </c>
      <c r="W187" t="s">
        <v>8</v>
      </c>
      <c r="X187" t="s">
        <v>2619</v>
      </c>
      <c r="Y187" t="s">
        <v>3</v>
      </c>
    </row>
    <row r="188" spans="1:25" x14ac:dyDescent="0.25">
      <c r="A188" t="s">
        <v>3433</v>
      </c>
      <c r="B188" s="9">
        <v>45903</v>
      </c>
      <c r="C188" s="7" t="s">
        <v>87</v>
      </c>
      <c r="D188" t="s">
        <v>2</v>
      </c>
      <c r="E188" t="s">
        <v>3</v>
      </c>
      <c r="F188" t="s">
        <v>2619</v>
      </c>
      <c r="G188" t="s">
        <v>2620</v>
      </c>
      <c r="H188">
        <v>3189.56</v>
      </c>
      <c r="I188" t="s">
        <v>3721</v>
      </c>
      <c r="J188" t="s">
        <v>460</v>
      </c>
      <c r="K188" t="s">
        <v>8</v>
      </c>
      <c r="L188" t="s">
        <v>3826</v>
      </c>
      <c r="M188" t="s">
        <v>3826</v>
      </c>
      <c r="N188" t="s">
        <v>2493</v>
      </c>
      <c r="O188" t="s">
        <v>1</v>
      </c>
      <c r="P188">
        <v>45853</v>
      </c>
      <c r="Q188" t="s">
        <v>3827</v>
      </c>
      <c r="R188">
        <v>45903</v>
      </c>
      <c r="S188" t="s">
        <v>3724</v>
      </c>
      <c r="T188" t="s">
        <v>8</v>
      </c>
      <c r="U188">
        <v>0</v>
      </c>
      <c r="V188" t="s">
        <v>8</v>
      </c>
      <c r="W188" t="s">
        <v>8</v>
      </c>
      <c r="X188" t="s">
        <v>2619</v>
      </c>
      <c r="Y188" t="s">
        <v>3</v>
      </c>
    </row>
    <row r="189" spans="1:25" x14ac:dyDescent="0.25">
      <c r="A189" t="s">
        <v>3433</v>
      </c>
      <c r="B189" s="9">
        <v>45903</v>
      </c>
      <c r="C189" s="7" t="s">
        <v>87</v>
      </c>
      <c r="D189" t="s">
        <v>2</v>
      </c>
      <c r="E189" t="s">
        <v>3</v>
      </c>
      <c r="F189" t="s">
        <v>3663</v>
      </c>
      <c r="G189" t="s">
        <v>3664</v>
      </c>
      <c r="H189">
        <v>1099.8499999999999</v>
      </c>
      <c r="I189" t="s">
        <v>3721</v>
      </c>
      <c r="J189" t="s">
        <v>460</v>
      </c>
      <c r="K189" t="s">
        <v>8</v>
      </c>
      <c r="L189" t="s">
        <v>3826</v>
      </c>
      <c r="M189" t="s">
        <v>3826</v>
      </c>
      <c r="N189" t="s">
        <v>2493</v>
      </c>
      <c r="O189" t="s">
        <v>12</v>
      </c>
      <c r="P189">
        <v>45853</v>
      </c>
      <c r="Q189" t="s">
        <v>3827</v>
      </c>
      <c r="R189">
        <v>45903</v>
      </c>
      <c r="S189" t="s">
        <v>3724</v>
      </c>
      <c r="T189" t="s">
        <v>8</v>
      </c>
      <c r="U189">
        <v>0</v>
      </c>
      <c r="V189" t="s">
        <v>8</v>
      </c>
      <c r="W189" t="s">
        <v>8</v>
      </c>
      <c r="X189" t="s">
        <v>3663</v>
      </c>
      <c r="Y189" t="s">
        <v>3</v>
      </c>
    </row>
    <row r="190" spans="1:25" x14ac:dyDescent="0.25">
      <c r="A190" t="s">
        <v>3433</v>
      </c>
      <c r="B190" s="9">
        <v>45903</v>
      </c>
      <c r="C190" s="7" t="s">
        <v>87</v>
      </c>
      <c r="D190" t="s">
        <v>2</v>
      </c>
      <c r="E190" t="s">
        <v>3</v>
      </c>
      <c r="F190" t="s">
        <v>4</v>
      </c>
      <c r="G190" t="s">
        <v>5</v>
      </c>
      <c r="H190">
        <v>362.94</v>
      </c>
      <c r="I190" t="s">
        <v>3721</v>
      </c>
      <c r="J190" t="s">
        <v>460</v>
      </c>
      <c r="K190" t="s">
        <v>8</v>
      </c>
      <c r="L190" t="s">
        <v>3826</v>
      </c>
      <c r="M190" t="s">
        <v>3826</v>
      </c>
      <c r="N190" t="s">
        <v>2493</v>
      </c>
      <c r="O190" t="s">
        <v>17</v>
      </c>
      <c r="P190">
        <v>45853</v>
      </c>
      <c r="Q190" t="s">
        <v>3827</v>
      </c>
      <c r="R190">
        <v>45903</v>
      </c>
      <c r="S190" t="s">
        <v>3724</v>
      </c>
      <c r="T190" t="s">
        <v>8</v>
      </c>
      <c r="U190">
        <v>0</v>
      </c>
      <c r="V190" t="s">
        <v>8</v>
      </c>
      <c r="W190" t="s">
        <v>8</v>
      </c>
      <c r="X190" t="s">
        <v>4</v>
      </c>
      <c r="Y190" t="s">
        <v>3</v>
      </c>
    </row>
    <row r="191" spans="1:25" x14ac:dyDescent="0.25">
      <c r="A191" t="s">
        <v>3433</v>
      </c>
      <c r="B191" s="9">
        <v>45903</v>
      </c>
      <c r="C191" s="7" t="s">
        <v>87</v>
      </c>
      <c r="D191" t="s">
        <v>2</v>
      </c>
      <c r="E191" t="s">
        <v>3</v>
      </c>
      <c r="F191" t="s">
        <v>2981</v>
      </c>
      <c r="G191" t="s">
        <v>2982</v>
      </c>
      <c r="H191">
        <v>4311.3999999999996</v>
      </c>
      <c r="I191" t="s">
        <v>3721</v>
      </c>
      <c r="J191" t="s">
        <v>460</v>
      </c>
      <c r="K191" t="s">
        <v>8</v>
      </c>
      <c r="L191" t="s">
        <v>3826</v>
      </c>
      <c r="M191" t="s">
        <v>3826</v>
      </c>
      <c r="N191" t="s">
        <v>2493</v>
      </c>
      <c r="O191" t="s">
        <v>43</v>
      </c>
      <c r="P191">
        <v>45853</v>
      </c>
      <c r="Q191" t="s">
        <v>3827</v>
      </c>
      <c r="R191">
        <v>45903</v>
      </c>
      <c r="S191" t="s">
        <v>3724</v>
      </c>
      <c r="T191" t="s">
        <v>8</v>
      </c>
      <c r="U191">
        <v>0</v>
      </c>
      <c r="V191" t="s">
        <v>8</v>
      </c>
      <c r="W191" t="s">
        <v>8</v>
      </c>
      <c r="X191" t="s">
        <v>2981</v>
      </c>
      <c r="Y191" t="s">
        <v>3</v>
      </c>
    </row>
    <row r="192" spans="1:25" x14ac:dyDescent="0.25">
      <c r="A192" t="s">
        <v>3433</v>
      </c>
      <c r="B192" s="9">
        <v>45903</v>
      </c>
      <c r="C192" s="7" t="s">
        <v>87</v>
      </c>
      <c r="D192" t="s">
        <v>2</v>
      </c>
      <c r="E192" t="s">
        <v>3</v>
      </c>
      <c r="F192" t="s">
        <v>4</v>
      </c>
      <c r="G192" t="s">
        <v>5</v>
      </c>
      <c r="H192">
        <v>2034.72</v>
      </c>
      <c r="I192" t="s">
        <v>3721</v>
      </c>
      <c r="J192" t="s">
        <v>460</v>
      </c>
      <c r="K192" t="s">
        <v>8</v>
      </c>
      <c r="L192" t="s">
        <v>3826</v>
      </c>
      <c r="M192" t="s">
        <v>3826</v>
      </c>
      <c r="N192" t="s">
        <v>2493</v>
      </c>
      <c r="O192" t="s">
        <v>77</v>
      </c>
      <c r="P192">
        <v>45853</v>
      </c>
      <c r="Q192" t="s">
        <v>3827</v>
      </c>
      <c r="R192">
        <v>45903</v>
      </c>
      <c r="S192" t="s">
        <v>3724</v>
      </c>
      <c r="T192" t="s">
        <v>8</v>
      </c>
      <c r="U192">
        <v>0</v>
      </c>
      <c r="V192" t="s">
        <v>8</v>
      </c>
      <c r="W192" t="s">
        <v>8</v>
      </c>
      <c r="X192" t="s">
        <v>4</v>
      </c>
      <c r="Y192" t="s">
        <v>3</v>
      </c>
    </row>
    <row r="193" spans="1:25" x14ac:dyDescent="0.25">
      <c r="A193" t="s">
        <v>3433</v>
      </c>
      <c r="B193" s="9">
        <v>45905</v>
      </c>
      <c r="C193" s="7" t="s">
        <v>87</v>
      </c>
      <c r="D193" t="s">
        <v>2</v>
      </c>
      <c r="E193" t="s">
        <v>3</v>
      </c>
      <c r="F193" t="s">
        <v>4</v>
      </c>
      <c r="G193" t="s">
        <v>5</v>
      </c>
      <c r="H193">
        <v>8313.4599999999991</v>
      </c>
      <c r="I193" t="s">
        <v>3828</v>
      </c>
      <c r="J193" t="s">
        <v>460</v>
      </c>
      <c r="K193" t="s">
        <v>8</v>
      </c>
      <c r="L193" t="s">
        <v>3829</v>
      </c>
      <c r="M193" t="s">
        <v>3829</v>
      </c>
      <c r="N193" t="s">
        <v>2493</v>
      </c>
      <c r="O193" t="s">
        <v>1</v>
      </c>
      <c r="P193">
        <v>45876</v>
      </c>
      <c r="Q193" t="s">
        <v>3830</v>
      </c>
      <c r="R193">
        <v>45905</v>
      </c>
      <c r="S193" t="s">
        <v>3831</v>
      </c>
      <c r="T193" t="s">
        <v>8</v>
      </c>
      <c r="U193">
        <v>0</v>
      </c>
      <c r="V193" t="s">
        <v>8</v>
      </c>
      <c r="W193" t="s">
        <v>8</v>
      </c>
      <c r="X193" t="s">
        <v>4</v>
      </c>
      <c r="Y193" t="s">
        <v>3</v>
      </c>
    </row>
    <row r="194" spans="1:25" x14ac:dyDescent="0.25">
      <c r="A194" t="s">
        <v>3433</v>
      </c>
      <c r="B194" s="9">
        <v>45908</v>
      </c>
      <c r="C194" s="7" t="s">
        <v>87</v>
      </c>
      <c r="D194" t="s">
        <v>2</v>
      </c>
      <c r="E194" t="s">
        <v>3</v>
      </c>
      <c r="F194" t="s">
        <v>2619</v>
      </c>
      <c r="G194" t="s">
        <v>2620</v>
      </c>
      <c r="H194">
        <v>-3189.56</v>
      </c>
      <c r="I194" t="s">
        <v>3721</v>
      </c>
      <c r="J194" t="s">
        <v>460</v>
      </c>
      <c r="K194" t="s">
        <v>8</v>
      </c>
      <c r="L194" t="s">
        <v>3832</v>
      </c>
      <c r="M194" t="s">
        <v>3832</v>
      </c>
      <c r="N194" t="s">
        <v>2493</v>
      </c>
      <c r="O194" t="s">
        <v>1</v>
      </c>
      <c r="P194">
        <v>45853</v>
      </c>
      <c r="Q194" t="s">
        <v>3833</v>
      </c>
      <c r="R194">
        <v>45903</v>
      </c>
      <c r="S194" t="s">
        <v>3724</v>
      </c>
      <c r="T194" t="s">
        <v>8</v>
      </c>
      <c r="U194">
        <v>0</v>
      </c>
      <c r="V194" t="s">
        <v>8</v>
      </c>
      <c r="W194" t="s">
        <v>8</v>
      </c>
      <c r="X194" t="s">
        <v>2619</v>
      </c>
      <c r="Y194" t="s">
        <v>3</v>
      </c>
    </row>
    <row r="195" spans="1:25" x14ac:dyDescent="0.25">
      <c r="A195" t="s">
        <v>3433</v>
      </c>
      <c r="B195" s="9">
        <v>45908</v>
      </c>
      <c r="C195" s="7" t="s">
        <v>87</v>
      </c>
      <c r="D195" t="s">
        <v>2</v>
      </c>
      <c r="E195" t="s">
        <v>3</v>
      </c>
      <c r="F195" t="s">
        <v>3663</v>
      </c>
      <c r="G195" t="s">
        <v>3664</v>
      </c>
      <c r="H195">
        <v>-1099.8499999999999</v>
      </c>
      <c r="I195" t="s">
        <v>3721</v>
      </c>
      <c r="J195" t="s">
        <v>460</v>
      </c>
      <c r="K195" t="s">
        <v>8</v>
      </c>
      <c r="L195" t="s">
        <v>3832</v>
      </c>
      <c r="M195" t="s">
        <v>3832</v>
      </c>
      <c r="N195" t="s">
        <v>2493</v>
      </c>
      <c r="O195" t="s">
        <v>12</v>
      </c>
      <c r="P195">
        <v>45853</v>
      </c>
      <c r="Q195" t="s">
        <v>3833</v>
      </c>
      <c r="R195">
        <v>45903</v>
      </c>
      <c r="S195" t="s">
        <v>3724</v>
      </c>
      <c r="T195" t="s">
        <v>8</v>
      </c>
      <c r="U195">
        <v>0</v>
      </c>
      <c r="V195" t="s">
        <v>8</v>
      </c>
      <c r="W195" t="s">
        <v>8</v>
      </c>
      <c r="X195" t="s">
        <v>3663</v>
      </c>
      <c r="Y195" t="s">
        <v>3</v>
      </c>
    </row>
    <row r="196" spans="1:25" x14ac:dyDescent="0.25">
      <c r="A196" t="s">
        <v>3433</v>
      </c>
      <c r="B196" s="9">
        <v>45908</v>
      </c>
      <c r="C196" s="7" t="s">
        <v>87</v>
      </c>
      <c r="D196" t="s">
        <v>2</v>
      </c>
      <c r="E196" t="s">
        <v>3</v>
      </c>
      <c r="F196" t="s">
        <v>4</v>
      </c>
      <c r="G196" t="s">
        <v>5</v>
      </c>
      <c r="H196">
        <v>-362.94</v>
      </c>
      <c r="I196" t="s">
        <v>3721</v>
      </c>
      <c r="J196" t="s">
        <v>460</v>
      </c>
      <c r="K196" t="s">
        <v>8</v>
      </c>
      <c r="L196" t="s">
        <v>3832</v>
      </c>
      <c r="M196" t="s">
        <v>3832</v>
      </c>
      <c r="N196" t="s">
        <v>2493</v>
      </c>
      <c r="O196" t="s">
        <v>17</v>
      </c>
      <c r="P196">
        <v>45853</v>
      </c>
      <c r="Q196" t="s">
        <v>3833</v>
      </c>
      <c r="R196">
        <v>45903</v>
      </c>
      <c r="S196" t="s">
        <v>3724</v>
      </c>
      <c r="T196" t="s">
        <v>8</v>
      </c>
      <c r="U196">
        <v>0</v>
      </c>
      <c r="V196" t="s">
        <v>8</v>
      </c>
      <c r="W196" t="s">
        <v>8</v>
      </c>
      <c r="X196" t="s">
        <v>4</v>
      </c>
      <c r="Y196" t="s">
        <v>3</v>
      </c>
    </row>
    <row r="197" spans="1:25" x14ac:dyDescent="0.25">
      <c r="A197" t="s">
        <v>3433</v>
      </c>
      <c r="B197" s="9">
        <v>45908</v>
      </c>
      <c r="C197" s="7" t="s">
        <v>87</v>
      </c>
      <c r="D197" t="s">
        <v>2</v>
      </c>
      <c r="E197" t="s">
        <v>3</v>
      </c>
      <c r="F197" t="s">
        <v>2981</v>
      </c>
      <c r="G197" t="s">
        <v>2982</v>
      </c>
      <c r="H197">
        <v>-4311.3999999999996</v>
      </c>
      <c r="I197" t="s">
        <v>3721</v>
      </c>
      <c r="J197" t="s">
        <v>460</v>
      </c>
      <c r="K197" t="s">
        <v>8</v>
      </c>
      <c r="L197" t="s">
        <v>3832</v>
      </c>
      <c r="M197" t="s">
        <v>3832</v>
      </c>
      <c r="N197" t="s">
        <v>2493</v>
      </c>
      <c r="O197" t="s">
        <v>43</v>
      </c>
      <c r="P197">
        <v>45853</v>
      </c>
      <c r="Q197" t="s">
        <v>3833</v>
      </c>
      <c r="R197">
        <v>45903</v>
      </c>
      <c r="S197" t="s">
        <v>3724</v>
      </c>
      <c r="T197" t="s">
        <v>8</v>
      </c>
      <c r="U197">
        <v>0</v>
      </c>
      <c r="V197" t="s">
        <v>8</v>
      </c>
      <c r="W197" t="s">
        <v>8</v>
      </c>
      <c r="X197" t="s">
        <v>2981</v>
      </c>
      <c r="Y197" t="s">
        <v>3</v>
      </c>
    </row>
    <row r="198" spans="1:25" x14ac:dyDescent="0.25">
      <c r="A198" t="s">
        <v>3433</v>
      </c>
      <c r="B198" s="9">
        <v>45908</v>
      </c>
      <c r="C198" s="7" t="s">
        <v>87</v>
      </c>
      <c r="D198" t="s">
        <v>2</v>
      </c>
      <c r="E198" t="s">
        <v>3</v>
      </c>
      <c r="F198" t="s">
        <v>4</v>
      </c>
      <c r="G198" t="s">
        <v>5</v>
      </c>
      <c r="H198">
        <v>-2034.72</v>
      </c>
      <c r="I198" t="s">
        <v>3721</v>
      </c>
      <c r="J198" t="s">
        <v>460</v>
      </c>
      <c r="K198" t="s">
        <v>8</v>
      </c>
      <c r="L198" t="s">
        <v>3832</v>
      </c>
      <c r="M198" t="s">
        <v>3832</v>
      </c>
      <c r="N198" t="s">
        <v>2493</v>
      </c>
      <c r="O198" t="s">
        <v>77</v>
      </c>
      <c r="P198">
        <v>45853</v>
      </c>
      <c r="Q198" t="s">
        <v>3833</v>
      </c>
      <c r="R198">
        <v>45903</v>
      </c>
      <c r="S198" t="s">
        <v>3724</v>
      </c>
      <c r="T198" t="s">
        <v>8</v>
      </c>
      <c r="U198">
        <v>0</v>
      </c>
      <c r="V198" t="s">
        <v>8</v>
      </c>
      <c r="W198" t="s">
        <v>8</v>
      </c>
      <c r="X198" t="s">
        <v>4</v>
      </c>
      <c r="Y198" t="s">
        <v>3</v>
      </c>
    </row>
    <row r="199" spans="1:25" x14ac:dyDescent="0.25">
      <c r="A199" t="s">
        <v>3433</v>
      </c>
      <c r="B199" s="9">
        <v>45909</v>
      </c>
      <c r="C199" s="7" t="s">
        <v>87</v>
      </c>
      <c r="D199" t="s">
        <v>2</v>
      </c>
      <c r="E199" t="s">
        <v>3</v>
      </c>
      <c r="F199" t="s">
        <v>2619</v>
      </c>
      <c r="G199" t="s">
        <v>2620</v>
      </c>
      <c r="H199">
        <v>3189.56</v>
      </c>
      <c r="I199" t="s">
        <v>3721</v>
      </c>
      <c r="J199" t="s">
        <v>460</v>
      </c>
      <c r="K199" t="s">
        <v>8</v>
      </c>
      <c r="L199" t="s">
        <v>3834</v>
      </c>
      <c r="M199" t="s">
        <v>3834</v>
      </c>
      <c r="N199" t="s">
        <v>2493</v>
      </c>
      <c r="O199" t="s">
        <v>1</v>
      </c>
      <c r="P199">
        <v>45853</v>
      </c>
      <c r="Q199" t="s">
        <v>3835</v>
      </c>
      <c r="R199">
        <v>45909</v>
      </c>
      <c r="S199" t="s">
        <v>3724</v>
      </c>
      <c r="T199" t="s">
        <v>8</v>
      </c>
      <c r="U199">
        <v>0</v>
      </c>
      <c r="V199" t="s">
        <v>8</v>
      </c>
      <c r="W199" t="s">
        <v>8</v>
      </c>
      <c r="X199" t="s">
        <v>2619</v>
      </c>
      <c r="Y199" t="s">
        <v>3</v>
      </c>
    </row>
    <row r="200" spans="1:25" x14ac:dyDescent="0.25">
      <c r="A200" t="s">
        <v>3433</v>
      </c>
      <c r="B200" s="9">
        <v>45909</v>
      </c>
      <c r="C200" s="7" t="s">
        <v>87</v>
      </c>
      <c r="D200" t="s">
        <v>2</v>
      </c>
      <c r="E200" t="s">
        <v>3</v>
      </c>
      <c r="F200" t="s">
        <v>3663</v>
      </c>
      <c r="G200" t="s">
        <v>3664</v>
      </c>
      <c r="H200">
        <v>1099.8499999999999</v>
      </c>
      <c r="I200" t="s">
        <v>3721</v>
      </c>
      <c r="J200" t="s">
        <v>460</v>
      </c>
      <c r="K200" t="s">
        <v>8</v>
      </c>
      <c r="L200" t="s">
        <v>3834</v>
      </c>
      <c r="M200" t="s">
        <v>3834</v>
      </c>
      <c r="N200" t="s">
        <v>2493</v>
      </c>
      <c r="O200" t="s">
        <v>12</v>
      </c>
      <c r="P200">
        <v>45853</v>
      </c>
      <c r="Q200" t="s">
        <v>3835</v>
      </c>
      <c r="R200">
        <v>45909</v>
      </c>
      <c r="S200" t="s">
        <v>3724</v>
      </c>
      <c r="T200" t="s">
        <v>8</v>
      </c>
      <c r="U200">
        <v>0</v>
      </c>
      <c r="V200" t="s">
        <v>8</v>
      </c>
      <c r="W200" t="s">
        <v>8</v>
      </c>
      <c r="X200" t="s">
        <v>3663</v>
      </c>
      <c r="Y200" t="s">
        <v>3</v>
      </c>
    </row>
    <row r="201" spans="1:25" x14ac:dyDescent="0.25">
      <c r="A201" t="s">
        <v>3433</v>
      </c>
      <c r="B201" s="9">
        <v>45909</v>
      </c>
      <c r="C201" s="7" t="s">
        <v>87</v>
      </c>
      <c r="D201" t="s">
        <v>2</v>
      </c>
      <c r="E201" t="s">
        <v>3</v>
      </c>
      <c r="F201" t="s">
        <v>4</v>
      </c>
      <c r="G201" t="s">
        <v>5</v>
      </c>
      <c r="H201">
        <v>362.95</v>
      </c>
      <c r="I201" t="s">
        <v>3721</v>
      </c>
      <c r="J201" t="s">
        <v>460</v>
      </c>
      <c r="K201" t="s">
        <v>8</v>
      </c>
      <c r="L201" t="s">
        <v>3834</v>
      </c>
      <c r="M201" t="s">
        <v>3834</v>
      </c>
      <c r="N201" t="s">
        <v>2493</v>
      </c>
      <c r="O201" t="s">
        <v>17</v>
      </c>
      <c r="P201">
        <v>45853</v>
      </c>
      <c r="Q201" t="s">
        <v>3835</v>
      </c>
      <c r="R201">
        <v>45909</v>
      </c>
      <c r="S201" t="s">
        <v>3724</v>
      </c>
      <c r="T201" t="s">
        <v>8</v>
      </c>
      <c r="U201">
        <v>0</v>
      </c>
      <c r="V201" t="s">
        <v>8</v>
      </c>
      <c r="W201" t="s">
        <v>8</v>
      </c>
      <c r="X201" t="s">
        <v>4</v>
      </c>
      <c r="Y201" t="s">
        <v>3</v>
      </c>
    </row>
    <row r="202" spans="1:25" x14ac:dyDescent="0.25">
      <c r="A202" t="s">
        <v>3433</v>
      </c>
      <c r="B202" s="9">
        <v>45909</v>
      </c>
      <c r="C202" s="7" t="s">
        <v>87</v>
      </c>
      <c r="D202" t="s">
        <v>2</v>
      </c>
      <c r="E202" t="s">
        <v>3</v>
      </c>
      <c r="F202" t="s">
        <v>2981</v>
      </c>
      <c r="G202" t="s">
        <v>2982</v>
      </c>
      <c r="H202">
        <v>4311.3999999999996</v>
      </c>
      <c r="I202" t="s">
        <v>3721</v>
      </c>
      <c r="J202" t="s">
        <v>460</v>
      </c>
      <c r="K202" t="s">
        <v>8</v>
      </c>
      <c r="L202" t="s">
        <v>3834</v>
      </c>
      <c r="M202" t="s">
        <v>3834</v>
      </c>
      <c r="N202" t="s">
        <v>2493</v>
      </c>
      <c r="O202" t="s">
        <v>43</v>
      </c>
      <c r="P202">
        <v>45853</v>
      </c>
      <c r="Q202" t="s">
        <v>3835</v>
      </c>
      <c r="R202">
        <v>45909</v>
      </c>
      <c r="S202" t="s">
        <v>3724</v>
      </c>
      <c r="T202" t="s">
        <v>8</v>
      </c>
      <c r="U202">
        <v>0</v>
      </c>
      <c r="V202" t="s">
        <v>8</v>
      </c>
      <c r="W202" t="s">
        <v>8</v>
      </c>
      <c r="X202" t="s">
        <v>2981</v>
      </c>
      <c r="Y202" t="s">
        <v>3</v>
      </c>
    </row>
    <row r="203" spans="1:25" x14ac:dyDescent="0.25">
      <c r="A203" t="s">
        <v>3433</v>
      </c>
      <c r="B203" s="9">
        <v>45909</v>
      </c>
      <c r="C203" s="7" t="s">
        <v>87</v>
      </c>
      <c r="D203" t="s">
        <v>2</v>
      </c>
      <c r="E203" t="s">
        <v>3</v>
      </c>
      <c r="F203" t="s">
        <v>4</v>
      </c>
      <c r="G203" t="s">
        <v>5</v>
      </c>
      <c r="H203">
        <v>2034.71</v>
      </c>
      <c r="I203" t="s">
        <v>3721</v>
      </c>
      <c r="J203" t="s">
        <v>460</v>
      </c>
      <c r="K203" t="s">
        <v>8</v>
      </c>
      <c r="L203" t="s">
        <v>3834</v>
      </c>
      <c r="M203" t="s">
        <v>3834</v>
      </c>
      <c r="N203" t="s">
        <v>2493</v>
      </c>
      <c r="O203" t="s">
        <v>77</v>
      </c>
      <c r="P203">
        <v>45853</v>
      </c>
      <c r="Q203" t="s">
        <v>3835</v>
      </c>
      <c r="R203">
        <v>45909</v>
      </c>
      <c r="S203" t="s">
        <v>3724</v>
      </c>
      <c r="T203" t="s">
        <v>8</v>
      </c>
      <c r="U203">
        <v>0</v>
      </c>
      <c r="V203" t="s">
        <v>8</v>
      </c>
      <c r="W203" t="s">
        <v>8</v>
      </c>
      <c r="X203" t="s">
        <v>4</v>
      </c>
      <c r="Y203" t="s">
        <v>3</v>
      </c>
    </row>
    <row r="204" spans="1:25" x14ac:dyDescent="0.25">
      <c r="A204" t="s">
        <v>3433</v>
      </c>
      <c r="B204" s="9">
        <v>45916</v>
      </c>
      <c r="C204" s="7" t="s">
        <v>87</v>
      </c>
      <c r="D204" t="s">
        <v>2</v>
      </c>
      <c r="E204" t="s">
        <v>3</v>
      </c>
      <c r="F204" t="s">
        <v>4</v>
      </c>
      <c r="G204" t="s">
        <v>5</v>
      </c>
      <c r="H204">
        <v>11203.85</v>
      </c>
      <c r="I204" t="s">
        <v>3836</v>
      </c>
      <c r="J204" t="s">
        <v>460</v>
      </c>
      <c r="K204" t="s">
        <v>3837</v>
      </c>
      <c r="L204" t="s">
        <v>3838</v>
      </c>
      <c r="M204" t="s">
        <v>3838</v>
      </c>
      <c r="N204" t="s">
        <v>21</v>
      </c>
      <c r="O204" t="s">
        <v>1</v>
      </c>
      <c r="P204">
        <v>45912</v>
      </c>
      <c r="Q204" t="s">
        <v>3839</v>
      </c>
      <c r="R204">
        <v>45916</v>
      </c>
      <c r="S204" t="s">
        <v>3840</v>
      </c>
      <c r="T204" t="s">
        <v>469</v>
      </c>
      <c r="U204">
        <v>1</v>
      </c>
      <c r="V204" t="s">
        <v>8</v>
      </c>
      <c r="W204" t="s">
        <v>8</v>
      </c>
      <c r="X204" t="s">
        <v>4</v>
      </c>
      <c r="Y204" t="s">
        <v>3</v>
      </c>
    </row>
    <row r="205" spans="1:25" x14ac:dyDescent="0.25">
      <c r="A205" t="s">
        <v>3433</v>
      </c>
      <c r="B205" s="9">
        <v>45918</v>
      </c>
      <c r="C205" s="7" t="s">
        <v>87</v>
      </c>
      <c r="D205" t="s">
        <v>2</v>
      </c>
      <c r="E205" t="s">
        <v>3</v>
      </c>
      <c r="F205" t="s">
        <v>4</v>
      </c>
      <c r="G205" t="s">
        <v>5</v>
      </c>
      <c r="H205">
        <v>2149.0300000000002</v>
      </c>
      <c r="I205" t="s">
        <v>3841</v>
      </c>
      <c r="J205" t="s">
        <v>460</v>
      </c>
      <c r="K205" t="s">
        <v>8</v>
      </c>
      <c r="L205" t="s">
        <v>3842</v>
      </c>
      <c r="M205" t="s">
        <v>3842</v>
      </c>
      <c r="N205" t="s">
        <v>21</v>
      </c>
      <c r="O205" t="s">
        <v>1</v>
      </c>
      <c r="P205">
        <v>45915</v>
      </c>
      <c r="Q205" t="s">
        <v>3843</v>
      </c>
      <c r="R205">
        <v>45918</v>
      </c>
      <c r="S205" t="s">
        <v>3844</v>
      </c>
      <c r="T205" t="s">
        <v>8</v>
      </c>
      <c r="U205">
        <v>0</v>
      </c>
      <c r="V205" t="s">
        <v>8</v>
      </c>
      <c r="W205" t="s">
        <v>8</v>
      </c>
      <c r="X205" t="s">
        <v>4</v>
      </c>
      <c r="Y205" t="s">
        <v>3</v>
      </c>
    </row>
    <row r="206" spans="1:25" x14ac:dyDescent="0.25">
      <c r="A206" t="s">
        <v>3433</v>
      </c>
      <c r="B206" s="9">
        <v>45918</v>
      </c>
      <c r="C206" s="7" t="s">
        <v>87</v>
      </c>
      <c r="D206" t="s">
        <v>2</v>
      </c>
      <c r="E206" t="s">
        <v>3</v>
      </c>
      <c r="F206" t="s">
        <v>2619</v>
      </c>
      <c r="G206" t="s">
        <v>2620</v>
      </c>
      <c r="H206">
        <v>799</v>
      </c>
      <c r="I206" t="s">
        <v>3841</v>
      </c>
      <c r="J206" t="s">
        <v>460</v>
      </c>
      <c r="K206" t="s">
        <v>8</v>
      </c>
      <c r="L206" t="s">
        <v>3842</v>
      </c>
      <c r="M206" t="s">
        <v>3842</v>
      </c>
      <c r="N206" t="s">
        <v>21</v>
      </c>
      <c r="O206" t="s">
        <v>12</v>
      </c>
      <c r="P206">
        <v>45915</v>
      </c>
      <c r="Q206" t="s">
        <v>3843</v>
      </c>
      <c r="R206">
        <v>45918</v>
      </c>
      <c r="S206" t="s">
        <v>3844</v>
      </c>
      <c r="T206" t="s">
        <v>8</v>
      </c>
      <c r="U206">
        <v>0</v>
      </c>
      <c r="V206" t="s">
        <v>8</v>
      </c>
      <c r="W206" t="s">
        <v>8</v>
      </c>
      <c r="X206" t="s">
        <v>2619</v>
      </c>
      <c r="Y206" t="s">
        <v>3</v>
      </c>
    </row>
    <row r="207" spans="1:25" x14ac:dyDescent="0.25">
      <c r="A207" t="s">
        <v>3433</v>
      </c>
      <c r="B207" s="9">
        <v>45918</v>
      </c>
      <c r="C207" s="7" t="s">
        <v>87</v>
      </c>
      <c r="D207" t="s">
        <v>2</v>
      </c>
      <c r="E207" t="s">
        <v>3</v>
      </c>
      <c r="F207" t="s">
        <v>2981</v>
      </c>
      <c r="G207" t="s">
        <v>2982</v>
      </c>
      <c r="H207">
        <v>79.23</v>
      </c>
      <c r="I207" t="s">
        <v>3845</v>
      </c>
      <c r="J207" t="s">
        <v>460</v>
      </c>
      <c r="K207" t="s">
        <v>8</v>
      </c>
      <c r="L207" t="s">
        <v>3846</v>
      </c>
      <c r="M207" t="s">
        <v>3846</v>
      </c>
      <c r="N207" t="s">
        <v>21</v>
      </c>
      <c r="O207" t="s">
        <v>1</v>
      </c>
      <c r="P207">
        <v>45915</v>
      </c>
      <c r="Q207" t="s">
        <v>3847</v>
      </c>
      <c r="R207">
        <v>45918</v>
      </c>
      <c r="S207" t="s">
        <v>3848</v>
      </c>
      <c r="T207" t="s">
        <v>8</v>
      </c>
      <c r="U207">
        <v>0</v>
      </c>
      <c r="V207" t="s">
        <v>8</v>
      </c>
      <c r="W207" t="s">
        <v>8</v>
      </c>
      <c r="X207" t="s">
        <v>2981</v>
      </c>
      <c r="Y207" t="s">
        <v>3</v>
      </c>
    </row>
    <row r="208" spans="1:25" x14ac:dyDescent="0.25">
      <c r="A208" t="s">
        <v>3433</v>
      </c>
      <c r="B208" s="9">
        <v>45918</v>
      </c>
      <c r="C208" s="7" t="s">
        <v>87</v>
      </c>
      <c r="D208" t="s">
        <v>2</v>
      </c>
      <c r="E208" t="s">
        <v>3</v>
      </c>
      <c r="F208" t="s">
        <v>2619</v>
      </c>
      <c r="G208" t="s">
        <v>2620</v>
      </c>
      <c r="H208">
        <v>187.07</v>
      </c>
      <c r="I208" t="s">
        <v>3845</v>
      </c>
      <c r="J208" t="s">
        <v>460</v>
      </c>
      <c r="K208" t="s">
        <v>8</v>
      </c>
      <c r="L208" t="s">
        <v>3846</v>
      </c>
      <c r="M208" t="s">
        <v>3846</v>
      </c>
      <c r="N208" t="s">
        <v>21</v>
      </c>
      <c r="O208" t="s">
        <v>12</v>
      </c>
      <c r="P208">
        <v>45915</v>
      </c>
      <c r="Q208" t="s">
        <v>3847</v>
      </c>
      <c r="R208">
        <v>45918</v>
      </c>
      <c r="S208" t="s">
        <v>3848</v>
      </c>
      <c r="T208" t="s">
        <v>8</v>
      </c>
      <c r="U208">
        <v>0</v>
      </c>
      <c r="V208" t="s">
        <v>8</v>
      </c>
      <c r="W208" t="s">
        <v>8</v>
      </c>
      <c r="X208" t="s">
        <v>2619</v>
      </c>
      <c r="Y208" t="s">
        <v>3</v>
      </c>
    </row>
    <row r="209" spans="1:25" outlineLevel="2" x14ac:dyDescent="0.25">
      <c r="A209" t="s">
        <v>3433</v>
      </c>
      <c r="B209" s="2">
        <v>45943</v>
      </c>
      <c r="C209" t="s">
        <v>30</v>
      </c>
      <c r="D209" t="s">
        <v>2</v>
      </c>
      <c r="E209" t="s">
        <v>3</v>
      </c>
      <c r="F209" t="s">
        <v>4</v>
      </c>
      <c r="G209" t="s">
        <v>5</v>
      </c>
      <c r="H209" s="3">
        <v>10167.5</v>
      </c>
      <c r="I209" t="s">
        <v>3902</v>
      </c>
      <c r="J209" t="s">
        <v>460</v>
      </c>
      <c r="K209" t="s">
        <v>3903</v>
      </c>
      <c r="L209" t="s">
        <v>3904</v>
      </c>
      <c r="M209" t="s">
        <v>3904</v>
      </c>
      <c r="N209" t="s">
        <v>2493</v>
      </c>
      <c r="O209" t="s">
        <v>1</v>
      </c>
      <c r="P209" s="2">
        <v>45936</v>
      </c>
      <c r="Q209" t="s">
        <v>3905</v>
      </c>
      <c r="R209" s="2">
        <v>45943</v>
      </c>
      <c r="S209" t="s">
        <v>3906</v>
      </c>
      <c r="T209" t="s">
        <v>469</v>
      </c>
      <c r="U209" s="17">
        <v>1</v>
      </c>
      <c r="V209" t="s">
        <v>8</v>
      </c>
      <c r="W209" t="s">
        <v>8</v>
      </c>
      <c r="X209" t="s">
        <v>4</v>
      </c>
      <c r="Y209" t="s">
        <v>3</v>
      </c>
    </row>
    <row r="210" spans="1:25" outlineLevel="2" x14ac:dyDescent="0.25">
      <c r="A210" t="s">
        <v>3433</v>
      </c>
      <c r="B210" s="2">
        <v>45947</v>
      </c>
      <c r="C210" t="s">
        <v>30</v>
      </c>
      <c r="D210" t="s">
        <v>2</v>
      </c>
      <c r="E210" t="s">
        <v>3</v>
      </c>
      <c r="F210" t="s">
        <v>3568</v>
      </c>
      <c r="G210" t="s">
        <v>3569</v>
      </c>
      <c r="H210" s="3">
        <v>219.46</v>
      </c>
      <c r="I210" t="s">
        <v>3874</v>
      </c>
      <c r="J210" t="s">
        <v>460</v>
      </c>
      <c r="K210" t="s">
        <v>8</v>
      </c>
      <c r="L210" t="s">
        <v>3875</v>
      </c>
      <c r="M210" t="s">
        <v>3875</v>
      </c>
      <c r="N210" t="s">
        <v>21</v>
      </c>
      <c r="O210" t="s">
        <v>1</v>
      </c>
      <c r="P210" s="2">
        <v>45943</v>
      </c>
      <c r="Q210" t="s">
        <v>3876</v>
      </c>
      <c r="R210" s="2">
        <v>45947</v>
      </c>
      <c r="S210" t="s">
        <v>3877</v>
      </c>
      <c r="T210" t="s">
        <v>8</v>
      </c>
      <c r="U210" s="17">
        <v>0</v>
      </c>
      <c r="V210" t="s">
        <v>8</v>
      </c>
      <c r="W210" t="s">
        <v>8</v>
      </c>
      <c r="X210" t="s">
        <v>3568</v>
      </c>
      <c r="Y210" t="s">
        <v>3</v>
      </c>
    </row>
    <row r="211" spans="1:25" outlineLevel="2" x14ac:dyDescent="0.25">
      <c r="A211" t="s">
        <v>3433</v>
      </c>
      <c r="B211" s="2">
        <v>45947</v>
      </c>
      <c r="C211" t="s">
        <v>30</v>
      </c>
      <c r="D211" t="s">
        <v>2</v>
      </c>
      <c r="E211" t="s">
        <v>3</v>
      </c>
      <c r="F211" t="s">
        <v>2619</v>
      </c>
      <c r="G211" t="s">
        <v>2620</v>
      </c>
      <c r="H211" s="3">
        <v>249.47</v>
      </c>
      <c r="I211" t="s">
        <v>3874</v>
      </c>
      <c r="J211" t="s">
        <v>460</v>
      </c>
      <c r="K211" t="s">
        <v>8</v>
      </c>
      <c r="L211" t="s">
        <v>3875</v>
      </c>
      <c r="M211" t="s">
        <v>3875</v>
      </c>
      <c r="N211" t="s">
        <v>21</v>
      </c>
      <c r="O211" t="s">
        <v>12</v>
      </c>
      <c r="P211" s="2">
        <v>45943</v>
      </c>
      <c r="Q211" t="s">
        <v>3876</v>
      </c>
      <c r="R211" s="2">
        <v>45947</v>
      </c>
      <c r="S211" t="s">
        <v>3877</v>
      </c>
      <c r="T211" t="s">
        <v>8</v>
      </c>
      <c r="U211" s="17">
        <v>0</v>
      </c>
      <c r="V211" t="s">
        <v>8</v>
      </c>
      <c r="W211" t="s">
        <v>8</v>
      </c>
      <c r="X211" t="s">
        <v>2619</v>
      </c>
      <c r="Y211" t="s">
        <v>3</v>
      </c>
    </row>
    <row r="212" spans="1:25" outlineLevel="2" x14ac:dyDescent="0.25">
      <c r="A212" t="s">
        <v>3433</v>
      </c>
      <c r="B212" s="2">
        <v>45947</v>
      </c>
      <c r="C212" t="s">
        <v>30</v>
      </c>
      <c r="D212" t="s">
        <v>2</v>
      </c>
      <c r="E212" t="s">
        <v>3</v>
      </c>
      <c r="F212" t="s">
        <v>4</v>
      </c>
      <c r="G212" t="s">
        <v>5</v>
      </c>
      <c r="H212" s="3">
        <v>250.14</v>
      </c>
      <c r="I212" t="s">
        <v>3878</v>
      </c>
      <c r="J212" t="s">
        <v>460</v>
      </c>
      <c r="K212" t="s">
        <v>8</v>
      </c>
      <c r="L212" t="s">
        <v>3879</v>
      </c>
      <c r="M212" t="s">
        <v>3879</v>
      </c>
      <c r="N212" t="s">
        <v>21</v>
      </c>
      <c r="O212" t="s">
        <v>1</v>
      </c>
      <c r="P212" s="2">
        <v>45943</v>
      </c>
      <c r="Q212" t="s">
        <v>3880</v>
      </c>
      <c r="R212" s="2">
        <v>45947</v>
      </c>
      <c r="S212" t="s">
        <v>3881</v>
      </c>
      <c r="T212" t="s">
        <v>8</v>
      </c>
      <c r="U212" s="17">
        <v>0</v>
      </c>
      <c r="V212" t="s">
        <v>8</v>
      </c>
      <c r="W212" t="s">
        <v>8</v>
      </c>
      <c r="X212" t="s">
        <v>4</v>
      </c>
      <c r="Y212" t="s">
        <v>3</v>
      </c>
    </row>
    <row r="213" spans="1:25" outlineLevel="2" x14ac:dyDescent="0.25">
      <c r="A213" t="s">
        <v>3433</v>
      </c>
      <c r="B213" s="2">
        <v>45947</v>
      </c>
      <c r="C213" t="s">
        <v>30</v>
      </c>
      <c r="D213" t="s">
        <v>2</v>
      </c>
      <c r="E213" t="s">
        <v>3</v>
      </c>
      <c r="F213" t="s">
        <v>3568</v>
      </c>
      <c r="G213" t="s">
        <v>3569</v>
      </c>
      <c r="H213" s="3">
        <v>26.96</v>
      </c>
      <c r="I213" t="s">
        <v>3878</v>
      </c>
      <c r="J213" t="s">
        <v>460</v>
      </c>
      <c r="K213" t="s">
        <v>8</v>
      </c>
      <c r="L213" t="s">
        <v>3879</v>
      </c>
      <c r="M213" t="s">
        <v>3879</v>
      </c>
      <c r="N213" t="s">
        <v>21</v>
      </c>
      <c r="O213" t="s">
        <v>12</v>
      </c>
      <c r="P213" s="2">
        <v>45943</v>
      </c>
      <c r="Q213" t="s">
        <v>3880</v>
      </c>
      <c r="R213" s="2">
        <v>45947</v>
      </c>
      <c r="S213" t="s">
        <v>3881</v>
      </c>
      <c r="T213" t="s">
        <v>8</v>
      </c>
      <c r="U213" s="17">
        <v>0</v>
      </c>
      <c r="V213" t="s">
        <v>8</v>
      </c>
      <c r="W213" t="s">
        <v>8</v>
      </c>
      <c r="X213" t="s">
        <v>3568</v>
      </c>
      <c r="Y213" t="s">
        <v>3</v>
      </c>
    </row>
    <row r="214" spans="1:25" outlineLevel="2" x14ac:dyDescent="0.25">
      <c r="A214" t="s">
        <v>3433</v>
      </c>
      <c r="B214" s="2">
        <v>45947</v>
      </c>
      <c r="C214" t="s">
        <v>30</v>
      </c>
      <c r="D214" t="s">
        <v>2</v>
      </c>
      <c r="E214" t="s">
        <v>3</v>
      </c>
      <c r="F214" t="s">
        <v>2619</v>
      </c>
      <c r="G214" t="s">
        <v>2620</v>
      </c>
      <c r="H214" s="3">
        <v>17.87</v>
      </c>
      <c r="I214" t="s">
        <v>3878</v>
      </c>
      <c r="J214" t="s">
        <v>460</v>
      </c>
      <c r="K214" t="s">
        <v>8</v>
      </c>
      <c r="L214" t="s">
        <v>3879</v>
      </c>
      <c r="M214" t="s">
        <v>3879</v>
      </c>
      <c r="N214" t="s">
        <v>21</v>
      </c>
      <c r="O214" t="s">
        <v>17</v>
      </c>
      <c r="P214" s="2">
        <v>45943</v>
      </c>
      <c r="Q214" t="s">
        <v>3880</v>
      </c>
      <c r="R214" s="2">
        <v>45947</v>
      </c>
      <c r="S214" t="s">
        <v>3881</v>
      </c>
      <c r="T214" t="s">
        <v>8</v>
      </c>
      <c r="U214" s="17">
        <v>0</v>
      </c>
      <c r="V214" t="s">
        <v>8</v>
      </c>
      <c r="W214" t="s">
        <v>8</v>
      </c>
      <c r="X214" t="s">
        <v>2619</v>
      </c>
      <c r="Y214" t="s">
        <v>3</v>
      </c>
    </row>
    <row r="215" spans="1:25" x14ac:dyDescent="0.25">
      <c r="A215" t="s">
        <v>3433</v>
      </c>
      <c r="B215" s="9">
        <v>45947</v>
      </c>
      <c r="C215" t="s">
        <v>30</v>
      </c>
      <c r="D215" t="s">
        <v>2</v>
      </c>
      <c r="E215" t="s">
        <v>3</v>
      </c>
      <c r="F215" t="s">
        <v>2981</v>
      </c>
      <c r="G215" t="s">
        <v>2982</v>
      </c>
      <c r="H215">
        <v>18.489999999999998</v>
      </c>
      <c r="I215" t="s">
        <v>3878</v>
      </c>
      <c r="J215" t="s">
        <v>460</v>
      </c>
      <c r="K215" t="s">
        <v>8</v>
      </c>
      <c r="L215" t="s">
        <v>3879</v>
      </c>
      <c r="M215" t="s">
        <v>3879</v>
      </c>
      <c r="N215" t="s">
        <v>21</v>
      </c>
      <c r="O215" t="s">
        <v>43</v>
      </c>
      <c r="P215">
        <v>45943</v>
      </c>
      <c r="Q215" t="s">
        <v>3880</v>
      </c>
      <c r="R215">
        <v>45947</v>
      </c>
      <c r="S215" t="s">
        <v>3881</v>
      </c>
      <c r="T215" t="s">
        <v>8</v>
      </c>
      <c r="U215">
        <v>0</v>
      </c>
      <c r="V215" t="s">
        <v>8</v>
      </c>
      <c r="W215" t="s">
        <v>8</v>
      </c>
      <c r="X215" t="s">
        <v>2981</v>
      </c>
      <c r="Y215" t="s">
        <v>3</v>
      </c>
    </row>
    <row r="216" spans="1:25" x14ac:dyDescent="0.25">
      <c r="A216" t="s">
        <v>3433</v>
      </c>
      <c r="B216" s="9">
        <v>45947</v>
      </c>
      <c r="C216" t="s">
        <v>30</v>
      </c>
      <c r="D216" t="s">
        <v>2</v>
      </c>
      <c r="E216" t="s">
        <v>3</v>
      </c>
      <c r="F216" t="s">
        <v>2619</v>
      </c>
      <c r="G216" t="s">
        <v>2620</v>
      </c>
      <c r="H216">
        <v>220.74</v>
      </c>
      <c r="I216" t="s">
        <v>3882</v>
      </c>
      <c r="J216" t="s">
        <v>460</v>
      </c>
      <c r="K216" t="s">
        <v>8</v>
      </c>
      <c r="L216" t="s">
        <v>3883</v>
      </c>
      <c r="M216" t="s">
        <v>3883</v>
      </c>
      <c r="N216" t="s">
        <v>21</v>
      </c>
      <c r="O216" t="s">
        <v>1</v>
      </c>
      <c r="P216">
        <v>45943</v>
      </c>
      <c r="Q216" t="s">
        <v>3884</v>
      </c>
      <c r="R216">
        <v>45947</v>
      </c>
      <c r="S216" t="s">
        <v>3885</v>
      </c>
      <c r="T216" t="s">
        <v>8</v>
      </c>
      <c r="U216">
        <v>0</v>
      </c>
      <c r="V216" t="s">
        <v>8</v>
      </c>
      <c r="W216" t="s">
        <v>8</v>
      </c>
      <c r="X216" t="s">
        <v>2619</v>
      </c>
      <c r="Y216" t="s">
        <v>3</v>
      </c>
    </row>
    <row r="217" spans="1:25" x14ac:dyDescent="0.25">
      <c r="A217" t="s">
        <v>3912</v>
      </c>
      <c r="B217" s="9">
        <v>46041</v>
      </c>
      <c r="C217" t="s">
        <v>1</v>
      </c>
      <c r="D217" t="s">
        <v>2</v>
      </c>
      <c r="E217" t="s">
        <v>3</v>
      </c>
      <c r="F217" t="s">
        <v>4</v>
      </c>
      <c r="G217" t="s">
        <v>5</v>
      </c>
      <c r="H217">
        <v>11203.85</v>
      </c>
      <c r="I217" t="s">
        <v>3943</v>
      </c>
      <c r="J217" t="s">
        <v>460</v>
      </c>
      <c r="K217" t="s">
        <v>3944</v>
      </c>
      <c r="L217" t="s">
        <v>3945</v>
      </c>
      <c r="M217" t="s">
        <v>3945</v>
      </c>
      <c r="N217" t="s">
        <v>21</v>
      </c>
      <c r="O217" t="s">
        <v>1</v>
      </c>
      <c r="P217">
        <v>46034</v>
      </c>
      <c r="Q217" t="s">
        <v>3946</v>
      </c>
      <c r="R217">
        <v>46041</v>
      </c>
      <c r="S217" t="s">
        <v>3947</v>
      </c>
      <c r="T217" t="s">
        <v>469</v>
      </c>
      <c r="U217">
        <v>1</v>
      </c>
      <c r="V217" t="s">
        <v>8</v>
      </c>
      <c r="W217" t="s">
        <v>8</v>
      </c>
      <c r="X217" t="s">
        <v>4</v>
      </c>
      <c r="Y217" t="s">
        <v>3</v>
      </c>
    </row>
    <row r="218" spans="1:25" x14ac:dyDescent="0.25">
      <c r="A218" t="s">
        <v>3912</v>
      </c>
      <c r="B218" s="9">
        <v>46049</v>
      </c>
      <c r="C218" t="s">
        <v>1</v>
      </c>
      <c r="D218" t="s">
        <v>2</v>
      </c>
      <c r="E218" t="s">
        <v>3</v>
      </c>
      <c r="F218" t="s">
        <v>4</v>
      </c>
      <c r="G218" t="s">
        <v>5</v>
      </c>
      <c r="H218">
        <v>1131.1500000000001</v>
      </c>
      <c r="I218" t="s">
        <v>3948</v>
      </c>
      <c r="J218" t="s">
        <v>460</v>
      </c>
      <c r="K218" t="s">
        <v>8</v>
      </c>
      <c r="L218" t="s">
        <v>3949</v>
      </c>
      <c r="M218" t="s">
        <v>3949</v>
      </c>
      <c r="N218" t="s">
        <v>3886</v>
      </c>
      <c r="O218" t="s">
        <v>1</v>
      </c>
      <c r="P218">
        <v>46044</v>
      </c>
      <c r="Q218" t="s">
        <v>3950</v>
      </c>
      <c r="R218">
        <v>46049</v>
      </c>
      <c r="S218" t="s">
        <v>3951</v>
      </c>
      <c r="T218" t="s">
        <v>8</v>
      </c>
      <c r="U218">
        <v>0</v>
      </c>
      <c r="V218" t="s">
        <v>8</v>
      </c>
      <c r="W218" t="s">
        <v>8</v>
      </c>
      <c r="X218" t="s">
        <v>4</v>
      </c>
      <c r="Y218" t="s">
        <v>3</v>
      </c>
    </row>
    <row r="219" spans="1:25" x14ac:dyDescent="0.25">
      <c r="A219" t="s">
        <v>3912</v>
      </c>
      <c r="B219" s="9">
        <v>46049</v>
      </c>
      <c r="C219" t="s">
        <v>1</v>
      </c>
      <c r="D219" t="s">
        <v>2</v>
      </c>
      <c r="E219" t="s">
        <v>3</v>
      </c>
      <c r="F219" t="s">
        <v>4</v>
      </c>
      <c r="G219" t="s">
        <v>5</v>
      </c>
      <c r="H219">
        <v>104.77</v>
      </c>
      <c r="I219" t="s">
        <v>3952</v>
      </c>
      <c r="J219" t="s">
        <v>460</v>
      </c>
      <c r="K219" t="s">
        <v>8</v>
      </c>
      <c r="L219" t="s">
        <v>3953</v>
      </c>
      <c r="M219" t="s">
        <v>3953</v>
      </c>
      <c r="N219" t="s">
        <v>3886</v>
      </c>
      <c r="O219" t="s">
        <v>1</v>
      </c>
      <c r="P219">
        <v>46044</v>
      </c>
      <c r="Q219" t="s">
        <v>3954</v>
      </c>
      <c r="R219">
        <v>46049</v>
      </c>
      <c r="S219" t="s">
        <v>3955</v>
      </c>
      <c r="T219" t="s">
        <v>8</v>
      </c>
      <c r="U219">
        <v>0</v>
      </c>
      <c r="V219" t="s">
        <v>8</v>
      </c>
      <c r="W219" t="s">
        <v>8</v>
      </c>
      <c r="X219" t="s">
        <v>4</v>
      </c>
      <c r="Y219" t="s">
        <v>3</v>
      </c>
    </row>
    <row r="220" spans="1:25" x14ac:dyDescent="0.25">
      <c r="A220" t="s">
        <v>3912</v>
      </c>
      <c r="B220" s="9">
        <v>46073</v>
      </c>
      <c r="C220" t="s">
        <v>12</v>
      </c>
      <c r="D220" t="s">
        <v>2</v>
      </c>
      <c r="E220" t="s">
        <v>3</v>
      </c>
      <c r="F220" t="s">
        <v>4</v>
      </c>
      <c r="G220" t="s">
        <v>5</v>
      </c>
      <c r="H220">
        <v>11203.85</v>
      </c>
      <c r="I220" t="s">
        <v>3956</v>
      </c>
      <c r="J220" t="s">
        <v>460</v>
      </c>
      <c r="K220" t="s">
        <v>3957</v>
      </c>
      <c r="L220" t="s">
        <v>3958</v>
      </c>
      <c r="M220" t="s">
        <v>3958</v>
      </c>
      <c r="N220" t="s">
        <v>3886</v>
      </c>
      <c r="O220" t="s">
        <v>1</v>
      </c>
      <c r="P220">
        <v>46065</v>
      </c>
      <c r="Q220" t="s">
        <v>3959</v>
      </c>
      <c r="R220">
        <v>46073</v>
      </c>
      <c r="S220" t="s">
        <v>3960</v>
      </c>
      <c r="T220" t="s">
        <v>469</v>
      </c>
      <c r="U220">
        <v>1</v>
      </c>
      <c r="V220" t="s">
        <v>8</v>
      </c>
      <c r="W220" t="s">
        <v>8</v>
      </c>
      <c r="X220" t="s">
        <v>4</v>
      </c>
      <c r="Y220" t="s">
        <v>3</v>
      </c>
    </row>
    <row r="221" spans="1:25" x14ac:dyDescent="0.25">
      <c r="A221" t="s">
        <v>3912</v>
      </c>
      <c r="B221" s="2">
        <v>46098</v>
      </c>
      <c r="C221" t="s">
        <v>17</v>
      </c>
      <c r="D221" t="s">
        <v>2</v>
      </c>
      <c r="E221" t="s">
        <v>3</v>
      </c>
      <c r="F221" t="s">
        <v>4</v>
      </c>
      <c r="G221" t="s">
        <v>5</v>
      </c>
      <c r="H221" s="3">
        <v>978.1</v>
      </c>
      <c r="I221" t="s">
        <v>4044</v>
      </c>
      <c r="J221" t="s">
        <v>460</v>
      </c>
      <c r="K221" t="s">
        <v>8</v>
      </c>
      <c r="L221" t="s">
        <v>4045</v>
      </c>
      <c r="M221" t="s">
        <v>4045</v>
      </c>
      <c r="N221" t="s">
        <v>3886</v>
      </c>
      <c r="O221" t="s">
        <v>1</v>
      </c>
      <c r="P221" s="2">
        <v>46090</v>
      </c>
      <c r="Q221" t="s">
        <v>4046</v>
      </c>
      <c r="R221" s="2">
        <v>46098</v>
      </c>
      <c r="S221" t="s">
        <v>4047</v>
      </c>
      <c r="T221" t="s">
        <v>8</v>
      </c>
      <c r="U221" s="17">
        <v>0</v>
      </c>
      <c r="V221" t="s">
        <v>8</v>
      </c>
      <c r="W221" t="s">
        <v>8</v>
      </c>
      <c r="X221" t="s">
        <v>4</v>
      </c>
      <c r="Y221" t="s">
        <v>3</v>
      </c>
    </row>
    <row r="222" spans="1:25" x14ac:dyDescent="0.25">
      <c r="A222" t="s">
        <v>3912</v>
      </c>
      <c r="B222" s="2">
        <v>46098</v>
      </c>
      <c r="C222" t="s">
        <v>17</v>
      </c>
      <c r="D222" t="s">
        <v>2</v>
      </c>
      <c r="E222" t="s">
        <v>3</v>
      </c>
      <c r="F222" t="s">
        <v>4</v>
      </c>
      <c r="G222" t="s">
        <v>5</v>
      </c>
      <c r="H222" s="3">
        <v>12181.96</v>
      </c>
      <c r="I222" t="s">
        <v>4048</v>
      </c>
      <c r="J222" t="s">
        <v>460</v>
      </c>
      <c r="K222" t="s">
        <v>4049</v>
      </c>
      <c r="L222" t="s">
        <v>4050</v>
      </c>
      <c r="M222" t="s">
        <v>4050</v>
      </c>
      <c r="N222" t="s">
        <v>3886</v>
      </c>
      <c r="O222" t="s">
        <v>1</v>
      </c>
      <c r="P222" s="2">
        <v>46090</v>
      </c>
      <c r="Q222" t="s">
        <v>4051</v>
      </c>
      <c r="R222" s="2">
        <v>46098</v>
      </c>
      <c r="S222" t="s">
        <v>4052</v>
      </c>
      <c r="T222" t="s">
        <v>469</v>
      </c>
      <c r="U222" s="18">
        <v>1</v>
      </c>
      <c r="V222" t="s">
        <v>8</v>
      </c>
      <c r="W222" t="s">
        <v>8</v>
      </c>
      <c r="X222" t="s">
        <v>4</v>
      </c>
      <c r="Y222" t="s">
        <v>3</v>
      </c>
    </row>
    <row r="223" spans="1:25" x14ac:dyDescent="0.25">
      <c r="A223" t="s">
        <v>3912</v>
      </c>
      <c r="B223" s="2">
        <v>46107</v>
      </c>
      <c r="C223" t="s">
        <v>17</v>
      </c>
      <c r="D223" t="s">
        <v>2</v>
      </c>
      <c r="E223" t="s">
        <v>3</v>
      </c>
      <c r="F223" t="s">
        <v>4</v>
      </c>
      <c r="G223" t="s">
        <v>5</v>
      </c>
      <c r="H223" s="3">
        <v>2816.38</v>
      </c>
      <c r="I223" t="s">
        <v>4007</v>
      </c>
      <c r="J223" t="s">
        <v>460</v>
      </c>
      <c r="K223" t="s">
        <v>8</v>
      </c>
      <c r="L223" t="s">
        <v>4008</v>
      </c>
      <c r="M223" t="s">
        <v>4008</v>
      </c>
      <c r="N223" t="s">
        <v>2429</v>
      </c>
      <c r="O223" t="s">
        <v>1</v>
      </c>
      <c r="P223" s="2">
        <v>46099</v>
      </c>
      <c r="Q223" t="s">
        <v>4009</v>
      </c>
      <c r="R223" s="2">
        <v>46107</v>
      </c>
      <c r="S223" t="s">
        <v>4010</v>
      </c>
      <c r="T223" t="s">
        <v>8</v>
      </c>
      <c r="U223" s="17">
        <v>0</v>
      </c>
      <c r="V223" t="s">
        <v>8</v>
      </c>
      <c r="W223" t="s">
        <v>8</v>
      </c>
      <c r="X223" t="s">
        <v>4</v>
      </c>
      <c r="Y223" t="s">
        <v>3</v>
      </c>
    </row>
    <row r="224" spans="1:25" x14ac:dyDescent="0.25">
      <c r="A224" t="s">
        <v>3912</v>
      </c>
      <c r="B224" s="2">
        <v>46107</v>
      </c>
      <c r="C224" t="s">
        <v>17</v>
      </c>
      <c r="D224" t="s">
        <v>2</v>
      </c>
      <c r="E224" t="s">
        <v>3</v>
      </c>
      <c r="F224" t="s">
        <v>2619</v>
      </c>
      <c r="G224" t="s">
        <v>2620</v>
      </c>
      <c r="H224" s="3">
        <v>3526.82</v>
      </c>
      <c r="I224" t="s">
        <v>4007</v>
      </c>
      <c r="J224" t="s">
        <v>460</v>
      </c>
      <c r="K224" t="s">
        <v>8</v>
      </c>
      <c r="L224" t="s">
        <v>4008</v>
      </c>
      <c r="M224" t="s">
        <v>4008</v>
      </c>
      <c r="N224" t="s">
        <v>2429</v>
      </c>
      <c r="O224" t="s">
        <v>12</v>
      </c>
      <c r="P224" s="2">
        <v>46099</v>
      </c>
      <c r="Q224" t="s">
        <v>4009</v>
      </c>
      <c r="R224" s="2">
        <v>46107</v>
      </c>
      <c r="S224" t="s">
        <v>4010</v>
      </c>
      <c r="T224" t="s">
        <v>8</v>
      </c>
      <c r="U224" s="17">
        <v>0</v>
      </c>
      <c r="V224" t="s">
        <v>8</v>
      </c>
      <c r="W224" t="s">
        <v>8</v>
      </c>
      <c r="X224" t="s">
        <v>2619</v>
      </c>
      <c r="Y224" t="s">
        <v>3</v>
      </c>
    </row>
    <row r="225" spans="1:25" x14ac:dyDescent="0.25">
      <c r="A225" t="s">
        <v>3912</v>
      </c>
      <c r="B225" s="2">
        <v>46107</v>
      </c>
      <c r="C225" t="s">
        <v>17</v>
      </c>
      <c r="D225" t="s">
        <v>2</v>
      </c>
      <c r="E225" t="s">
        <v>3</v>
      </c>
      <c r="F225" t="s">
        <v>4</v>
      </c>
      <c r="G225" t="s">
        <v>5</v>
      </c>
      <c r="H225" s="3">
        <v>3732.12</v>
      </c>
      <c r="I225" t="s">
        <v>4011</v>
      </c>
      <c r="J225" t="s">
        <v>460</v>
      </c>
      <c r="K225" t="s">
        <v>8</v>
      </c>
      <c r="L225" t="s">
        <v>4012</v>
      </c>
      <c r="M225" t="s">
        <v>4012</v>
      </c>
      <c r="N225" t="s">
        <v>2429</v>
      </c>
      <c r="O225" t="s">
        <v>1</v>
      </c>
      <c r="P225" s="2">
        <v>46099</v>
      </c>
      <c r="Q225" t="s">
        <v>4013</v>
      </c>
      <c r="R225" s="2">
        <v>46107</v>
      </c>
      <c r="S225" t="s">
        <v>4014</v>
      </c>
      <c r="T225" t="s">
        <v>8</v>
      </c>
      <c r="U225" s="17">
        <v>0</v>
      </c>
      <c r="V225" t="s">
        <v>8</v>
      </c>
      <c r="W225" t="s">
        <v>8</v>
      </c>
      <c r="X225" t="s">
        <v>4</v>
      </c>
      <c r="Y225" t="s">
        <v>3</v>
      </c>
    </row>
    <row r="226" spans="1:25" x14ac:dyDescent="0.25">
      <c r="A226" t="s">
        <v>3912</v>
      </c>
      <c r="B226" s="2">
        <v>46107</v>
      </c>
      <c r="C226" t="s">
        <v>17</v>
      </c>
      <c r="D226" t="s">
        <v>2</v>
      </c>
      <c r="E226" t="s">
        <v>3</v>
      </c>
      <c r="F226" t="s">
        <v>2619</v>
      </c>
      <c r="G226" t="s">
        <v>2620</v>
      </c>
      <c r="H226" s="3">
        <v>3296.36</v>
      </c>
      <c r="I226" t="s">
        <v>4011</v>
      </c>
      <c r="J226" t="s">
        <v>460</v>
      </c>
      <c r="K226" t="s">
        <v>8</v>
      </c>
      <c r="L226" t="s">
        <v>4012</v>
      </c>
      <c r="M226" t="s">
        <v>4012</v>
      </c>
      <c r="N226" t="s">
        <v>2429</v>
      </c>
      <c r="O226" t="s">
        <v>12</v>
      </c>
      <c r="P226" s="2">
        <v>46099</v>
      </c>
      <c r="Q226" t="s">
        <v>4013</v>
      </c>
      <c r="R226" s="2">
        <v>46107</v>
      </c>
      <c r="S226" t="s">
        <v>4014</v>
      </c>
      <c r="T226" t="s">
        <v>8</v>
      </c>
      <c r="U226" s="17">
        <v>0</v>
      </c>
      <c r="V226" t="s">
        <v>8</v>
      </c>
      <c r="W226" t="s">
        <v>8</v>
      </c>
      <c r="X226" t="s">
        <v>2619</v>
      </c>
      <c r="Y226" t="s">
        <v>3</v>
      </c>
    </row>
    <row r="227" spans="1:25" x14ac:dyDescent="0.25">
      <c r="A227" t="s">
        <v>3912</v>
      </c>
      <c r="B227" s="2">
        <v>46107</v>
      </c>
      <c r="C227" t="s">
        <v>17</v>
      </c>
      <c r="D227" t="s">
        <v>2</v>
      </c>
      <c r="E227" t="s">
        <v>3</v>
      </c>
      <c r="F227" t="s">
        <v>2981</v>
      </c>
      <c r="G227" t="s">
        <v>2982</v>
      </c>
      <c r="H227" s="3">
        <v>2009.71</v>
      </c>
      <c r="I227" t="s">
        <v>4015</v>
      </c>
      <c r="J227" t="s">
        <v>460</v>
      </c>
      <c r="K227" t="s">
        <v>8</v>
      </c>
      <c r="L227" t="s">
        <v>4016</v>
      </c>
      <c r="M227" t="s">
        <v>4016</v>
      </c>
      <c r="N227" t="s">
        <v>2429</v>
      </c>
      <c r="O227" t="s">
        <v>1</v>
      </c>
      <c r="P227" s="2">
        <v>46099</v>
      </c>
      <c r="Q227" t="s">
        <v>4017</v>
      </c>
      <c r="R227" s="2">
        <v>46107</v>
      </c>
      <c r="S227" t="s">
        <v>4018</v>
      </c>
      <c r="T227" t="s">
        <v>8</v>
      </c>
      <c r="U227" s="17">
        <v>0</v>
      </c>
      <c r="V227" t="s">
        <v>8</v>
      </c>
      <c r="W227" t="s">
        <v>8</v>
      </c>
      <c r="X227" t="s">
        <v>2981</v>
      </c>
      <c r="Y227" t="s">
        <v>3</v>
      </c>
    </row>
    <row r="228" spans="1:25" x14ac:dyDescent="0.25">
      <c r="A228" t="s">
        <v>3912</v>
      </c>
      <c r="B228" s="2">
        <v>46107</v>
      </c>
      <c r="C228" t="s">
        <v>17</v>
      </c>
      <c r="D228" t="s">
        <v>2</v>
      </c>
      <c r="E228" t="s">
        <v>3</v>
      </c>
      <c r="F228" t="s">
        <v>4</v>
      </c>
      <c r="G228" t="s">
        <v>5</v>
      </c>
      <c r="H228" s="3">
        <v>342.46</v>
      </c>
      <c r="I228" t="s">
        <v>4019</v>
      </c>
      <c r="J228" t="s">
        <v>460</v>
      </c>
      <c r="K228" t="s">
        <v>8</v>
      </c>
      <c r="L228" t="s">
        <v>4020</v>
      </c>
      <c r="M228" t="s">
        <v>4020</v>
      </c>
      <c r="N228" t="s">
        <v>2429</v>
      </c>
      <c r="O228" t="s">
        <v>1</v>
      </c>
      <c r="P228" s="2">
        <v>46099</v>
      </c>
      <c r="Q228" t="s">
        <v>4021</v>
      </c>
      <c r="R228" s="2">
        <v>46107</v>
      </c>
      <c r="S228" t="s">
        <v>4022</v>
      </c>
      <c r="T228" t="s">
        <v>8</v>
      </c>
      <c r="U228" s="17">
        <v>0</v>
      </c>
      <c r="V228" t="s">
        <v>8</v>
      </c>
      <c r="W228" t="s">
        <v>8</v>
      </c>
      <c r="X228" t="s">
        <v>4</v>
      </c>
      <c r="Y228" t="s">
        <v>3</v>
      </c>
    </row>
    <row r="229" spans="1:25" x14ac:dyDescent="0.25">
      <c r="A229" t="s">
        <v>3912</v>
      </c>
      <c r="B229" s="2">
        <v>46107</v>
      </c>
      <c r="C229" t="s">
        <v>17</v>
      </c>
      <c r="D229" t="s">
        <v>2</v>
      </c>
      <c r="E229" t="s">
        <v>3</v>
      </c>
      <c r="F229" t="s">
        <v>2619</v>
      </c>
      <c r="G229" t="s">
        <v>2620</v>
      </c>
      <c r="H229" s="3">
        <v>258.33999999999997</v>
      </c>
      <c r="I229" t="s">
        <v>4019</v>
      </c>
      <c r="J229" t="s">
        <v>460</v>
      </c>
      <c r="K229" t="s">
        <v>8</v>
      </c>
      <c r="L229" t="s">
        <v>4020</v>
      </c>
      <c r="M229" t="s">
        <v>4020</v>
      </c>
      <c r="N229" t="s">
        <v>2429</v>
      </c>
      <c r="O229" t="s">
        <v>12</v>
      </c>
      <c r="P229" s="2">
        <v>46099</v>
      </c>
      <c r="Q229" t="s">
        <v>4021</v>
      </c>
      <c r="R229" s="2">
        <v>46107</v>
      </c>
      <c r="S229" t="s">
        <v>4022</v>
      </c>
      <c r="T229" t="s">
        <v>8</v>
      </c>
      <c r="U229" s="17">
        <v>0</v>
      </c>
      <c r="V229" t="s">
        <v>8</v>
      </c>
      <c r="W229" t="s">
        <v>8</v>
      </c>
      <c r="X229" t="s">
        <v>2619</v>
      </c>
      <c r="Y229" t="s">
        <v>3</v>
      </c>
    </row>
    <row r="230" spans="1:25" x14ac:dyDescent="0.25">
      <c r="A230" t="s">
        <v>3912</v>
      </c>
      <c r="B230" s="9">
        <v>46136</v>
      </c>
      <c r="C230" t="s">
        <v>43</v>
      </c>
      <c r="D230" t="s">
        <v>2</v>
      </c>
      <c r="E230" t="s">
        <v>3</v>
      </c>
      <c r="F230" t="s">
        <v>4</v>
      </c>
      <c r="G230" t="s">
        <v>5</v>
      </c>
      <c r="H230">
        <v>12181.96</v>
      </c>
      <c r="I230" t="s">
        <v>4064</v>
      </c>
      <c r="J230" t="s">
        <v>460</v>
      </c>
      <c r="K230" t="s">
        <v>4065</v>
      </c>
      <c r="L230" t="s">
        <v>4066</v>
      </c>
      <c r="M230" t="s">
        <v>4066</v>
      </c>
      <c r="N230" t="s">
        <v>29</v>
      </c>
      <c r="O230" t="s">
        <v>1</v>
      </c>
      <c r="P230" s="9">
        <v>46127</v>
      </c>
      <c r="Q230" t="s">
        <v>4067</v>
      </c>
      <c r="R230" s="9">
        <v>46136</v>
      </c>
      <c r="S230" t="s">
        <v>4068</v>
      </c>
      <c r="T230" t="s">
        <v>469</v>
      </c>
      <c r="U230">
        <v>1</v>
      </c>
      <c r="V230" t="s">
        <v>8</v>
      </c>
      <c r="W230" t="s">
        <v>8</v>
      </c>
      <c r="X230" t="s">
        <v>4</v>
      </c>
      <c r="Y230" t="s">
        <v>3</v>
      </c>
    </row>
    <row r="231" spans="1:25" x14ac:dyDescent="0.25">
      <c r="A231" t="s">
        <v>3912</v>
      </c>
      <c r="B231" s="9">
        <v>46160</v>
      </c>
      <c r="C231" t="s">
        <v>77</v>
      </c>
      <c r="D231" t="s">
        <v>2</v>
      </c>
      <c r="E231" t="s">
        <v>3</v>
      </c>
      <c r="F231" t="s">
        <v>4</v>
      </c>
      <c r="G231" t="s">
        <v>5</v>
      </c>
      <c r="H231">
        <v>12181.96</v>
      </c>
      <c r="I231" t="s">
        <v>4097</v>
      </c>
      <c r="J231" t="s">
        <v>460</v>
      </c>
      <c r="K231" t="s">
        <v>4098</v>
      </c>
      <c r="L231" t="s">
        <v>4099</v>
      </c>
      <c r="M231" t="s">
        <v>4099</v>
      </c>
      <c r="N231" t="s">
        <v>21</v>
      </c>
      <c r="O231" t="s">
        <v>1</v>
      </c>
      <c r="P231" s="9">
        <v>46154</v>
      </c>
      <c r="Q231" t="s">
        <v>4100</v>
      </c>
      <c r="R231" s="9">
        <v>46160</v>
      </c>
      <c r="S231" t="s">
        <v>4101</v>
      </c>
      <c r="T231" t="s">
        <v>469</v>
      </c>
      <c r="U231">
        <v>1</v>
      </c>
      <c r="V231" t="s">
        <v>8</v>
      </c>
      <c r="W231" t="s">
        <v>8</v>
      </c>
      <c r="X231" t="s">
        <v>4</v>
      </c>
      <c r="Y231" t="s">
        <v>3</v>
      </c>
    </row>
    <row r="232" spans="1:25" x14ac:dyDescent="0.25">
      <c r="A232" t="s">
        <v>3912</v>
      </c>
      <c r="B232" s="9">
        <v>46160</v>
      </c>
      <c r="C232" t="s">
        <v>77</v>
      </c>
      <c r="D232" t="s">
        <v>2</v>
      </c>
      <c r="E232" t="s">
        <v>3</v>
      </c>
      <c r="F232" t="s">
        <v>2619</v>
      </c>
      <c r="G232" t="s">
        <v>2620</v>
      </c>
      <c r="H232">
        <v>531.34</v>
      </c>
      <c r="I232" t="s">
        <v>4102</v>
      </c>
      <c r="J232" t="s">
        <v>460</v>
      </c>
      <c r="K232" t="s">
        <v>8</v>
      </c>
      <c r="L232" t="s">
        <v>4103</v>
      </c>
      <c r="M232" t="s">
        <v>4103</v>
      </c>
      <c r="N232" t="s">
        <v>21</v>
      </c>
      <c r="O232" t="s">
        <v>1</v>
      </c>
      <c r="P232" s="9">
        <v>46154</v>
      </c>
      <c r="Q232" t="s">
        <v>4104</v>
      </c>
      <c r="R232" s="9">
        <v>46160</v>
      </c>
      <c r="S232" t="s">
        <v>4105</v>
      </c>
      <c r="T232" t="s">
        <v>8</v>
      </c>
      <c r="U232">
        <v>0</v>
      </c>
      <c r="V232" t="s">
        <v>8</v>
      </c>
      <c r="W232" t="s">
        <v>8</v>
      </c>
      <c r="X232" t="s">
        <v>2619</v>
      </c>
      <c r="Y232" t="s">
        <v>3</v>
      </c>
    </row>
    <row r="233" spans="1:25" x14ac:dyDescent="0.25">
      <c r="A233" t="s">
        <v>3912</v>
      </c>
      <c r="B233" s="9">
        <v>46160</v>
      </c>
      <c r="C233" t="s">
        <v>77</v>
      </c>
      <c r="D233" t="s">
        <v>2</v>
      </c>
      <c r="E233" t="s">
        <v>3</v>
      </c>
      <c r="F233" t="s">
        <v>4</v>
      </c>
      <c r="G233" t="s">
        <v>5</v>
      </c>
      <c r="H233">
        <v>1552.36</v>
      </c>
      <c r="I233" t="s">
        <v>4102</v>
      </c>
      <c r="J233" t="s">
        <v>460</v>
      </c>
      <c r="K233" t="s">
        <v>8</v>
      </c>
      <c r="L233" t="s">
        <v>4103</v>
      </c>
      <c r="M233" t="s">
        <v>4103</v>
      </c>
      <c r="N233" t="s">
        <v>21</v>
      </c>
      <c r="O233" t="s">
        <v>12</v>
      </c>
      <c r="P233" s="9">
        <v>46154</v>
      </c>
      <c r="Q233" t="s">
        <v>4104</v>
      </c>
      <c r="R233" s="9">
        <v>46160</v>
      </c>
      <c r="S233" t="s">
        <v>4105</v>
      </c>
      <c r="T233" t="s">
        <v>8</v>
      </c>
      <c r="U233">
        <v>0</v>
      </c>
      <c r="V233" t="s">
        <v>8</v>
      </c>
      <c r="W233" t="s">
        <v>8</v>
      </c>
      <c r="X233" t="s">
        <v>4</v>
      </c>
      <c r="Y233" t="s">
        <v>3</v>
      </c>
    </row>
    <row r="234" spans="1:25" x14ac:dyDescent="0.25">
      <c r="A234" t="s">
        <v>3912</v>
      </c>
      <c r="B234" s="9">
        <v>46160</v>
      </c>
      <c r="C234" t="s">
        <v>77</v>
      </c>
      <c r="D234" t="s">
        <v>2</v>
      </c>
      <c r="E234" t="s">
        <v>3</v>
      </c>
      <c r="F234" t="s">
        <v>4</v>
      </c>
      <c r="G234" t="s">
        <v>5</v>
      </c>
      <c r="H234">
        <v>274.27</v>
      </c>
      <c r="I234" t="s">
        <v>4106</v>
      </c>
      <c r="J234" t="s">
        <v>460</v>
      </c>
      <c r="K234" t="s">
        <v>8</v>
      </c>
      <c r="L234" t="s">
        <v>4107</v>
      </c>
      <c r="M234" t="s">
        <v>4107</v>
      </c>
      <c r="N234" t="s">
        <v>21</v>
      </c>
      <c r="O234" t="s">
        <v>1</v>
      </c>
      <c r="P234" s="9">
        <v>46154</v>
      </c>
      <c r="Q234" t="s">
        <v>4108</v>
      </c>
      <c r="R234" s="9">
        <v>46160</v>
      </c>
      <c r="S234" t="s">
        <v>4109</v>
      </c>
      <c r="T234" t="s">
        <v>8</v>
      </c>
      <c r="U234">
        <v>0</v>
      </c>
      <c r="V234" t="s">
        <v>8</v>
      </c>
      <c r="W234" t="s">
        <v>8</v>
      </c>
      <c r="X234" t="s">
        <v>4</v>
      </c>
      <c r="Y234" t="s">
        <v>3</v>
      </c>
    </row>
    <row r="235" spans="1:25" x14ac:dyDescent="0.25">
      <c r="A235" t="s">
        <v>3912</v>
      </c>
      <c r="B235" s="9">
        <v>46160</v>
      </c>
      <c r="C235" t="s">
        <v>77</v>
      </c>
      <c r="D235" t="s">
        <v>2</v>
      </c>
      <c r="E235" t="s">
        <v>3</v>
      </c>
      <c r="F235" t="s">
        <v>2619</v>
      </c>
      <c r="G235" t="s">
        <v>2620</v>
      </c>
      <c r="H235">
        <v>75.56</v>
      </c>
      <c r="I235" t="s">
        <v>4106</v>
      </c>
      <c r="J235" t="s">
        <v>460</v>
      </c>
      <c r="K235" t="s">
        <v>8</v>
      </c>
      <c r="L235" t="s">
        <v>4107</v>
      </c>
      <c r="M235" t="s">
        <v>4107</v>
      </c>
      <c r="N235" t="s">
        <v>21</v>
      </c>
      <c r="O235" t="s">
        <v>12</v>
      </c>
      <c r="P235" s="9">
        <v>46154</v>
      </c>
      <c r="Q235" t="s">
        <v>4108</v>
      </c>
      <c r="R235" s="9">
        <v>46160</v>
      </c>
      <c r="S235" t="s">
        <v>4109</v>
      </c>
      <c r="T235" t="s">
        <v>8</v>
      </c>
      <c r="U235">
        <v>0</v>
      </c>
      <c r="V235" t="s">
        <v>8</v>
      </c>
      <c r="W235" t="s">
        <v>8</v>
      </c>
      <c r="X235" t="s">
        <v>2619</v>
      </c>
      <c r="Y235" t="s">
        <v>3</v>
      </c>
    </row>
    <row r="236" spans="1:25" x14ac:dyDescent="0.25">
      <c r="A236" t="s">
        <v>3912</v>
      </c>
      <c r="B236" s="9">
        <v>46160</v>
      </c>
      <c r="C236" t="s">
        <v>77</v>
      </c>
      <c r="D236" t="s">
        <v>2</v>
      </c>
      <c r="E236" t="s">
        <v>3</v>
      </c>
      <c r="F236" t="s">
        <v>2619</v>
      </c>
      <c r="G236" t="s">
        <v>2620</v>
      </c>
      <c r="H236">
        <v>988.38</v>
      </c>
      <c r="I236" t="s">
        <v>4110</v>
      </c>
      <c r="J236" t="s">
        <v>460</v>
      </c>
      <c r="K236" t="s">
        <v>8</v>
      </c>
      <c r="L236" t="s">
        <v>4111</v>
      </c>
      <c r="M236" t="s">
        <v>4111</v>
      </c>
      <c r="N236" t="s">
        <v>21</v>
      </c>
      <c r="O236" t="s">
        <v>1</v>
      </c>
      <c r="P236" s="9">
        <v>46148</v>
      </c>
      <c r="Q236" t="s">
        <v>4112</v>
      </c>
      <c r="R236" s="9">
        <v>46160</v>
      </c>
      <c r="S236" t="s">
        <v>4113</v>
      </c>
      <c r="T236" t="s">
        <v>8</v>
      </c>
      <c r="U236">
        <v>0</v>
      </c>
      <c r="V236" t="s">
        <v>8</v>
      </c>
      <c r="W236" t="s">
        <v>8</v>
      </c>
      <c r="X236" t="s">
        <v>2619</v>
      </c>
      <c r="Y236" t="s">
        <v>3</v>
      </c>
    </row>
  </sheetData>
  <autoFilter ref="A1:O19" xr:uid="{DA20C4B1-25E1-4C47-8BDD-E864C0633D15}">
    <sortState xmlns:xlrd2="http://schemas.microsoft.com/office/spreadsheetml/2017/richdata2" ref="A2:O20">
      <sortCondition ref="B1:B19"/>
    </sortState>
  </autoFilter>
  <pageMargins left="0.75" right="0.75" top="1" bottom="1" header="0.5" footer="0.5"/>
  <pageSetup paperSize="9" orientation="portrait" horizontalDpi="90" verticalDpi="90" r:id="rId1"/>
  <headerFooter alignWithMargins="0">
    <oddFooter>&amp;R&amp;1#&amp;"Calibri"&amp;22&amp;KFF8939RESTRICTED</oddFooter>
  </headerFooter>
  <customProperties>
    <customPr name="_pios_id" r:id="rId2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613CB-AD67-425F-B09A-58D96643F1F4}">
  <sheetPr codeName="Planilha3"/>
  <dimension ref="A1:X1837"/>
  <sheetViews>
    <sheetView topLeftCell="A1811" zoomScale="85" zoomScaleNormal="85" workbookViewId="0">
      <selection activeCell="Q1836" sqref="Q1836:Q1837"/>
    </sheetView>
  </sheetViews>
  <sheetFormatPr defaultRowHeight="12.5" outlineLevelRow="2" x14ac:dyDescent="0.25"/>
  <cols>
    <col min="1" max="2" width="13" bestFit="1" customWidth="1"/>
    <col min="3" max="3" width="8" bestFit="1" customWidth="1"/>
    <col min="4" max="4" width="14" bestFit="1" customWidth="1"/>
    <col min="5" max="5" width="22" bestFit="1" customWidth="1"/>
    <col min="6" max="6" width="13" bestFit="1" customWidth="1"/>
    <col min="7" max="7" width="22" bestFit="1" customWidth="1"/>
    <col min="8" max="8" width="17" bestFit="1" customWidth="1"/>
    <col min="9" max="9" width="52" bestFit="1" customWidth="1"/>
    <col min="10" max="10" width="37" bestFit="1" customWidth="1"/>
    <col min="11" max="11" width="42" bestFit="1" customWidth="1"/>
    <col min="12" max="12" width="11" bestFit="1" customWidth="1"/>
    <col min="13" max="13" width="21" bestFit="1" customWidth="1"/>
    <col min="14" max="14" width="17" bestFit="1" customWidth="1"/>
    <col min="15" max="15" width="12" bestFit="1" customWidth="1"/>
    <col min="16" max="16" width="13" bestFit="1" customWidth="1"/>
    <col min="17" max="17" width="12.26953125" customWidth="1"/>
    <col min="18" max="18" width="17.36328125" customWidth="1"/>
    <col min="19" max="19" width="52.453125" customWidth="1"/>
    <col min="23" max="23" width="12.36328125" bestFit="1" customWidth="1"/>
  </cols>
  <sheetData>
    <row r="1" spans="1:24" ht="25" x14ac:dyDescent="0.25">
      <c r="A1" s="1" t="s">
        <v>2304</v>
      </c>
      <c r="B1" s="1" t="s">
        <v>2305</v>
      </c>
      <c r="C1" s="1" t="s">
        <v>2306</v>
      </c>
      <c r="D1" s="1" t="s">
        <v>2307</v>
      </c>
      <c r="E1" s="1" t="s">
        <v>2308</v>
      </c>
      <c r="F1" s="1" t="s">
        <v>2309</v>
      </c>
      <c r="G1" s="1" t="s">
        <v>2310</v>
      </c>
      <c r="H1" s="1" t="s">
        <v>2311</v>
      </c>
      <c r="I1" s="1" t="s">
        <v>2312</v>
      </c>
      <c r="J1" s="1" t="s">
        <v>2313</v>
      </c>
      <c r="K1" s="1" t="s">
        <v>2314</v>
      </c>
      <c r="L1" s="4" t="s">
        <v>2315</v>
      </c>
      <c r="M1" s="1" t="s">
        <v>2316</v>
      </c>
      <c r="N1" s="1" t="s">
        <v>2317</v>
      </c>
      <c r="O1" s="1" t="s">
        <v>2318</v>
      </c>
      <c r="P1" s="1" t="s">
        <v>2319</v>
      </c>
      <c r="Q1" s="1" t="s">
        <v>2595</v>
      </c>
      <c r="R1" s="1" t="s">
        <v>2596</v>
      </c>
      <c r="S1" s="1" t="s">
        <v>2597</v>
      </c>
      <c r="T1" s="1" t="s">
        <v>2598</v>
      </c>
      <c r="U1" s="1" t="s">
        <v>2599</v>
      </c>
      <c r="V1" s="1" t="s">
        <v>2715</v>
      </c>
      <c r="W1" s="1" t="s">
        <v>2716</v>
      </c>
      <c r="X1" s="1" t="s">
        <v>2717</v>
      </c>
    </row>
    <row r="2" spans="1:24" x14ac:dyDescent="0.25">
      <c r="A2" t="s">
        <v>0</v>
      </c>
      <c r="B2" s="2">
        <v>44565</v>
      </c>
      <c r="C2" s="5" t="s">
        <v>1</v>
      </c>
      <c r="D2" t="s">
        <v>697</v>
      </c>
      <c r="E2" t="s">
        <v>698</v>
      </c>
      <c r="F2" t="s">
        <v>4</v>
      </c>
      <c r="G2" t="s">
        <v>5</v>
      </c>
      <c r="H2" s="3">
        <v>4058.48</v>
      </c>
      <c r="I2" t="s">
        <v>739</v>
      </c>
      <c r="J2" t="s">
        <v>700</v>
      </c>
      <c r="K2" t="s">
        <v>8</v>
      </c>
      <c r="L2" t="s">
        <v>740</v>
      </c>
      <c r="M2" t="s">
        <v>8</v>
      </c>
      <c r="N2" t="s">
        <v>741</v>
      </c>
      <c r="O2" t="s">
        <v>29</v>
      </c>
      <c r="P2" t="s">
        <v>1</v>
      </c>
    </row>
    <row r="3" spans="1:24" x14ac:dyDescent="0.25">
      <c r="A3" t="s">
        <v>0</v>
      </c>
      <c r="B3" s="2">
        <v>44566</v>
      </c>
      <c r="C3" s="5" t="s">
        <v>1</v>
      </c>
      <c r="D3" t="s">
        <v>294</v>
      </c>
      <c r="E3" t="s">
        <v>295</v>
      </c>
      <c r="F3" t="s">
        <v>4</v>
      </c>
      <c r="G3" t="s">
        <v>5</v>
      </c>
      <c r="H3" s="3">
        <v>82.73</v>
      </c>
      <c r="I3" t="s">
        <v>1960</v>
      </c>
      <c r="J3" t="s">
        <v>1961</v>
      </c>
      <c r="K3" t="s">
        <v>8</v>
      </c>
      <c r="L3" t="s">
        <v>1962</v>
      </c>
      <c r="M3" t="s">
        <v>8</v>
      </c>
      <c r="N3" t="s">
        <v>1963</v>
      </c>
      <c r="O3" t="s">
        <v>29</v>
      </c>
      <c r="P3" t="s">
        <v>263</v>
      </c>
    </row>
    <row r="4" spans="1:24" x14ac:dyDescent="0.25">
      <c r="A4" t="s">
        <v>0</v>
      </c>
      <c r="B4" s="2">
        <v>44567</v>
      </c>
      <c r="C4" s="5" t="s">
        <v>1</v>
      </c>
      <c r="D4" t="s">
        <v>697</v>
      </c>
      <c r="E4" t="s">
        <v>698</v>
      </c>
      <c r="F4" t="s">
        <v>4</v>
      </c>
      <c r="G4" t="s">
        <v>5</v>
      </c>
      <c r="H4" s="3">
        <v>4058.48</v>
      </c>
      <c r="I4" t="s">
        <v>742</v>
      </c>
      <c r="J4" t="s">
        <v>700</v>
      </c>
      <c r="K4" t="s">
        <v>8</v>
      </c>
      <c r="L4" t="s">
        <v>743</v>
      </c>
      <c r="M4" t="s">
        <v>8</v>
      </c>
      <c r="N4" t="s">
        <v>744</v>
      </c>
      <c r="O4" t="s">
        <v>29</v>
      </c>
      <c r="P4" t="s">
        <v>1</v>
      </c>
    </row>
    <row r="5" spans="1:24" x14ac:dyDescent="0.25">
      <c r="A5" t="s">
        <v>0</v>
      </c>
      <c r="B5" s="2">
        <v>44567</v>
      </c>
      <c r="C5" s="5" t="s">
        <v>1</v>
      </c>
      <c r="D5" t="s">
        <v>539</v>
      </c>
      <c r="E5" t="s">
        <v>540</v>
      </c>
      <c r="F5" t="s">
        <v>4</v>
      </c>
      <c r="G5" t="s">
        <v>5</v>
      </c>
      <c r="H5" s="3">
        <v>3000</v>
      </c>
      <c r="I5" t="s">
        <v>831</v>
      </c>
      <c r="J5" t="s">
        <v>542</v>
      </c>
      <c r="K5" t="s">
        <v>8</v>
      </c>
      <c r="L5" t="s">
        <v>832</v>
      </c>
      <c r="M5" t="s">
        <v>8</v>
      </c>
      <c r="N5" t="s">
        <v>833</v>
      </c>
      <c r="O5" t="s">
        <v>29</v>
      </c>
      <c r="P5" t="s">
        <v>12</v>
      </c>
    </row>
    <row r="6" spans="1:24" x14ac:dyDescent="0.25">
      <c r="A6" t="s">
        <v>0</v>
      </c>
      <c r="B6" s="2">
        <v>44567</v>
      </c>
      <c r="C6" s="5" t="s">
        <v>1</v>
      </c>
      <c r="D6" t="s">
        <v>1244</v>
      </c>
      <c r="E6" t="s">
        <v>1245</v>
      </c>
      <c r="F6" t="s">
        <v>4</v>
      </c>
      <c r="G6" t="s">
        <v>5</v>
      </c>
      <c r="H6" s="3">
        <v>900</v>
      </c>
      <c r="I6" t="s">
        <v>1246</v>
      </c>
      <c r="J6" t="s">
        <v>1247</v>
      </c>
      <c r="K6" t="s">
        <v>8</v>
      </c>
      <c r="L6" t="s">
        <v>1248</v>
      </c>
      <c r="M6" t="s">
        <v>8</v>
      </c>
      <c r="N6" t="s">
        <v>1249</v>
      </c>
      <c r="O6" t="s">
        <v>29</v>
      </c>
      <c r="P6" t="s">
        <v>1</v>
      </c>
    </row>
    <row r="7" spans="1:24" x14ac:dyDescent="0.25">
      <c r="A7" t="s">
        <v>0</v>
      </c>
      <c r="B7" s="2">
        <v>44567</v>
      </c>
      <c r="C7" s="5" t="s">
        <v>1</v>
      </c>
      <c r="D7" t="s">
        <v>390</v>
      </c>
      <c r="E7" t="s">
        <v>391</v>
      </c>
      <c r="F7" t="s">
        <v>4</v>
      </c>
      <c r="G7" t="s">
        <v>5</v>
      </c>
      <c r="H7" s="3">
        <v>65</v>
      </c>
      <c r="I7" t="s">
        <v>2011</v>
      </c>
      <c r="J7" t="s">
        <v>676</v>
      </c>
      <c r="K7" t="s">
        <v>8</v>
      </c>
      <c r="L7" t="s">
        <v>2012</v>
      </c>
      <c r="M7" t="s">
        <v>8</v>
      </c>
      <c r="N7" t="s">
        <v>2013</v>
      </c>
      <c r="O7" t="s">
        <v>29</v>
      </c>
      <c r="P7" t="s">
        <v>43</v>
      </c>
    </row>
    <row r="8" spans="1:24" x14ac:dyDescent="0.25">
      <c r="A8" t="s">
        <v>0</v>
      </c>
      <c r="B8" s="2">
        <v>44568</v>
      </c>
      <c r="C8" s="5" t="s">
        <v>1</v>
      </c>
      <c r="D8" t="s">
        <v>539</v>
      </c>
      <c r="E8" t="s">
        <v>540</v>
      </c>
      <c r="F8" t="s">
        <v>4</v>
      </c>
      <c r="G8" t="s">
        <v>5</v>
      </c>
      <c r="H8" s="3">
        <v>7006.45</v>
      </c>
      <c r="I8" t="s">
        <v>541</v>
      </c>
      <c r="J8" t="s">
        <v>542</v>
      </c>
      <c r="K8" t="s">
        <v>8</v>
      </c>
      <c r="L8" t="s">
        <v>582</v>
      </c>
      <c r="M8" t="s">
        <v>8</v>
      </c>
      <c r="N8" t="s">
        <v>583</v>
      </c>
      <c r="O8" t="s">
        <v>29</v>
      </c>
      <c r="P8" t="s">
        <v>12</v>
      </c>
    </row>
    <row r="9" spans="1:24" x14ac:dyDescent="0.25">
      <c r="A9" t="s">
        <v>0</v>
      </c>
      <c r="B9" s="2">
        <v>44571</v>
      </c>
      <c r="C9" s="5" t="s">
        <v>1</v>
      </c>
      <c r="D9" t="s">
        <v>1517</v>
      </c>
      <c r="E9" t="s">
        <v>1518</v>
      </c>
      <c r="F9" t="s">
        <v>4</v>
      </c>
      <c r="G9" t="s">
        <v>5</v>
      </c>
      <c r="H9" s="3">
        <v>438.9</v>
      </c>
      <c r="I9" t="s">
        <v>1519</v>
      </c>
      <c r="J9" t="s">
        <v>1520</v>
      </c>
      <c r="K9" t="s">
        <v>8</v>
      </c>
      <c r="L9" t="s">
        <v>1521</v>
      </c>
      <c r="M9" t="s">
        <v>8</v>
      </c>
      <c r="N9" t="s">
        <v>1522</v>
      </c>
      <c r="O9" t="s">
        <v>29</v>
      </c>
      <c r="P9" t="s">
        <v>1</v>
      </c>
    </row>
    <row r="10" spans="1:24" x14ac:dyDescent="0.25">
      <c r="A10" t="s">
        <v>0</v>
      </c>
      <c r="B10" s="2">
        <v>44572</v>
      </c>
      <c r="C10" s="5" t="s">
        <v>1</v>
      </c>
      <c r="D10" t="s">
        <v>1331</v>
      </c>
      <c r="E10" t="s">
        <v>1332</v>
      </c>
      <c r="F10" t="s">
        <v>4</v>
      </c>
      <c r="G10" t="s">
        <v>5</v>
      </c>
      <c r="H10" s="3">
        <v>300.77999999999997</v>
      </c>
      <c r="I10" t="s">
        <v>1697</v>
      </c>
      <c r="J10" t="s">
        <v>1334</v>
      </c>
      <c r="K10" t="s">
        <v>8</v>
      </c>
      <c r="L10" t="s">
        <v>1698</v>
      </c>
      <c r="M10" t="s">
        <v>8</v>
      </c>
      <c r="N10" t="s">
        <v>1699</v>
      </c>
      <c r="O10" t="s">
        <v>16</v>
      </c>
      <c r="P10" t="s">
        <v>43</v>
      </c>
    </row>
    <row r="11" spans="1:24" x14ac:dyDescent="0.25">
      <c r="A11" t="s">
        <v>0</v>
      </c>
      <c r="B11" s="2">
        <v>44572</v>
      </c>
      <c r="C11" s="5" t="s">
        <v>1</v>
      </c>
      <c r="D11" t="s">
        <v>1331</v>
      </c>
      <c r="E11" t="s">
        <v>1332</v>
      </c>
      <c r="F11" t="s">
        <v>4</v>
      </c>
      <c r="G11" t="s">
        <v>5</v>
      </c>
      <c r="H11" s="3">
        <v>84.42</v>
      </c>
      <c r="I11" t="s">
        <v>1957</v>
      </c>
      <c r="J11" t="s">
        <v>1334</v>
      </c>
      <c r="K11" t="s">
        <v>8</v>
      </c>
      <c r="L11" t="s">
        <v>1958</v>
      </c>
      <c r="M11" t="s">
        <v>8</v>
      </c>
      <c r="N11" t="s">
        <v>1959</v>
      </c>
      <c r="O11" t="s">
        <v>16</v>
      </c>
      <c r="P11" t="s">
        <v>72</v>
      </c>
    </row>
    <row r="12" spans="1:24" x14ac:dyDescent="0.25">
      <c r="A12" t="s">
        <v>0</v>
      </c>
      <c r="B12" s="2">
        <v>44573</v>
      </c>
      <c r="C12" s="5" t="s">
        <v>1</v>
      </c>
      <c r="D12" t="s">
        <v>384</v>
      </c>
      <c r="E12" t="s">
        <v>385</v>
      </c>
      <c r="F12" t="s">
        <v>4</v>
      </c>
      <c r="G12" t="s">
        <v>5</v>
      </c>
      <c r="H12" s="3">
        <v>5292.73</v>
      </c>
      <c r="I12" t="s">
        <v>679</v>
      </c>
      <c r="J12" t="s">
        <v>680</v>
      </c>
      <c r="K12" t="s">
        <v>8</v>
      </c>
      <c r="L12" t="s">
        <v>8</v>
      </c>
      <c r="M12" t="s">
        <v>8</v>
      </c>
      <c r="N12" t="s">
        <v>681</v>
      </c>
      <c r="O12" t="s">
        <v>389</v>
      </c>
      <c r="P12" t="s">
        <v>17</v>
      </c>
    </row>
    <row r="13" spans="1:24" x14ac:dyDescent="0.25">
      <c r="A13" t="s">
        <v>0</v>
      </c>
      <c r="B13" s="2">
        <v>44573</v>
      </c>
      <c r="C13" s="5" t="s">
        <v>1</v>
      </c>
      <c r="D13" t="s">
        <v>384</v>
      </c>
      <c r="E13" t="s">
        <v>385</v>
      </c>
      <c r="F13" t="s">
        <v>4</v>
      </c>
      <c r="G13" t="s">
        <v>5</v>
      </c>
      <c r="H13" s="3">
        <v>601.66999999999996</v>
      </c>
      <c r="I13" t="s">
        <v>871</v>
      </c>
      <c r="J13" t="s">
        <v>680</v>
      </c>
      <c r="K13" t="s">
        <v>8</v>
      </c>
      <c r="L13" t="s">
        <v>8</v>
      </c>
      <c r="M13" t="s">
        <v>8</v>
      </c>
      <c r="N13" t="s">
        <v>681</v>
      </c>
      <c r="O13" t="s">
        <v>389</v>
      </c>
      <c r="P13" t="s">
        <v>12</v>
      </c>
    </row>
    <row r="14" spans="1:24" x14ac:dyDescent="0.25">
      <c r="A14" t="s">
        <v>0</v>
      </c>
      <c r="B14" s="2">
        <v>44573</v>
      </c>
      <c r="C14" s="5" t="s">
        <v>1</v>
      </c>
      <c r="D14" t="s">
        <v>384</v>
      </c>
      <c r="E14" t="s">
        <v>385</v>
      </c>
      <c r="F14" t="s">
        <v>4</v>
      </c>
      <c r="G14" t="s">
        <v>5</v>
      </c>
      <c r="H14" s="3">
        <v>347.43</v>
      </c>
      <c r="I14" t="s">
        <v>871</v>
      </c>
      <c r="J14" t="s">
        <v>680</v>
      </c>
      <c r="K14" t="s">
        <v>8</v>
      </c>
      <c r="L14" t="s">
        <v>8</v>
      </c>
      <c r="M14" t="s">
        <v>8</v>
      </c>
      <c r="N14" t="s">
        <v>681</v>
      </c>
      <c r="O14" t="s">
        <v>389</v>
      </c>
      <c r="P14" t="s">
        <v>1</v>
      </c>
    </row>
    <row r="15" spans="1:24" x14ac:dyDescent="0.25">
      <c r="A15" t="s">
        <v>0</v>
      </c>
      <c r="B15" s="2">
        <v>44573</v>
      </c>
      <c r="C15" s="5" t="s">
        <v>1</v>
      </c>
      <c r="D15" t="s">
        <v>885</v>
      </c>
      <c r="E15" t="s">
        <v>886</v>
      </c>
      <c r="F15" t="s">
        <v>4</v>
      </c>
      <c r="G15" t="s">
        <v>5</v>
      </c>
      <c r="H15" s="3">
        <v>99.6</v>
      </c>
      <c r="I15" t="s">
        <v>942</v>
      </c>
      <c r="J15" t="s">
        <v>943</v>
      </c>
      <c r="K15" t="s">
        <v>8</v>
      </c>
      <c r="L15" t="s">
        <v>8</v>
      </c>
      <c r="M15" t="s">
        <v>8</v>
      </c>
      <c r="N15" t="s">
        <v>1941</v>
      </c>
      <c r="O15" t="s">
        <v>945</v>
      </c>
      <c r="P15" t="s">
        <v>1</v>
      </c>
    </row>
    <row r="16" spans="1:24" x14ac:dyDescent="0.25">
      <c r="A16" t="s">
        <v>0</v>
      </c>
      <c r="B16" s="2">
        <v>44573</v>
      </c>
      <c r="C16" s="5" t="s">
        <v>1</v>
      </c>
      <c r="D16" t="s">
        <v>1373</v>
      </c>
      <c r="E16" t="s">
        <v>1374</v>
      </c>
      <c r="F16" t="s">
        <v>4</v>
      </c>
      <c r="G16" t="s">
        <v>5</v>
      </c>
      <c r="H16" s="3">
        <v>69.989999999999995</v>
      </c>
      <c r="I16" t="s">
        <v>1987</v>
      </c>
      <c r="J16" t="s">
        <v>1695</v>
      </c>
      <c r="K16" t="s">
        <v>8</v>
      </c>
      <c r="L16" t="s">
        <v>8</v>
      </c>
      <c r="M16" t="s">
        <v>8</v>
      </c>
      <c r="N16" t="s">
        <v>1988</v>
      </c>
      <c r="O16" t="s">
        <v>389</v>
      </c>
      <c r="P16" t="s">
        <v>1</v>
      </c>
    </row>
    <row r="17" spans="1:16" x14ac:dyDescent="0.25">
      <c r="A17" t="s">
        <v>0</v>
      </c>
      <c r="B17" s="2">
        <v>44573</v>
      </c>
      <c r="C17" s="5" t="s">
        <v>1</v>
      </c>
      <c r="D17" t="s">
        <v>1201</v>
      </c>
      <c r="E17" t="s">
        <v>1202</v>
      </c>
      <c r="F17" t="s">
        <v>4</v>
      </c>
      <c r="G17" t="s">
        <v>5</v>
      </c>
      <c r="H17" s="3">
        <v>67.5</v>
      </c>
      <c r="I17" t="s">
        <v>1998</v>
      </c>
      <c r="J17" t="s">
        <v>680</v>
      </c>
      <c r="K17" t="s">
        <v>8</v>
      </c>
      <c r="L17" t="s">
        <v>8</v>
      </c>
      <c r="M17" t="s">
        <v>8</v>
      </c>
      <c r="N17" t="s">
        <v>681</v>
      </c>
      <c r="O17" t="s">
        <v>389</v>
      </c>
      <c r="P17" t="s">
        <v>43</v>
      </c>
    </row>
    <row r="18" spans="1:16" x14ac:dyDescent="0.25">
      <c r="A18" t="s">
        <v>0</v>
      </c>
      <c r="B18" s="2">
        <v>44574</v>
      </c>
      <c r="C18" s="5" t="s">
        <v>1</v>
      </c>
      <c r="D18" t="s">
        <v>410</v>
      </c>
      <c r="E18" t="s">
        <v>411</v>
      </c>
      <c r="F18" t="s">
        <v>4</v>
      </c>
      <c r="G18" t="s">
        <v>5</v>
      </c>
      <c r="H18" s="3">
        <v>10193.99</v>
      </c>
      <c r="I18" t="s">
        <v>412</v>
      </c>
      <c r="J18" t="s">
        <v>413</v>
      </c>
      <c r="K18" t="s">
        <v>8</v>
      </c>
      <c r="L18" t="s">
        <v>414</v>
      </c>
      <c r="M18" t="s">
        <v>8</v>
      </c>
      <c r="N18" t="s">
        <v>415</v>
      </c>
      <c r="O18" t="s">
        <v>16</v>
      </c>
      <c r="P18" t="s">
        <v>1</v>
      </c>
    </row>
    <row r="19" spans="1:16" x14ac:dyDescent="0.25">
      <c r="A19" t="s">
        <v>0</v>
      </c>
      <c r="B19" s="2">
        <v>44574</v>
      </c>
      <c r="C19" s="5" t="s">
        <v>1</v>
      </c>
      <c r="D19" t="s">
        <v>2</v>
      </c>
      <c r="E19" t="s">
        <v>3</v>
      </c>
      <c r="F19" t="s">
        <v>4</v>
      </c>
      <c r="G19" t="s">
        <v>5</v>
      </c>
      <c r="H19" s="3">
        <v>8719.83</v>
      </c>
      <c r="I19" t="s">
        <v>521</v>
      </c>
      <c r="J19" t="s">
        <v>460</v>
      </c>
      <c r="K19" t="s">
        <v>8</v>
      </c>
      <c r="L19" t="s">
        <v>522</v>
      </c>
      <c r="M19" t="s">
        <v>8</v>
      </c>
      <c r="N19" t="s">
        <v>523</v>
      </c>
      <c r="O19" t="s">
        <v>524</v>
      </c>
      <c r="P19" t="s">
        <v>1</v>
      </c>
    </row>
    <row r="20" spans="1:16" x14ac:dyDescent="0.25">
      <c r="A20" t="s">
        <v>0</v>
      </c>
      <c r="B20" s="2">
        <v>44574</v>
      </c>
      <c r="C20" s="5" t="s">
        <v>1</v>
      </c>
      <c r="D20" t="s">
        <v>47</v>
      </c>
      <c r="E20" t="s">
        <v>48</v>
      </c>
      <c r="F20" t="s">
        <v>4</v>
      </c>
      <c r="G20" t="s">
        <v>5</v>
      </c>
      <c r="H20" s="3">
        <v>1784.7</v>
      </c>
      <c r="I20" t="s">
        <v>1010</v>
      </c>
      <c r="J20" t="s">
        <v>1011</v>
      </c>
      <c r="K20" t="s">
        <v>8</v>
      </c>
      <c r="L20" t="s">
        <v>1012</v>
      </c>
      <c r="M20" t="s">
        <v>8</v>
      </c>
      <c r="N20" t="s">
        <v>1013</v>
      </c>
      <c r="O20" t="s">
        <v>16</v>
      </c>
      <c r="P20" t="s">
        <v>1</v>
      </c>
    </row>
    <row r="21" spans="1:16" x14ac:dyDescent="0.25">
      <c r="A21" t="s">
        <v>0</v>
      </c>
      <c r="B21" s="2">
        <v>44574</v>
      </c>
      <c r="C21" s="5" t="s">
        <v>1</v>
      </c>
      <c r="D21" t="s">
        <v>384</v>
      </c>
      <c r="E21" t="s">
        <v>385</v>
      </c>
      <c r="F21" t="s">
        <v>4</v>
      </c>
      <c r="G21" t="s">
        <v>5</v>
      </c>
      <c r="H21" s="3">
        <v>385</v>
      </c>
      <c r="I21" t="s">
        <v>1619</v>
      </c>
      <c r="J21" t="s">
        <v>1620</v>
      </c>
      <c r="K21" t="s">
        <v>8</v>
      </c>
      <c r="L21" t="s">
        <v>8</v>
      </c>
      <c r="M21" t="s">
        <v>8</v>
      </c>
      <c r="N21" t="s">
        <v>1621</v>
      </c>
      <c r="O21" t="s">
        <v>389</v>
      </c>
      <c r="P21" t="s">
        <v>12</v>
      </c>
    </row>
    <row r="22" spans="1:16" x14ac:dyDescent="0.25">
      <c r="A22" t="s">
        <v>0</v>
      </c>
      <c r="B22" s="2">
        <v>44574</v>
      </c>
      <c r="C22" s="5" t="s">
        <v>1</v>
      </c>
      <c r="D22" t="s">
        <v>373</v>
      </c>
      <c r="E22" t="s">
        <v>374</v>
      </c>
      <c r="F22" t="s">
        <v>4</v>
      </c>
      <c r="G22" t="s">
        <v>5</v>
      </c>
      <c r="H22" s="3">
        <v>255</v>
      </c>
      <c r="I22" t="s">
        <v>1513</v>
      </c>
      <c r="J22" t="s">
        <v>1293</v>
      </c>
      <c r="K22" t="s">
        <v>8</v>
      </c>
      <c r="L22" t="s">
        <v>1729</v>
      </c>
      <c r="M22" t="s">
        <v>8</v>
      </c>
      <c r="N22" t="s">
        <v>1730</v>
      </c>
      <c r="O22" t="s">
        <v>16</v>
      </c>
      <c r="P22" t="s">
        <v>1</v>
      </c>
    </row>
    <row r="23" spans="1:16" x14ac:dyDescent="0.25">
      <c r="A23" t="s">
        <v>0</v>
      </c>
      <c r="B23" s="2">
        <v>44574</v>
      </c>
      <c r="C23" s="5" t="s">
        <v>1</v>
      </c>
      <c r="D23" t="s">
        <v>384</v>
      </c>
      <c r="E23" t="s">
        <v>385</v>
      </c>
      <c r="F23" t="s">
        <v>4</v>
      </c>
      <c r="G23" t="s">
        <v>5</v>
      </c>
      <c r="H23" s="3">
        <v>156.69</v>
      </c>
      <c r="I23" t="s">
        <v>1619</v>
      </c>
      <c r="J23" t="s">
        <v>1620</v>
      </c>
      <c r="K23" t="s">
        <v>8</v>
      </c>
      <c r="L23" t="s">
        <v>8</v>
      </c>
      <c r="M23" t="s">
        <v>8</v>
      </c>
      <c r="N23" t="s">
        <v>1621</v>
      </c>
      <c r="O23" t="s">
        <v>389</v>
      </c>
      <c r="P23" t="s">
        <v>1</v>
      </c>
    </row>
    <row r="24" spans="1:16" x14ac:dyDescent="0.25">
      <c r="A24" t="s">
        <v>0</v>
      </c>
      <c r="B24" s="2">
        <v>44574</v>
      </c>
      <c r="C24" s="5" t="s">
        <v>1</v>
      </c>
      <c r="D24" t="s">
        <v>1201</v>
      </c>
      <c r="E24" t="s">
        <v>1202</v>
      </c>
      <c r="F24" t="s">
        <v>4</v>
      </c>
      <c r="G24" t="s">
        <v>5</v>
      </c>
      <c r="H24" s="3">
        <v>64.8</v>
      </c>
      <c r="I24" t="s">
        <v>2016</v>
      </c>
      <c r="J24" t="s">
        <v>1620</v>
      </c>
      <c r="K24" t="s">
        <v>8</v>
      </c>
      <c r="L24" t="s">
        <v>8</v>
      </c>
      <c r="M24" t="s">
        <v>8</v>
      </c>
      <c r="N24" t="s">
        <v>1621</v>
      </c>
      <c r="O24" t="s">
        <v>389</v>
      </c>
      <c r="P24" t="s">
        <v>17</v>
      </c>
    </row>
    <row r="25" spans="1:16" x14ac:dyDescent="0.25">
      <c r="A25" t="s">
        <v>0</v>
      </c>
      <c r="B25" s="2">
        <v>44578</v>
      </c>
      <c r="C25" s="5" t="s">
        <v>1</v>
      </c>
      <c r="D25" t="s">
        <v>1207</v>
      </c>
      <c r="E25" t="s">
        <v>1208</v>
      </c>
      <c r="F25" t="s">
        <v>4</v>
      </c>
      <c r="G25" t="s">
        <v>5</v>
      </c>
      <c r="H25" s="3">
        <v>924.62</v>
      </c>
      <c r="I25" t="s">
        <v>1236</v>
      </c>
      <c r="J25" t="s">
        <v>153</v>
      </c>
      <c r="K25" t="s">
        <v>8</v>
      </c>
      <c r="L25" t="s">
        <v>8</v>
      </c>
      <c r="M25" t="s">
        <v>8</v>
      </c>
      <c r="N25" t="s">
        <v>1237</v>
      </c>
      <c r="O25" t="s">
        <v>1200</v>
      </c>
      <c r="P25" t="s">
        <v>198</v>
      </c>
    </row>
    <row r="26" spans="1:16" x14ac:dyDescent="0.25">
      <c r="A26" t="s">
        <v>0</v>
      </c>
      <c r="B26" s="2">
        <v>44578</v>
      </c>
      <c r="C26" s="5" t="s">
        <v>1</v>
      </c>
      <c r="D26" t="s">
        <v>152</v>
      </c>
      <c r="E26" t="s">
        <v>153</v>
      </c>
      <c r="F26" t="s">
        <v>4</v>
      </c>
      <c r="G26" t="s">
        <v>5</v>
      </c>
      <c r="H26" s="3">
        <v>577.39</v>
      </c>
      <c r="I26" t="s">
        <v>1423</v>
      </c>
      <c r="J26" t="s">
        <v>153</v>
      </c>
      <c r="K26" t="s">
        <v>8</v>
      </c>
      <c r="L26" t="s">
        <v>8</v>
      </c>
      <c r="M26" t="s">
        <v>8</v>
      </c>
      <c r="N26" t="s">
        <v>1237</v>
      </c>
      <c r="O26" t="s">
        <v>1200</v>
      </c>
      <c r="P26" t="s">
        <v>370</v>
      </c>
    </row>
    <row r="27" spans="1:16" x14ac:dyDescent="0.25">
      <c r="A27" t="s">
        <v>0</v>
      </c>
      <c r="B27" s="2">
        <v>44578</v>
      </c>
      <c r="C27" s="5" t="s">
        <v>1</v>
      </c>
      <c r="D27" t="s">
        <v>47</v>
      </c>
      <c r="E27" t="s">
        <v>48</v>
      </c>
      <c r="F27" t="s">
        <v>4</v>
      </c>
      <c r="G27" t="s">
        <v>5</v>
      </c>
      <c r="H27" s="3">
        <v>-300411.09000000003</v>
      </c>
      <c r="I27" t="s">
        <v>2286</v>
      </c>
      <c r="J27" t="s">
        <v>2287</v>
      </c>
      <c r="K27" t="s">
        <v>8</v>
      </c>
      <c r="L27" t="s">
        <v>8</v>
      </c>
      <c r="M27" t="s">
        <v>8</v>
      </c>
      <c r="N27" t="s">
        <v>2288</v>
      </c>
      <c r="O27" t="s">
        <v>121</v>
      </c>
      <c r="P27" t="s">
        <v>1</v>
      </c>
    </row>
    <row r="28" spans="1:16" x14ac:dyDescent="0.25">
      <c r="A28" t="s">
        <v>0</v>
      </c>
      <c r="B28" s="2">
        <v>44579</v>
      </c>
      <c r="C28" t="s">
        <v>1</v>
      </c>
      <c r="D28" t="s">
        <v>2</v>
      </c>
      <c r="E28" t="s">
        <v>3</v>
      </c>
      <c r="F28" t="s">
        <v>4</v>
      </c>
      <c r="G28" t="s">
        <v>5</v>
      </c>
      <c r="H28" s="3">
        <v>322580.15999999997</v>
      </c>
      <c r="I28" t="s">
        <v>6</v>
      </c>
      <c r="J28" t="s">
        <v>7</v>
      </c>
      <c r="K28" t="s">
        <v>8</v>
      </c>
      <c r="L28" t="s">
        <v>9</v>
      </c>
      <c r="M28" t="s">
        <v>8</v>
      </c>
      <c r="N28" t="s">
        <v>10</v>
      </c>
      <c r="O28" t="s">
        <v>11</v>
      </c>
      <c r="P28" t="s">
        <v>1</v>
      </c>
    </row>
    <row r="29" spans="1:16" x14ac:dyDescent="0.25">
      <c r="A29" t="s">
        <v>0</v>
      </c>
      <c r="B29" s="2">
        <v>44579</v>
      </c>
      <c r="C29" s="5" t="s">
        <v>1</v>
      </c>
      <c r="D29" t="s">
        <v>2</v>
      </c>
      <c r="E29" t="s">
        <v>3</v>
      </c>
      <c r="F29" t="s">
        <v>4</v>
      </c>
      <c r="G29" t="s">
        <v>5</v>
      </c>
      <c r="H29" s="3">
        <v>5424.48</v>
      </c>
      <c r="I29" t="s">
        <v>521</v>
      </c>
      <c r="J29" t="s">
        <v>594</v>
      </c>
      <c r="K29" t="s">
        <v>8</v>
      </c>
      <c r="L29" t="s">
        <v>8</v>
      </c>
      <c r="M29" t="s">
        <v>8</v>
      </c>
      <c r="N29" t="s">
        <v>658</v>
      </c>
      <c r="O29" t="s">
        <v>11</v>
      </c>
      <c r="P29" t="s">
        <v>1</v>
      </c>
    </row>
    <row r="30" spans="1:16" x14ac:dyDescent="0.25">
      <c r="A30" t="s">
        <v>0</v>
      </c>
      <c r="B30" s="2">
        <v>44580</v>
      </c>
      <c r="C30" s="5" t="s">
        <v>1</v>
      </c>
      <c r="D30" t="s">
        <v>2</v>
      </c>
      <c r="E30" t="s">
        <v>3</v>
      </c>
      <c r="F30" t="s">
        <v>4</v>
      </c>
      <c r="G30" t="s">
        <v>5</v>
      </c>
      <c r="H30" s="3">
        <v>9380.1299999999992</v>
      </c>
      <c r="I30" t="s">
        <v>486</v>
      </c>
      <c r="J30" t="s">
        <v>487</v>
      </c>
      <c r="K30" t="s">
        <v>8</v>
      </c>
      <c r="L30" t="s">
        <v>488</v>
      </c>
      <c r="M30" t="s">
        <v>8</v>
      </c>
      <c r="N30" t="s">
        <v>489</v>
      </c>
      <c r="O30" t="s">
        <v>16</v>
      </c>
      <c r="P30" t="s">
        <v>1</v>
      </c>
    </row>
    <row r="31" spans="1:16" x14ac:dyDescent="0.25">
      <c r="A31" t="s">
        <v>0</v>
      </c>
      <c r="B31" s="2">
        <v>44580</v>
      </c>
      <c r="C31" s="5" t="s">
        <v>1</v>
      </c>
      <c r="D31" t="s">
        <v>384</v>
      </c>
      <c r="E31" t="s">
        <v>385</v>
      </c>
      <c r="F31" t="s">
        <v>4</v>
      </c>
      <c r="G31" t="s">
        <v>5</v>
      </c>
      <c r="H31" s="3">
        <v>2747.72</v>
      </c>
      <c r="I31" t="s">
        <v>856</v>
      </c>
      <c r="J31" t="s">
        <v>387</v>
      </c>
      <c r="K31" t="s">
        <v>8</v>
      </c>
      <c r="L31" t="s">
        <v>8</v>
      </c>
      <c r="M31" t="s">
        <v>8</v>
      </c>
      <c r="N31" t="s">
        <v>857</v>
      </c>
      <c r="O31" t="s">
        <v>389</v>
      </c>
      <c r="P31" t="s">
        <v>12</v>
      </c>
    </row>
    <row r="32" spans="1:16" x14ac:dyDescent="0.25">
      <c r="A32" t="s">
        <v>0</v>
      </c>
      <c r="B32" s="2">
        <v>44580</v>
      </c>
      <c r="C32" s="5" t="s">
        <v>1</v>
      </c>
      <c r="D32" t="s">
        <v>1201</v>
      </c>
      <c r="E32" t="s">
        <v>1202</v>
      </c>
      <c r="F32" t="s">
        <v>4</v>
      </c>
      <c r="G32" t="s">
        <v>5</v>
      </c>
      <c r="H32" s="3">
        <v>1008</v>
      </c>
      <c r="I32" t="s">
        <v>1212</v>
      </c>
      <c r="J32" t="s">
        <v>1204</v>
      </c>
      <c r="K32" t="s">
        <v>8</v>
      </c>
      <c r="L32" t="s">
        <v>8</v>
      </c>
      <c r="M32" t="s">
        <v>8</v>
      </c>
      <c r="N32" t="s">
        <v>1213</v>
      </c>
      <c r="O32" t="s">
        <v>389</v>
      </c>
      <c r="P32" t="s">
        <v>1</v>
      </c>
    </row>
    <row r="33" spans="1:16" x14ac:dyDescent="0.25">
      <c r="A33" t="s">
        <v>0</v>
      </c>
      <c r="B33" s="2">
        <v>44580</v>
      </c>
      <c r="C33" s="5" t="s">
        <v>1</v>
      </c>
      <c r="D33" t="s">
        <v>384</v>
      </c>
      <c r="E33" t="s">
        <v>385</v>
      </c>
      <c r="F33" t="s">
        <v>4</v>
      </c>
      <c r="G33" t="s">
        <v>5</v>
      </c>
      <c r="H33" s="3">
        <v>871.02</v>
      </c>
      <c r="I33" t="s">
        <v>871</v>
      </c>
      <c r="J33" t="s">
        <v>912</v>
      </c>
      <c r="K33" t="s">
        <v>8</v>
      </c>
      <c r="L33" t="s">
        <v>8</v>
      </c>
      <c r="M33" t="s">
        <v>8</v>
      </c>
      <c r="N33" t="s">
        <v>1285</v>
      </c>
      <c r="O33" t="s">
        <v>389</v>
      </c>
      <c r="P33" t="s">
        <v>1</v>
      </c>
    </row>
    <row r="34" spans="1:16" x14ac:dyDescent="0.25">
      <c r="A34" t="s">
        <v>0</v>
      </c>
      <c r="B34" s="2">
        <v>44580</v>
      </c>
      <c r="C34" s="5" t="s">
        <v>1</v>
      </c>
      <c r="D34" t="s">
        <v>1201</v>
      </c>
      <c r="E34" t="s">
        <v>1202</v>
      </c>
      <c r="F34" t="s">
        <v>4</v>
      </c>
      <c r="G34" t="s">
        <v>5</v>
      </c>
      <c r="H34" s="3">
        <v>388.8</v>
      </c>
      <c r="I34" t="s">
        <v>1618</v>
      </c>
      <c r="J34" t="s">
        <v>912</v>
      </c>
      <c r="K34" t="s">
        <v>8</v>
      </c>
      <c r="L34" t="s">
        <v>8</v>
      </c>
      <c r="M34" t="s">
        <v>8</v>
      </c>
      <c r="N34" t="s">
        <v>1285</v>
      </c>
      <c r="O34" t="s">
        <v>389</v>
      </c>
      <c r="P34" t="s">
        <v>77</v>
      </c>
    </row>
    <row r="35" spans="1:16" x14ac:dyDescent="0.25">
      <c r="A35" t="s">
        <v>0</v>
      </c>
      <c r="B35" s="2">
        <v>44580</v>
      </c>
      <c r="C35" s="5" t="s">
        <v>1</v>
      </c>
      <c r="D35" t="s">
        <v>384</v>
      </c>
      <c r="E35" t="s">
        <v>385</v>
      </c>
      <c r="F35" t="s">
        <v>4</v>
      </c>
      <c r="G35" t="s">
        <v>5</v>
      </c>
      <c r="H35" s="3">
        <v>326.86</v>
      </c>
      <c r="I35" t="s">
        <v>871</v>
      </c>
      <c r="J35" t="s">
        <v>1104</v>
      </c>
      <c r="K35" t="s">
        <v>8</v>
      </c>
      <c r="L35" t="s">
        <v>8</v>
      </c>
      <c r="M35" t="s">
        <v>8</v>
      </c>
      <c r="N35" t="s">
        <v>1657</v>
      </c>
      <c r="O35" t="s">
        <v>389</v>
      </c>
      <c r="P35" t="s">
        <v>1</v>
      </c>
    </row>
    <row r="36" spans="1:16" x14ac:dyDescent="0.25">
      <c r="A36" t="s">
        <v>0</v>
      </c>
      <c r="B36" s="2">
        <v>44580</v>
      </c>
      <c r="C36" s="5" t="s">
        <v>1</v>
      </c>
      <c r="D36" t="s">
        <v>384</v>
      </c>
      <c r="E36" t="s">
        <v>385</v>
      </c>
      <c r="F36" t="s">
        <v>4</v>
      </c>
      <c r="G36" t="s">
        <v>5</v>
      </c>
      <c r="H36" s="3">
        <v>257.61</v>
      </c>
      <c r="I36" t="s">
        <v>871</v>
      </c>
      <c r="J36" t="s">
        <v>1417</v>
      </c>
      <c r="K36" t="s">
        <v>8</v>
      </c>
      <c r="L36" t="s">
        <v>8</v>
      </c>
      <c r="M36" t="s">
        <v>8</v>
      </c>
      <c r="N36" t="s">
        <v>1728</v>
      </c>
      <c r="O36" t="s">
        <v>389</v>
      </c>
      <c r="P36" t="s">
        <v>1</v>
      </c>
    </row>
    <row r="37" spans="1:16" x14ac:dyDescent="0.25">
      <c r="A37" t="s">
        <v>0</v>
      </c>
      <c r="B37" s="2">
        <v>44580</v>
      </c>
      <c r="C37" s="5" t="s">
        <v>1</v>
      </c>
      <c r="D37" t="s">
        <v>1201</v>
      </c>
      <c r="E37" t="s">
        <v>1202</v>
      </c>
      <c r="F37" t="s">
        <v>4</v>
      </c>
      <c r="G37" t="s">
        <v>5</v>
      </c>
      <c r="H37" s="3">
        <v>252</v>
      </c>
      <c r="I37" t="s">
        <v>1732</v>
      </c>
      <c r="J37" t="s">
        <v>1490</v>
      </c>
      <c r="K37" t="s">
        <v>8</v>
      </c>
      <c r="L37" t="s">
        <v>8</v>
      </c>
      <c r="M37" t="s">
        <v>8</v>
      </c>
      <c r="N37" t="s">
        <v>1733</v>
      </c>
      <c r="O37" t="s">
        <v>389</v>
      </c>
      <c r="P37" t="s">
        <v>1</v>
      </c>
    </row>
    <row r="38" spans="1:16" x14ac:dyDescent="0.25">
      <c r="A38" t="s">
        <v>0</v>
      </c>
      <c r="B38" s="2">
        <v>44580</v>
      </c>
      <c r="C38" s="5" t="s">
        <v>1</v>
      </c>
      <c r="D38" t="s">
        <v>384</v>
      </c>
      <c r="E38" t="s">
        <v>385</v>
      </c>
      <c r="F38" t="s">
        <v>4</v>
      </c>
      <c r="G38" t="s">
        <v>5</v>
      </c>
      <c r="H38" s="3">
        <v>250</v>
      </c>
      <c r="I38" t="s">
        <v>1734</v>
      </c>
      <c r="J38" t="s">
        <v>912</v>
      </c>
      <c r="K38" t="s">
        <v>8</v>
      </c>
      <c r="L38" t="s">
        <v>8</v>
      </c>
      <c r="M38" t="s">
        <v>8</v>
      </c>
      <c r="N38" t="s">
        <v>1285</v>
      </c>
      <c r="O38" t="s">
        <v>389</v>
      </c>
      <c r="P38" t="s">
        <v>17</v>
      </c>
    </row>
    <row r="39" spans="1:16" x14ac:dyDescent="0.25">
      <c r="A39" t="s">
        <v>0</v>
      </c>
      <c r="B39" s="2">
        <v>44580</v>
      </c>
      <c r="C39" s="5" t="s">
        <v>1</v>
      </c>
      <c r="D39" t="s">
        <v>384</v>
      </c>
      <c r="E39" t="s">
        <v>385</v>
      </c>
      <c r="F39" t="s">
        <v>4</v>
      </c>
      <c r="G39" t="s">
        <v>5</v>
      </c>
      <c r="H39" s="3">
        <v>230</v>
      </c>
      <c r="I39" t="s">
        <v>1758</v>
      </c>
      <c r="J39" t="s">
        <v>1417</v>
      </c>
      <c r="K39" t="s">
        <v>8</v>
      </c>
      <c r="L39" t="s">
        <v>8</v>
      </c>
      <c r="M39" t="s">
        <v>8</v>
      </c>
      <c r="N39" t="s">
        <v>1728</v>
      </c>
      <c r="O39" t="s">
        <v>389</v>
      </c>
      <c r="P39" t="s">
        <v>17</v>
      </c>
    </row>
    <row r="40" spans="1:16" x14ac:dyDescent="0.25">
      <c r="A40" t="s">
        <v>0</v>
      </c>
      <c r="B40" s="2">
        <v>44580</v>
      </c>
      <c r="C40" s="5" t="s">
        <v>1</v>
      </c>
      <c r="D40" t="s">
        <v>384</v>
      </c>
      <c r="E40" t="s">
        <v>385</v>
      </c>
      <c r="F40" t="s">
        <v>4</v>
      </c>
      <c r="G40" t="s">
        <v>5</v>
      </c>
      <c r="H40" s="3">
        <v>145</v>
      </c>
      <c r="I40" t="s">
        <v>1857</v>
      </c>
      <c r="J40" t="s">
        <v>1417</v>
      </c>
      <c r="K40" t="s">
        <v>8</v>
      </c>
      <c r="L40" t="s">
        <v>8</v>
      </c>
      <c r="M40" t="s">
        <v>8</v>
      </c>
      <c r="N40" t="s">
        <v>1728</v>
      </c>
      <c r="O40" t="s">
        <v>389</v>
      </c>
      <c r="P40" t="s">
        <v>12</v>
      </c>
    </row>
    <row r="41" spans="1:16" x14ac:dyDescent="0.25">
      <c r="A41" t="s">
        <v>0</v>
      </c>
      <c r="B41" s="2">
        <v>44580</v>
      </c>
      <c r="C41" s="5" t="s">
        <v>1</v>
      </c>
      <c r="D41" t="s">
        <v>1201</v>
      </c>
      <c r="E41" t="s">
        <v>1202</v>
      </c>
      <c r="F41" t="s">
        <v>4</v>
      </c>
      <c r="G41" t="s">
        <v>5</v>
      </c>
      <c r="H41" s="3">
        <v>104.4</v>
      </c>
      <c r="I41" t="s">
        <v>1920</v>
      </c>
      <c r="J41" t="s">
        <v>1921</v>
      </c>
      <c r="K41" t="s">
        <v>8</v>
      </c>
      <c r="L41" t="s">
        <v>8</v>
      </c>
      <c r="M41" t="s">
        <v>8</v>
      </c>
      <c r="N41" t="s">
        <v>1922</v>
      </c>
      <c r="O41" t="s">
        <v>389</v>
      </c>
      <c r="P41" t="s">
        <v>1</v>
      </c>
    </row>
    <row r="42" spans="1:16" x14ac:dyDescent="0.25">
      <c r="A42" t="s">
        <v>0</v>
      </c>
      <c r="B42" s="2">
        <v>44580</v>
      </c>
      <c r="C42" s="5" t="s">
        <v>1</v>
      </c>
      <c r="D42" t="s">
        <v>1201</v>
      </c>
      <c r="E42" t="s">
        <v>1202</v>
      </c>
      <c r="F42" t="s">
        <v>4</v>
      </c>
      <c r="G42" t="s">
        <v>5</v>
      </c>
      <c r="H42" s="3">
        <v>100.8</v>
      </c>
      <c r="I42" t="s">
        <v>1930</v>
      </c>
      <c r="J42" t="s">
        <v>1490</v>
      </c>
      <c r="K42" t="s">
        <v>8</v>
      </c>
      <c r="L42" t="s">
        <v>8</v>
      </c>
      <c r="M42" t="s">
        <v>8</v>
      </c>
      <c r="N42" t="s">
        <v>1931</v>
      </c>
      <c r="O42" t="s">
        <v>389</v>
      </c>
      <c r="P42" t="s">
        <v>1</v>
      </c>
    </row>
    <row r="43" spans="1:16" x14ac:dyDescent="0.25">
      <c r="A43" t="s">
        <v>0</v>
      </c>
      <c r="B43" s="2">
        <v>44580</v>
      </c>
      <c r="C43" s="5" t="s">
        <v>1</v>
      </c>
      <c r="D43" t="s">
        <v>1373</v>
      </c>
      <c r="E43" t="s">
        <v>1374</v>
      </c>
      <c r="F43" t="s">
        <v>4</v>
      </c>
      <c r="G43" t="s">
        <v>5</v>
      </c>
      <c r="H43" s="3">
        <v>87.42</v>
      </c>
      <c r="I43" t="s">
        <v>1952</v>
      </c>
      <c r="J43" t="s">
        <v>912</v>
      </c>
      <c r="K43" t="s">
        <v>8</v>
      </c>
      <c r="L43" t="s">
        <v>8</v>
      </c>
      <c r="M43" t="s">
        <v>8</v>
      </c>
      <c r="N43" t="s">
        <v>1285</v>
      </c>
      <c r="O43" t="s">
        <v>389</v>
      </c>
      <c r="P43" t="s">
        <v>22</v>
      </c>
    </row>
    <row r="44" spans="1:16" x14ac:dyDescent="0.25">
      <c r="A44" t="s">
        <v>0</v>
      </c>
      <c r="B44" s="2">
        <v>44580</v>
      </c>
      <c r="C44" s="5" t="s">
        <v>1</v>
      </c>
      <c r="D44" t="s">
        <v>1597</v>
      </c>
      <c r="E44" t="s">
        <v>1598</v>
      </c>
      <c r="F44" t="s">
        <v>4</v>
      </c>
      <c r="G44" t="s">
        <v>5</v>
      </c>
      <c r="H44" s="3">
        <v>66</v>
      </c>
      <c r="I44" t="s">
        <v>2000</v>
      </c>
      <c r="J44" t="s">
        <v>912</v>
      </c>
      <c r="K44" t="s">
        <v>8</v>
      </c>
      <c r="L44" t="s">
        <v>8</v>
      </c>
      <c r="M44" t="s">
        <v>8</v>
      </c>
      <c r="N44" t="s">
        <v>1285</v>
      </c>
      <c r="O44" t="s">
        <v>389</v>
      </c>
      <c r="P44" t="s">
        <v>72</v>
      </c>
    </row>
    <row r="45" spans="1:16" x14ac:dyDescent="0.25">
      <c r="A45" t="s">
        <v>0</v>
      </c>
      <c r="B45" s="2">
        <v>44580</v>
      </c>
      <c r="C45" s="5" t="s">
        <v>1</v>
      </c>
      <c r="D45" t="s">
        <v>384</v>
      </c>
      <c r="E45" t="s">
        <v>385</v>
      </c>
      <c r="F45" t="s">
        <v>4</v>
      </c>
      <c r="G45" t="s">
        <v>5</v>
      </c>
      <c r="H45" s="3">
        <v>65.8</v>
      </c>
      <c r="I45" t="s">
        <v>2002</v>
      </c>
      <c r="J45" t="s">
        <v>387</v>
      </c>
      <c r="K45" t="s">
        <v>8</v>
      </c>
      <c r="L45" t="s">
        <v>8</v>
      </c>
      <c r="M45" t="s">
        <v>8</v>
      </c>
      <c r="N45" t="s">
        <v>857</v>
      </c>
      <c r="O45" t="s">
        <v>389</v>
      </c>
      <c r="P45" t="s">
        <v>43</v>
      </c>
    </row>
    <row r="46" spans="1:16" x14ac:dyDescent="0.25">
      <c r="A46" t="s">
        <v>0</v>
      </c>
      <c r="B46" s="2">
        <v>44580</v>
      </c>
      <c r="C46" s="5" t="s">
        <v>1</v>
      </c>
      <c r="D46" t="s">
        <v>384</v>
      </c>
      <c r="E46" t="s">
        <v>385</v>
      </c>
      <c r="F46" t="s">
        <v>4</v>
      </c>
      <c r="G46" t="s">
        <v>5</v>
      </c>
      <c r="H46" s="3">
        <v>56.8</v>
      </c>
      <c r="I46" t="s">
        <v>2000</v>
      </c>
      <c r="J46" t="s">
        <v>912</v>
      </c>
      <c r="K46" t="s">
        <v>8</v>
      </c>
      <c r="L46" t="s">
        <v>8</v>
      </c>
      <c r="M46" t="s">
        <v>8</v>
      </c>
      <c r="N46" t="s">
        <v>1285</v>
      </c>
      <c r="O46" t="s">
        <v>389</v>
      </c>
      <c r="P46" t="s">
        <v>12</v>
      </c>
    </row>
    <row r="47" spans="1:16" x14ac:dyDescent="0.25">
      <c r="A47" t="s">
        <v>0</v>
      </c>
      <c r="B47" s="2">
        <v>44580</v>
      </c>
      <c r="C47" s="5" t="s">
        <v>1</v>
      </c>
      <c r="D47" t="s">
        <v>1373</v>
      </c>
      <c r="E47" t="s">
        <v>1374</v>
      </c>
      <c r="F47" t="s">
        <v>4</v>
      </c>
      <c r="G47" t="s">
        <v>5</v>
      </c>
      <c r="H47" s="3">
        <v>48.27</v>
      </c>
      <c r="I47" t="s">
        <v>2053</v>
      </c>
      <c r="J47" t="s">
        <v>1875</v>
      </c>
      <c r="K47" t="s">
        <v>8</v>
      </c>
      <c r="L47" t="s">
        <v>8</v>
      </c>
      <c r="M47" t="s">
        <v>8</v>
      </c>
      <c r="N47" t="s">
        <v>2054</v>
      </c>
      <c r="O47" t="s">
        <v>389</v>
      </c>
      <c r="P47" t="s">
        <v>1</v>
      </c>
    </row>
    <row r="48" spans="1:16" x14ac:dyDescent="0.25">
      <c r="A48" t="s">
        <v>0</v>
      </c>
      <c r="B48" s="2">
        <v>44580</v>
      </c>
      <c r="C48" s="5" t="s">
        <v>1</v>
      </c>
      <c r="D48" t="s">
        <v>1201</v>
      </c>
      <c r="E48" t="s">
        <v>1202</v>
      </c>
      <c r="F48" t="s">
        <v>4</v>
      </c>
      <c r="G48" t="s">
        <v>5</v>
      </c>
      <c r="H48" s="3">
        <v>39.6</v>
      </c>
      <c r="I48" t="s">
        <v>2071</v>
      </c>
      <c r="J48" t="s">
        <v>1104</v>
      </c>
      <c r="K48" t="s">
        <v>8</v>
      </c>
      <c r="L48" t="s">
        <v>8</v>
      </c>
      <c r="M48" t="s">
        <v>8</v>
      </c>
      <c r="N48" t="s">
        <v>1657</v>
      </c>
      <c r="O48" t="s">
        <v>389</v>
      </c>
      <c r="P48" t="s">
        <v>17</v>
      </c>
    </row>
    <row r="49" spans="1:16" x14ac:dyDescent="0.25">
      <c r="A49" t="s">
        <v>0</v>
      </c>
      <c r="B49" s="2">
        <v>44580</v>
      </c>
      <c r="C49" s="5" t="s">
        <v>1</v>
      </c>
      <c r="D49" t="s">
        <v>384</v>
      </c>
      <c r="E49" t="s">
        <v>385</v>
      </c>
      <c r="F49" t="s">
        <v>4</v>
      </c>
      <c r="G49" t="s">
        <v>5</v>
      </c>
      <c r="H49" s="3">
        <v>34.4</v>
      </c>
      <c r="I49" t="s">
        <v>1722</v>
      </c>
      <c r="J49" t="s">
        <v>912</v>
      </c>
      <c r="K49" t="s">
        <v>8</v>
      </c>
      <c r="L49" t="s">
        <v>8</v>
      </c>
      <c r="M49" t="s">
        <v>8</v>
      </c>
      <c r="N49" t="s">
        <v>1285</v>
      </c>
      <c r="O49" t="s">
        <v>389</v>
      </c>
      <c r="P49" t="s">
        <v>43</v>
      </c>
    </row>
    <row r="50" spans="1:16" x14ac:dyDescent="0.25">
      <c r="A50" t="s">
        <v>0</v>
      </c>
      <c r="B50" s="2">
        <v>44580</v>
      </c>
      <c r="C50" s="5" t="s">
        <v>1</v>
      </c>
      <c r="D50" t="s">
        <v>384</v>
      </c>
      <c r="E50" t="s">
        <v>385</v>
      </c>
      <c r="F50" t="s">
        <v>4</v>
      </c>
      <c r="G50" t="s">
        <v>5</v>
      </c>
      <c r="H50" s="3">
        <v>31.48</v>
      </c>
      <c r="I50" t="s">
        <v>1757</v>
      </c>
      <c r="J50" t="s">
        <v>1104</v>
      </c>
      <c r="K50" t="s">
        <v>8</v>
      </c>
      <c r="L50" t="s">
        <v>8</v>
      </c>
      <c r="M50" t="s">
        <v>8</v>
      </c>
      <c r="N50" t="s">
        <v>1657</v>
      </c>
      <c r="O50" t="s">
        <v>389</v>
      </c>
      <c r="P50" t="s">
        <v>12</v>
      </c>
    </row>
    <row r="51" spans="1:16" x14ac:dyDescent="0.25">
      <c r="A51" t="s">
        <v>0</v>
      </c>
      <c r="B51" s="2">
        <v>44580</v>
      </c>
      <c r="C51" s="5" t="s">
        <v>1</v>
      </c>
      <c r="D51" t="s">
        <v>1597</v>
      </c>
      <c r="E51" t="s">
        <v>1598</v>
      </c>
      <c r="F51" t="s">
        <v>4</v>
      </c>
      <c r="G51" t="s">
        <v>5</v>
      </c>
      <c r="H51" s="3">
        <v>18.5</v>
      </c>
      <c r="I51" t="s">
        <v>2000</v>
      </c>
      <c r="J51" t="s">
        <v>912</v>
      </c>
      <c r="K51" t="s">
        <v>8</v>
      </c>
      <c r="L51" t="s">
        <v>8</v>
      </c>
      <c r="M51" t="s">
        <v>8</v>
      </c>
      <c r="N51" t="s">
        <v>1285</v>
      </c>
      <c r="O51" t="s">
        <v>389</v>
      </c>
      <c r="P51" t="s">
        <v>82</v>
      </c>
    </row>
    <row r="52" spans="1:16" x14ac:dyDescent="0.25">
      <c r="A52" t="s">
        <v>0</v>
      </c>
      <c r="B52" s="2">
        <v>44582</v>
      </c>
      <c r="C52" s="5" t="s">
        <v>1</v>
      </c>
      <c r="D52" t="s">
        <v>1073</v>
      </c>
      <c r="E52" t="s">
        <v>1074</v>
      </c>
      <c r="F52" t="s">
        <v>4</v>
      </c>
      <c r="G52" t="s">
        <v>5</v>
      </c>
      <c r="H52" s="3">
        <v>1379.51</v>
      </c>
      <c r="I52" t="s">
        <v>1114</v>
      </c>
      <c r="J52" t="s">
        <v>1076</v>
      </c>
      <c r="K52" t="s">
        <v>8</v>
      </c>
      <c r="L52" t="s">
        <v>1115</v>
      </c>
      <c r="M52" t="s">
        <v>8</v>
      </c>
      <c r="N52" t="s">
        <v>1116</v>
      </c>
      <c r="O52" t="s">
        <v>16</v>
      </c>
      <c r="P52" t="s">
        <v>72</v>
      </c>
    </row>
    <row r="53" spans="1:16" x14ac:dyDescent="0.25">
      <c r="A53" t="s">
        <v>0</v>
      </c>
      <c r="B53" s="2">
        <v>44582</v>
      </c>
      <c r="C53" s="5" t="s">
        <v>1</v>
      </c>
      <c r="D53" t="s">
        <v>2</v>
      </c>
      <c r="E53" t="s">
        <v>3</v>
      </c>
      <c r="F53" t="s">
        <v>4</v>
      </c>
      <c r="G53" t="s">
        <v>5</v>
      </c>
      <c r="H53" s="3">
        <v>320</v>
      </c>
      <c r="I53" t="s">
        <v>1666</v>
      </c>
      <c r="J53" t="s">
        <v>1605</v>
      </c>
      <c r="K53" t="s">
        <v>8</v>
      </c>
      <c r="L53" t="s">
        <v>1667</v>
      </c>
      <c r="M53" t="s">
        <v>8</v>
      </c>
      <c r="N53" t="s">
        <v>1668</v>
      </c>
      <c r="O53" t="s">
        <v>16</v>
      </c>
      <c r="P53" t="s">
        <v>1</v>
      </c>
    </row>
    <row r="54" spans="1:16" x14ac:dyDescent="0.25">
      <c r="A54" t="s">
        <v>0</v>
      </c>
      <c r="B54" s="2">
        <v>44582</v>
      </c>
      <c r="C54" s="5" t="s">
        <v>1</v>
      </c>
      <c r="D54" t="s">
        <v>1073</v>
      </c>
      <c r="E54" t="s">
        <v>1074</v>
      </c>
      <c r="F54" t="s">
        <v>4</v>
      </c>
      <c r="G54" t="s">
        <v>5</v>
      </c>
      <c r="H54" s="3">
        <v>162.06</v>
      </c>
      <c r="I54" t="s">
        <v>1114</v>
      </c>
      <c r="J54" t="s">
        <v>1076</v>
      </c>
      <c r="K54" t="s">
        <v>8</v>
      </c>
      <c r="L54" t="s">
        <v>1115</v>
      </c>
      <c r="M54" t="s">
        <v>8</v>
      </c>
      <c r="N54" t="s">
        <v>1116</v>
      </c>
      <c r="O54" t="s">
        <v>16</v>
      </c>
      <c r="P54" t="s">
        <v>17</v>
      </c>
    </row>
    <row r="55" spans="1:16" x14ac:dyDescent="0.25">
      <c r="A55" t="s">
        <v>0</v>
      </c>
      <c r="B55" s="2">
        <v>44585</v>
      </c>
      <c r="C55" s="5" t="s">
        <v>1</v>
      </c>
      <c r="D55" t="s">
        <v>384</v>
      </c>
      <c r="E55" t="s">
        <v>385</v>
      </c>
      <c r="F55" t="s">
        <v>4</v>
      </c>
      <c r="G55" t="s">
        <v>5</v>
      </c>
      <c r="H55" s="3">
        <v>1260.5999999999999</v>
      </c>
      <c r="I55" t="s">
        <v>1133</v>
      </c>
      <c r="J55" t="s">
        <v>1104</v>
      </c>
      <c r="K55" t="s">
        <v>8</v>
      </c>
      <c r="L55" t="s">
        <v>8</v>
      </c>
      <c r="M55" t="s">
        <v>8</v>
      </c>
      <c r="N55" t="s">
        <v>1134</v>
      </c>
      <c r="O55" t="s">
        <v>389</v>
      </c>
      <c r="P55" t="s">
        <v>246</v>
      </c>
    </row>
    <row r="56" spans="1:16" x14ac:dyDescent="0.25">
      <c r="A56" t="s">
        <v>0</v>
      </c>
      <c r="B56" s="2">
        <v>44585</v>
      </c>
      <c r="C56" s="5" t="s">
        <v>1</v>
      </c>
      <c r="D56" t="s">
        <v>673</v>
      </c>
      <c r="E56" t="s">
        <v>674</v>
      </c>
      <c r="F56" t="s">
        <v>4</v>
      </c>
      <c r="G56" t="s">
        <v>5</v>
      </c>
      <c r="H56" s="3">
        <v>1260</v>
      </c>
      <c r="I56" t="s">
        <v>1135</v>
      </c>
      <c r="J56" t="s">
        <v>676</v>
      </c>
      <c r="K56" t="s">
        <v>8</v>
      </c>
      <c r="L56" t="s">
        <v>1136</v>
      </c>
      <c r="M56" t="s">
        <v>8</v>
      </c>
      <c r="N56" t="s">
        <v>1137</v>
      </c>
      <c r="O56" t="s">
        <v>300</v>
      </c>
      <c r="P56" t="s">
        <v>12</v>
      </c>
    </row>
    <row r="57" spans="1:16" x14ac:dyDescent="0.25">
      <c r="A57" t="s">
        <v>0</v>
      </c>
      <c r="B57" s="2">
        <v>44585</v>
      </c>
      <c r="C57" s="5" t="s">
        <v>1</v>
      </c>
      <c r="D57" t="s">
        <v>384</v>
      </c>
      <c r="E57" t="s">
        <v>385</v>
      </c>
      <c r="F57" t="s">
        <v>4</v>
      </c>
      <c r="G57" t="s">
        <v>5</v>
      </c>
      <c r="H57" s="3">
        <v>1235.5999999999999</v>
      </c>
      <c r="I57" t="s">
        <v>1142</v>
      </c>
      <c r="J57" t="s">
        <v>1104</v>
      </c>
      <c r="K57" t="s">
        <v>8</v>
      </c>
      <c r="L57" t="s">
        <v>8</v>
      </c>
      <c r="M57" t="s">
        <v>8</v>
      </c>
      <c r="N57" t="s">
        <v>1134</v>
      </c>
      <c r="O57" t="s">
        <v>389</v>
      </c>
      <c r="P57" t="s">
        <v>22</v>
      </c>
    </row>
    <row r="58" spans="1:16" x14ac:dyDescent="0.25">
      <c r="A58" t="s">
        <v>0</v>
      </c>
      <c r="B58" s="2">
        <v>44585</v>
      </c>
      <c r="C58" s="5" t="s">
        <v>1</v>
      </c>
      <c r="D58" t="s">
        <v>384</v>
      </c>
      <c r="E58" t="s">
        <v>385</v>
      </c>
      <c r="F58" t="s">
        <v>4</v>
      </c>
      <c r="G58" t="s">
        <v>5</v>
      </c>
      <c r="H58" s="3">
        <v>1194.56</v>
      </c>
      <c r="I58" t="s">
        <v>871</v>
      </c>
      <c r="J58" t="s">
        <v>1104</v>
      </c>
      <c r="K58" t="s">
        <v>8</v>
      </c>
      <c r="L58" t="s">
        <v>8</v>
      </c>
      <c r="M58" t="s">
        <v>8</v>
      </c>
      <c r="N58" t="s">
        <v>1134</v>
      </c>
      <c r="O58" t="s">
        <v>389</v>
      </c>
      <c r="P58" t="s">
        <v>12</v>
      </c>
    </row>
    <row r="59" spans="1:16" x14ac:dyDescent="0.25">
      <c r="A59" t="s">
        <v>0</v>
      </c>
      <c r="B59" s="2">
        <v>44585</v>
      </c>
      <c r="C59" s="5" t="s">
        <v>1</v>
      </c>
      <c r="D59" t="s">
        <v>673</v>
      </c>
      <c r="E59" t="s">
        <v>674</v>
      </c>
      <c r="F59" t="s">
        <v>4</v>
      </c>
      <c r="G59" t="s">
        <v>5</v>
      </c>
      <c r="H59" s="3">
        <v>1166.0899999999999</v>
      </c>
      <c r="I59" t="s">
        <v>1160</v>
      </c>
      <c r="J59" t="s">
        <v>676</v>
      </c>
      <c r="K59" t="s">
        <v>8</v>
      </c>
      <c r="L59" t="s">
        <v>1161</v>
      </c>
      <c r="M59" t="s">
        <v>8</v>
      </c>
      <c r="N59" t="s">
        <v>1162</v>
      </c>
      <c r="O59" t="s">
        <v>300</v>
      </c>
      <c r="P59" t="s">
        <v>12</v>
      </c>
    </row>
    <row r="60" spans="1:16" x14ac:dyDescent="0.25">
      <c r="A60" t="s">
        <v>0</v>
      </c>
      <c r="B60" s="2">
        <v>44585</v>
      </c>
      <c r="C60" s="5" t="s">
        <v>1</v>
      </c>
      <c r="D60" t="s">
        <v>384</v>
      </c>
      <c r="E60" t="s">
        <v>385</v>
      </c>
      <c r="F60" t="s">
        <v>4</v>
      </c>
      <c r="G60" t="s">
        <v>5</v>
      </c>
      <c r="H60" s="3">
        <v>600</v>
      </c>
      <c r="I60" t="s">
        <v>1416</v>
      </c>
      <c r="J60" t="s">
        <v>1104</v>
      </c>
      <c r="K60" t="s">
        <v>8</v>
      </c>
      <c r="L60" t="s">
        <v>8</v>
      </c>
      <c r="M60" t="s">
        <v>8</v>
      </c>
      <c r="N60" t="s">
        <v>1134</v>
      </c>
      <c r="O60" t="s">
        <v>389</v>
      </c>
      <c r="P60" t="s">
        <v>289</v>
      </c>
    </row>
    <row r="61" spans="1:16" x14ac:dyDescent="0.25">
      <c r="A61" t="s">
        <v>0</v>
      </c>
      <c r="B61" s="2">
        <v>44585</v>
      </c>
      <c r="C61" s="5" t="s">
        <v>1</v>
      </c>
      <c r="D61" t="s">
        <v>673</v>
      </c>
      <c r="E61" t="s">
        <v>674</v>
      </c>
      <c r="F61" t="s">
        <v>4</v>
      </c>
      <c r="G61" t="s">
        <v>5</v>
      </c>
      <c r="H61" s="3">
        <v>300.58</v>
      </c>
      <c r="I61" t="s">
        <v>1160</v>
      </c>
      <c r="J61" t="s">
        <v>676</v>
      </c>
      <c r="K61" t="s">
        <v>8</v>
      </c>
      <c r="L61" t="s">
        <v>1161</v>
      </c>
      <c r="M61" t="s">
        <v>8</v>
      </c>
      <c r="N61" t="s">
        <v>1162</v>
      </c>
      <c r="O61" t="s">
        <v>300</v>
      </c>
      <c r="P61" t="s">
        <v>17</v>
      </c>
    </row>
    <row r="62" spans="1:16" x14ac:dyDescent="0.25">
      <c r="A62" t="s">
        <v>0</v>
      </c>
      <c r="B62" s="2">
        <v>44585</v>
      </c>
      <c r="C62" s="5" t="s">
        <v>1</v>
      </c>
      <c r="D62" t="s">
        <v>384</v>
      </c>
      <c r="E62" t="s">
        <v>385</v>
      </c>
      <c r="F62" t="s">
        <v>4</v>
      </c>
      <c r="G62" t="s">
        <v>5</v>
      </c>
      <c r="H62" s="3">
        <v>290</v>
      </c>
      <c r="I62" t="s">
        <v>1706</v>
      </c>
      <c r="J62" t="s">
        <v>1104</v>
      </c>
      <c r="K62" t="s">
        <v>8</v>
      </c>
      <c r="L62" t="s">
        <v>8</v>
      </c>
      <c r="M62" t="s">
        <v>8</v>
      </c>
      <c r="N62" t="s">
        <v>1134</v>
      </c>
      <c r="O62" t="s">
        <v>389</v>
      </c>
      <c r="P62" t="s">
        <v>43</v>
      </c>
    </row>
    <row r="63" spans="1:16" x14ac:dyDescent="0.25">
      <c r="A63" t="s">
        <v>0</v>
      </c>
      <c r="B63" s="2">
        <v>44585</v>
      </c>
      <c r="C63" s="5" t="s">
        <v>1</v>
      </c>
      <c r="D63" t="s">
        <v>673</v>
      </c>
      <c r="E63" t="s">
        <v>674</v>
      </c>
      <c r="F63" t="s">
        <v>4</v>
      </c>
      <c r="G63" t="s">
        <v>5</v>
      </c>
      <c r="H63" s="3">
        <v>176.48</v>
      </c>
      <c r="I63" t="s">
        <v>1160</v>
      </c>
      <c r="J63" t="s">
        <v>676</v>
      </c>
      <c r="K63" t="s">
        <v>8</v>
      </c>
      <c r="L63" t="s">
        <v>1161</v>
      </c>
      <c r="M63" t="s">
        <v>8</v>
      </c>
      <c r="N63" t="s">
        <v>1162</v>
      </c>
      <c r="O63" t="s">
        <v>300</v>
      </c>
      <c r="P63" t="s">
        <v>1</v>
      </c>
    </row>
    <row r="64" spans="1:16" x14ac:dyDescent="0.25">
      <c r="A64" t="s">
        <v>0</v>
      </c>
      <c r="B64" s="2">
        <v>44585</v>
      </c>
      <c r="C64" s="5" t="s">
        <v>1</v>
      </c>
      <c r="D64" t="s">
        <v>384</v>
      </c>
      <c r="E64" t="s">
        <v>385</v>
      </c>
      <c r="F64" t="s">
        <v>4</v>
      </c>
      <c r="G64" t="s">
        <v>5</v>
      </c>
      <c r="H64" s="3">
        <v>167.3</v>
      </c>
      <c r="I64" t="s">
        <v>1817</v>
      </c>
      <c r="J64" t="s">
        <v>1104</v>
      </c>
      <c r="K64" t="s">
        <v>8</v>
      </c>
      <c r="L64" t="s">
        <v>8</v>
      </c>
      <c r="M64" t="s">
        <v>8</v>
      </c>
      <c r="N64" t="s">
        <v>1134</v>
      </c>
      <c r="O64" t="s">
        <v>389</v>
      </c>
      <c r="P64" t="s">
        <v>17</v>
      </c>
    </row>
    <row r="65" spans="1:16" x14ac:dyDescent="0.25">
      <c r="A65" t="s">
        <v>0</v>
      </c>
      <c r="B65" s="2">
        <v>44585</v>
      </c>
      <c r="C65" s="5" t="s">
        <v>1</v>
      </c>
      <c r="D65" t="s">
        <v>384</v>
      </c>
      <c r="E65" t="s">
        <v>385</v>
      </c>
      <c r="F65" t="s">
        <v>4</v>
      </c>
      <c r="G65" t="s">
        <v>5</v>
      </c>
      <c r="H65" s="3">
        <v>154.25</v>
      </c>
      <c r="I65" t="s">
        <v>1838</v>
      </c>
      <c r="J65" t="s">
        <v>1104</v>
      </c>
      <c r="K65" t="s">
        <v>8</v>
      </c>
      <c r="L65" t="s">
        <v>8</v>
      </c>
      <c r="M65" t="s">
        <v>8</v>
      </c>
      <c r="N65" t="s">
        <v>1134</v>
      </c>
      <c r="O65" t="s">
        <v>389</v>
      </c>
      <c r="P65" t="s">
        <v>30</v>
      </c>
    </row>
    <row r="66" spans="1:16" x14ac:dyDescent="0.25">
      <c r="A66" t="s">
        <v>0</v>
      </c>
      <c r="B66" s="2">
        <v>44585</v>
      </c>
      <c r="C66" s="5" t="s">
        <v>1</v>
      </c>
      <c r="D66" t="s">
        <v>384</v>
      </c>
      <c r="E66" t="s">
        <v>385</v>
      </c>
      <c r="F66" t="s">
        <v>4</v>
      </c>
      <c r="G66" t="s">
        <v>5</v>
      </c>
      <c r="H66" s="3">
        <v>133.41</v>
      </c>
      <c r="I66" t="s">
        <v>1838</v>
      </c>
      <c r="J66" t="s">
        <v>1104</v>
      </c>
      <c r="K66" t="s">
        <v>8</v>
      </c>
      <c r="L66" t="s">
        <v>8</v>
      </c>
      <c r="M66" t="s">
        <v>8</v>
      </c>
      <c r="N66" t="s">
        <v>1134</v>
      </c>
      <c r="O66" t="s">
        <v>389</v>
      </c>
      <c r="P66" t="s">
        <v>87</v>
      </c>
    </row>
    <row r="67" spans="1:16" x14ac:dyDescent="0.25">
      <c r="A67" t="s">
        <v>0</v>
      </c>
      <c r="B67" s="2">
        <v>44585</v>
      </c>
      <c r="C67" s="5" t="s">
        <v>1</v>
      </c>
      <c r="D67" t="s">
        <v>384</v>
      </c>
      <c r="E67" t="s">
        <v>385</v>
      </c>
      <c r="F67" t="s">
        <v>4</v>
      </c>
      <c r="G67" t="s">
        <v>5</v>
      </c>
      <c r="H67" s="3">
        <v>124.48</v>
      </c>
      <c r="I67" t="s">
        <v>1757</v>
      </c>
      <c r="J67" t="s">
        <v>1104</v>
      </c>
      <c r="K67" t="s">
        <v>8</v>
      </c>
      <c r="L67" t="s">
        <v>8</v>
      </c>
      <c r="M67" t="s">
        <v>8</v>
      </c>
      <c r="N67" t="s">
        <v>1134</v>
      </c>
      <c r="O67" t="s">
        <v>389</v>
      </c>
      <c r="P67" t="s">
        <v>1304</v>
      </c>
    </row>
    <row r="68" spans="1:16" x14ac:dyDescent="0.25">
      <c r="A68" t="s">
        <v>0</v>
      </c>
      <c r="B68" s="2">
        <v>44585</v>
      </c>
      <c r="C68" s="5" t="s">
        <v>1</v>
      </c>
      <c r="D68" t="s">
        <v>1597</v>
      </c>
      <c r="E68" t="s">
        <v>1598</v>
      </c>
      <c r="F68" t="s">
        <v>4</v>
      </c>
      <c r="G68" t="s">
        <v>5</v>
      </c>
      <c r="H68" s="3">
        <v>71.319999999999993</v>
      </c>
      <c r="I68" t="s">
        <v>1838</v>
      </c>
      <c r="J68" t="s">
        <v>1104</v>
      </c>
      <c r="K68" t="s">
        <v>8</v>
      </c>
      <c r="L68" t="s">
        <v>8</v>
      </c>
      <c r="M68" t="s">
        <v>8</v>
      </c>
      <c r="N68" t="s">
        <v>1134</v>
      </c>
      <c r="O68" t="s">
        <v>389</v>
      </c>
      <c r="P68" t="s">
        <v>800</v>
      </c>
    </row>
    <row r="69" spans="1:16" x14ac:dyDescent="0.25">
      <c r="A69" t="s">
        <v>0</v>
      </c>
      <c r="B69" s="2">
        <v>44585</v>
      </c>
      <c r="C69" s="5" t="s">
        <v>1</v>
      </c>
      <c r="D69" t="s">
        <v>1597</v>
      </c>
      <c r="E69" t="s">
        <v>1598</v>
      </c>
      <c r="F69" t="s">
        <v>4</v>
      </c>
      <c r="G69" t="s">
        <v>5</v>
      </c>
      <c r="H69" s="3">
        <v>40</v>
      </c>
      <c r="I69" t="s">
        <v>1838</v>
      </c>
      <c r="J69" t="s">
        <v>1104</v>
      </c>
      <c r="K69" t="s">
        <v>8</v>
      </c>
      <c r="L69" t="s">
        <v>8</v>
      </c>
      <c r="M69" t="s">
        <v>8</v>
      </c>
      <c r="N69" t="s">
        <v>1134</v>
      </c>
      <c r="O69" t="s">
        <v>389</v>
      </c>
      <c r="P69" t="s">
        <v>2068</v>
      </c>
    </row>
    <row r="70" spans="1:16" x14ac:dyDescent="0.25">
      <c r="A70" t="s">
        <v>0</v>
      </c>
      <c r="B70" s="2">
        <v>44585</v>
      </c>
      <c r="C70" s="5" t="s">
        <v>1</v>
      </c>
      <c r="D70" t="s">
        <v>1201</v>
      </c>
      <c r="E70" t="s">
        <v>1202</v>
      </c>
      <c r="F70" t="s">
        <v>4</v>
      </c>
      <c r="G70" t="s">
        <v>5</v>
      </c>
      <c r="H70" s="3">
        <v>39.6</v>
      </c>
      <c r="I70" t="s">
        <v>2072</v>
      </c>
      <c r="J70" t="s">
        <v>1104</v>
      </c>
      <c r="K70" t="s">
        <v>8</v>
      </c>
      <c r="L70" t="s">
        <v>8</v>
      </c>
      <c r="M70" t="s">
        <v>8</v>
      </c>
      <c r="N70" t="s">
        <v>1134</v>
      </c>
      <c r="O70" t="s">
        <v>389</v>
      </c>
      <c r="P70" t="s">
        <v>1351</v>
      </c>
    </row>
    <row r="71" spans="1:16" x14ac:dyDescent="0.25">
      <c r="A71" t="s">
        <v>0</v>
      </c>
      <c r="B71" s="2">
        <v>44585</v>
      </c>
      <c r="C71" s="5" t="s">
        <v>1</v>
      </c>
      <c r="D71" t="s">
        <v>1551</v>
      </c>
      <c r="E71" t="s">
        <v>1552</v>
      </c>
      <c r="F71" t="s">
        <v>4</v>
      </c>
      <c r="G71" t="s">
        <v>5</v>
      </c>
      <c r="H71" s="3">
        <v>33</v>
      </c>
      <c r="I71" t="s">
        <v>1838</v>
      </c>
      <c r="J71" t="s">
        <v>1104</v>
      </c>
      <c r="K71" t="s">
        <v>8</v>
      </c>
      <c r="L71" t="s">
        <v>8</v>
      </c>
      <c r="M71" t="s">
        <v>8</v>
      </c>
      <c r="N71" t="s">
        <v>1134</v>
      </c>
      <c r="O71" t="s">
        <v>389</v>
      </c>
      <c r="P71" t="s">
        <v>370</v>
      </c>
    </row>
    <row r="72" spans="1:16" x14ac:dyDescent="0.25">
      <c r="A72" t="s">
        <v>0</v>
      </c>
      <c r="B72" s="2">
        <v>44586</v>
      </c>
      <c r="C72" s="5" t="s">
        <v>1</v>
      </c>
      <c r="D72" t="s">
        <v>881</v>
      </c>
      <c r="E72" t="s">
        <v>882</v>
      </c>
      <c r="F72" t="s">
        <v>4</v>
      </c>
      <c r="G72" t="s">
        <v>5</v>
      </c>
      <c r="H72" s="3">
        <v>800.31</v>
      </c>
      <c r="I72" t="s">
        <v>1338</v>
      </c>
      <c r="J72" t="s">
        <v>387</v>
      </c>
      <c r="K72" t="s">
        <v>8</v>
      </c>
      <c r="L72" t="s">
        <v>8</v>
      </c>
      <c r="M72" t="s">
        <v>8</v>
      </c>
      <c r="N72" t="s">
        <v>1339</v>
      </c>
      <c r="O72" t="s">
        <v>389</v>
      </c>
      <c r="P72" t="s">
        <v>1</v>
      </c>
    </row>
    <row r="73" spans="1:16" x14ac:dyDescent="0.25">
      <c r="A73" t="s">
        <v>0</v>
      </c>
      <c r="B73" s="2">
        <v>44586</v>
      </c>
      <c r="C73" s="5" t="s">
        <v>1</v>
      </c>
      <c r="D73" t="s">
        <v>861</v>
      </c>
      <c r="E73" t="s">
        <v>862</v>
      </c>
      <c r="F73" t="s">
        <v>4</v>
      </c>
      <c r="G73" t="s">
        <v>5</v>
      </c>
      <c r="H73" s="3">
        <v>367.12</v>
      </c>
      <c r="I73" t="s">
        <v>1629</v>
      </c>
      <c r="J73" t="s">
        <v>1558</v>
      </c>
      <c r="K73" t="s">
        <v>8</v>
      </c>
      <c r="L73" t="s">
        <v>1630</v>
      </c>
      <c r="M73" t="s">
        <v>8</v>
      </c>
      <c r="N73" t="s">
        <v>1631</v>
      </c>
      <c r="O73" t="s">
        <v>29</v>
      </c>
      <c r="P73" t="s">
        <v>1</v>
      </c>
    </row>
    <row r="74" spans="1:16" x14ac:dyDescent="0.25">
      <c r="A74" t="s">
        <v>0</v>
      </c>
      <c r="B74" s="2">
        <v>44586</v>
      </c>
      <c r="C74" s="5" t="s">
        <v>1</v>
      </c>
      <c r="D74" t="s">
        <v>861</v>
      </c>
      <c r="E74" t="s">
        <v>862</v>
      </c>
      <c r="F74" t="s">
        <v>4</v>
      </c>
      <c r="G74" t="s">
        <v>5</v>
      </c>
      <c r="H74" s="3">
        <v>337.48</v>
      </c>
      <c r="I74" t="s">
        <v>1629</v>
      </c>
      <c r="J74" t="s">
        <v>1558</v>
      </c>
      <c r="K74" t="s">
        <v>8</v>
      </c>
      <c r="L74" t="s">
        <v>1630</v>
      </c>
      <c r="M74" t="s">
        <v>8</v>
      </c>
      <c r="N74" t="s">
        <v>1631</v>
      </c>
      <c r="O74" t="s">
        <v>29</v>
      </c>
      <c r="P74" t="s">
        <v>17</v>
      </c>
    </row>
    <row r="75" spans="1:16" x14ac:dyDescent="0.25">
      <c r="A75" t="s">
        <v>0</v>
      </c>
      <c r="B75" s="2">
        <v>44586</v>
      </c>
      <c r="C75" s="5" t="s">
        <v>1</v>
      </c>
      <c r="D75" t="s">
        <v>861</v>
      </c>
      <c r="E75" t="s">
        <v>862</v>
      </c>
      <c r="F75" t="s">
        <v>4</v>
      </c>
      <c r="G75" t="s">
        <v>5</v>
      </c>
      <c r="H75" s="3">
        <v>188.84</v>
      </c>
      <c r="I75" t="s">
        <v>1629</v>
      </c>
      <c r="J75" t="s">
        <v>1558</v>
      </c>
      <c r="K75" t="s">
        <v>8</v>
      </c>
      <c r="L75" t="s">
        <v>1630</v>
      </c>
      <c r="M75" t="s">
        <v>8</v>
      </c>
      <c r="N75" t="s">
        <v>1631</v>
      </c>
      <c r="O75" t="s">
        <v>29</v>
      </c>
      <c r="P75" t="s">
        <v>12</v>
      </c>
    </row>
    <row r="76" spans="1:16" x14ac:dyDescent="0.25">
      <c r="A76" t="s">
        <v>0</v>
      </c>
      <c r="B76" s="2">
        <v>44586</v>
      </c>
      <c r="C76" s="5" t="s">
        <v>1</v>
      </c>
      <c r="D76" t="s">
        <v>861</v>
      </c>
      <c r="E76" t="s">
        <v>862</v>
      </c>
      <c r="F76" t="s">
        <v>4</v>
      </c>
      <c r="G76" t="s">
        <v>5</v>
      </c>
      <c r="H76" s="3">
        <v>174.56</v>
      </c>
      <c r="I76" t="s">
        <v>1629</v>
      </c>
      <c r="J76" t="s">
        <v>1558</v>
      </c>
      <c r="K76" t="s">
        <v>8</v>
      </c>
      <c r="L76" t="s">
        <v>1630</v>
      </c>
      <c r="M76" t="s">
        <v>8</v>
      </c>
      <c r="N76" t="s">
        <v>1631</v>
      </c>
      <c r="O76" t="s">
        <v>29</v>
      </c>
      <c r="P76" t="s">
        <v>77</v>
      </c>
    </row>
    <row r="77" spans="1:16" x14ac:dyDescent="0.25">
      <c r="A77" t="s">
        <v>0</v>
      </c>
      <c r="B77" s="2">
        <v>44586</v>
      </c>
      <c r="C77" s="5" t="s">
        <v>1</v>
      </c>
      <c r="D77" t="s">
        <v>861</v>
      </c>
      <c r="E77" t="s">
        <v>862</v>
      </c>
      <c r="F77" t="s">
        <v>4</v>
      </c>
      <c r="G77" t="s">
        <v>5</v>
      </c>
      <c r="H77" s="3">
        <v>166.52</v>
      </c>
      <c r="I77" t="s">
        <v>1629</v>
      </c>
      <c r="J77" t="s">
        <v>1558</v>
      </c>
      <c r="K77" t="s">
        <v>8</v>
      </c>
      <c r="L77" t="s">
        <v>1630</v>
      </c>
      <c r="M77" t="s">
        <v>8</v>
      </c>
      <c r="N77" t="s">
        <v>1631</v>
      </c>
      <c r="O77" t="s">
        <v>29</v>
      </c>
      <c r="P77" t="s">
        <v>43</v>
      </c>
    </row>
    <row r="78" spans="1:16" x14ac:dyDescent="0.25">
      <c r="A78" t="s">
        <v>0</v>
      </c>
      <c r="B78" s="2">
        <v>44586</v>
      </c>
      <c r="C78" s="5" t="s">
        <v>1</v>
      </c>
      <c r="D78" t="s">
        <v>1201</v>
      </c>
      <c r="E78" t="s">
        <v>1202</v>
      </c>
      <c r="F78" t="s">
        <v>4</v>
      </c>
      <c r="G78" t="s">
        <v>5</v>
      </c>
      <c r="H78" s="3">
        <v>27</v>
      </c>
      <c r="I78" t="s">
        <v>2096</v>
      </c>
      <c r="J78" t="s">
        <v>1414</v>
      </c>
      <c r="K78" t="s">
        <v>8</v>
      </c>
      <c r="L78" t="s">
        <v>8</v>
      </c>
      <c r="M78" t="s">
        <v>8</v>
      </c>
      <c r="N78" t="s">
        <v>2097</v>
      </c>
      <c r="O78" t="s">
        <v>389</v>
      </c>
      <c r="P78" t="s">
        <v>1</v>
      </c>
    </row>
    <row r="79" spans="1:16" x14ac:dyDescent="0.25">
      <c r="A79" t="s">
        <v>0</v>
      </c>
      <c r="B79" s="2">
        <v>44586</v>
      </c>
      <c r="C79" s="5" t="s">
        <v>1</v>
      </c>
      <c r="D79" t="s">
        <v>1373</v>
      </c>
      <c r="E79" t="s">
        <v>1374</v>
      </c>
      <c r="F79" t="s">
        <v>4</v>
      </c>
      <c r="G79" t="s">
        <v>5</v>
      </c>
      <c r="H79" s="3">
        <v>17.940000000000001</v>
      </c>
      <c r="I79" t="s">
        <v>2137</v>
      </c>
      <c r="J79" t="s">
        <v>1414</v>
      </c>
      <c r="K79" t="s">
        <v>8</v>
      </c>
      <c r="L79" t="s">
        <v>8</v>
      </c>
      <c r="M79" t="s">
        <v>8</v>
      </c>
      <c r="N79" t="s">
        <v>2097</v>
      </c>
      <c r="O79" t="s">
        <v>389</v>
      </c>
      <c r="P79" t="s">
        <v>12</v>
      </c>
    </row>
    <row r="80" spans="1:16" x14ac:dyDescent="0.25">
      <c r="A80" t="s">
        <v>0</v>
      </c>
      <c r="B80" s="2">
        <v>44586</v>
      </c>
      <c r="C80" s="5" t="s">
        <v>1</v>
      </c>
      <c r="D80" t="s">
        <v>2</v>
      </c>
      <c r="E80" t="s">
        <v>3</v>
      </c>
      <c r="F80" t="s">
        <v>4</v>
      </c>
      <c r="G80" t="s">
        <v>5</v>
      </c>
      <c r="H80" s="3">
        <v>-0.37</v>
      </c>
      <c r="I80" t="s">
        <v>2157</v>
      </c>
      <c r="J80" t="s">
        <v>393</v>
      </c>
      <c r="K80" t="s">
        <v>8</v>
      </c>
      <c r="L80" t="s">
        <v>2158</v>
      </c>
      <c r="M80" t="s">
        <v>8</v>
      </c>
      <c r="N80" t="s">
        <v>2159</v>
      </c>
      <c r="O80" t="s">
        <v>11</v>
      </c>
      <c r="P80" t="s">
        <v>1</v>
      </c>
    </row>
    <row r="81" spans="1:16" x14ac:dyDescent="0.25">
      <c r="A81" t="s">
        <v>0</v>
      </c>
      <c r="B81" s="2">
        <v>44588</v>
      </c>
      <c r="C81" t="s">
        <v>1</v>
      </c>
      <c r="D81" t="s">
        <v>63</v>
      </c>
      <c r="E81" t="s">
        <v>64</v>
      </c>
      <c r="F81" t="s">
        <v>4</v>
      </c>
      <c r="G81" t="s">
        <v>5</v>
      </c>
      <c r="H81" s="3">
        <v>103372.66</v>
      </c>
      <c r="I81" t="s">
        <v>65</v>
      </c>
      <c r="J81" t="s">
        <v>66</v>
      </c>
      <c r="K81" t="s">
        <v>8</v>
      </c>
      <c r="L81" t="s">
        <v>8</v>
      </c>
      <c r="M81" t="s">
        <v>8</v>
      </c>
      <c r="N81" t="s">
        <v>85</v>
      </c>
      <c r="O81" t="s">
        <v>57</v>
      </c>
      <c r="P81" t="s">
        <v>86</v>
      </c>
    </row>
    <row r="82" spans="1:16" x14ac:dyDescent="0.25">
      <c r="A82" t="s">
        <v>0</v>
      </c>
      <c r="B82" s="2">
        <v>44588</v>
      </c>
      <c r="C82" t="s">
        <v>1</v>
      </c>
      <c r="D82" t="s">
        <v>63</v>
      </c>
      <c r="E82" t="s">
        <v>64</v>
      </c>
      <c r="F82" t="s">
        <v>4</v>
      </c>
      <c r="G82" t="s">
        <v>5</v>
      </c>
      <c r="H82" s="3">
        <v>59386.44</v>
      </c>
      <c r="I82" t="s">
        <v>114</v>
      </c>
      <c r="J82" t="s">
        <v>66</v>
      </c>
      <c r="K82" t="s">
        <v>8</v>
      </c>
      <c r="L82" t="s">
        <v>8</v>
      </c>
      <c r="M82" t="s">
        <v>8</v>
      </c>
      <c r="N82" t="s">
        <v>85</v>
      </c>
      <c r="O82" t="s">
        <v>57</v>
      </c>
      <c r="P82" t="s">
        <v>146</v>
      </c>
    </row>
    <row r="83" spans="1:16" x14ac:dyDescent="0.25">
      <c r="A83" t="s">
        <v>0</v>
      </c>
      <c r="B83" s="2">
        <v>44588</v>
      </c>
      <c r="C83" t="s">
        <v>1</v>
      </c>
      <c r="D83" t="s">
        <v>122</v>
      </c>
      <c r="E83" t="s">
        <v>123</v>
      </c>
      <c r="F83" t="s">
        <v>4</v>
      </c>
      <c r="G83" t="s">
        <v>5</v>
      </c>
      <c r="H83" s="3">
        <v>49714.83</v>
      </c>
      <c r="I83" t="s">
        <v>124</v>
      </c>
      <c r="J83" t="s">
        <v>66</v>
      </c>
      <c r="K83" t="s">
        <v>8</v>
      </c>
      <c r="L83" t="s">
        <v>8</v>
      </c>
      <c r="M83" t="s">
        <v>8</v>
      </c>
      <c r="N83" t="s">
        <v>85</v>
      </c>
      <c r="O83" t="s">
        <v>57</v>
      </c>
      <c r="P83" t="s">
        <v>162</v>
      </c>
    </row>
    <row r="84" spans="1:16" x14ac:dyDescent="0.25">
      <c r="A84" t="s">
        <v>0</v>
      </c>
      <c r="B84" s="2">
        <v>44588</v>
      </c>
      <c r="C84" t="s">
        <v>1</v>
      </c>
      <c r="D84" t="s">
        <v>169</v>
      </c>
      <c r="E84" t="s">
        <v>170</v>
      </c>
      <c r="F84" t="s">
        <v>4</v>
      </c>
      <c r="G84" t="s">
        <v>5</v>
      </c>
      <c r="H84" s="3">
        <v>33934.32</v>
      </c>
      <c r="I84" t="s">
        <v>171</v>
      </c>
      <c r="J84" t="s">
        <v>66</v>
      </c>
      <c r="K84" t="s">
        <v>8</v>
      </c>
      <c r="L84" t="s">
        <v>8</v>
      </c>
      <c r="M84" t="s">
        <v>8</v>
      </c>
      <c r="N84" t="s">
        <v>85</v>
      </c>
      <c r="O84" t="s">
        <v>57</v>
      </c>
      <c r="P84" t="s">
        <v>177</v>
      </c>
    </row>
    <row r="85" spans="1:16" x14ac:dyDescent="0.25">
      <c r="A85" t="s">
        <v>0</v>
      </c>
      <c r="B85" s="2">
        <v>44588</v>
      </c>
      <c r="C85" t="s">
        <v>1</v>
      </c>
      <c r="D85" t="s">
        <v>173</v>
      </c>
      <c r="E85" t="s">
        <v>174</v>
      </c>
      <c r="F85" t="s">
        <v>4</v>
      </c>
      <c r="G85" t="s">
        <v>5</v>
      </c>
      <c r="H85" s="3">
        <v>31051.39</v>
      </c>
      <c r="I85" t="s">
        <v>175</v>
      </c>
      <c r="J85" t="s">
        <v>66</v>
      </c>
      <c r="K85" t="s">
        <v>8</v>
      </c>
      <c r="L85" t="s">
        <v>8</v>
      </c>
      <c r="M85" t="s">
        <v>8</v>
      </c>
      <c r="N85" t="s">
        <v>85</v>
      </c>
      <c r="O85" t="s">
        <v>57</v>
      </c>
      <c r="P85" t="s">
        <v>181</v>
      </c>
    </row>
    <row r="86" spans="1:16" x14ac:dyDescent="0.25">
      <c r="A86" t="s">
        <v>0</v>
      </c>
      <c r="B86" s="2">
        <v>44588</v>
      </c>
      <c r="C86" t="s">
        <v>1</v>
      </c>
      <c r="D86" t="s">
        <v>59</v>
      </c>
      <c r="E86" t="s">
        <v>60</v>
      </c>
      <c r="F86" t="s">
        <v>4</v>
      </c>
      <c r="G86" t="s">
        <v>5</v>
      </c>
      <c r="H86" s="3">
        <v>17520.66</v>
      </c>
      <c r="I86" t="s">
        <v>61</v>
      </c>
      <c r="J86" t="s">
        <v>66</v>
      </c>
      <c r="K86" t="s">
        <v>8</v>
      </c>
      <c r="L86" t="s">
        <v>8</v>
      </c>
      <c r="M86" t="s">
        <v>8</v>
      </c>
      <c r="N86" t="s">
        <v>85</v>
      </c>
      <c r="O86" t="s">
        <v>57</v>
      </c>
      <c r="P86" t="s">
        <v>313</v>
      </c>
    </row>
    <row r="87" spans="1:16" x14ac:dyDescent="0.25">
      <c r="A87" t="s">
        <v>0</v>
      </c>
      <c r="B87" s="2">
        <v>44588</v>
      </c>
      <c r="C87" t="s">
        <v>1</v>
      </c>
      <c r="D87" t="s">
        <v>316</v>
      </c>
      <c r="E87" t="s">
        <v>317</v>
      </c>
      <c r="F87" t="s">
        <v>4</v>
      </c>
      <c r="G87" t="s">
        <v>5</v>
      </c>
      <c r="H87" s="3">
        <v>17311.599999999999</v>
      </c>
      <c r="I87" t="s">
        <v>318</v>
      </c>
      <c r="J87" t="s">
        <v>66</v>
      </c>
      <c r="K87" t="s">
        <v>8</v>
      </c>
      <c r="L87" t="s">
        <v>8</v>
      </c>
      <c r="M87" t="s">
        <v>8</v>
      </c>
      <c r="N87" t="s">
        <v>85</v>
      </c>
      <c r="O87" t="s">
        <v>57</v>
      </c>
      <c r="P87" t="s">
        <v>319</v>
      </c>
    </row>
    <row r="88" spans="1:16" x14ac:dyDescent="0.25">
      <c r="A88" t="s">
        <v>0</v>
      </c>
      <c r="B88" s="2">
        <v>44588</v>
      </c>
      <c r="C88" t="s">
        <v>1</v>
      </c>
      <c r="D88" t="s">
        <v>273</v>
      </c>
      <c r="E88" t="s">
        <v>274</v>
      </c>
      <c r="F88" t="s">
        <v>4</v>
      </c>
      <c r="G88" t="s">
        <v>5</v>
      </c>
      <c r="H88" s="3">
        <v>13360.59</v>
      </c>
      <c r="I88" t="s">
        <v>275</v>
      </c>
      <c r="J88" t="s">
        <v>66</v>
      </c>
      <c r="K88" t="s">
        <v>8</v>
      </c>
      <c r="L88" t="s">
        <v>8</v>
      </c>
      <c r="M88" t="s">
        <v>8</v>
      </c>
      <c r="N88" t="s">
        <v>85</v>
      </c>
      <c r="O88" t="s">
        <v>57</v>
      </c>
      <c r="P88" t="s">
        <v>371</v>
      </c>
    </row>
    <row r="89" spans="1:16" x14ac:dyDescent="0.25">
      <c r="A89" t="s">
        <v>0</v>
      </c>
      <c r="B89" s="2">
        <v>44588</v>
      </c>
      <c r="C89" s="5" t="s">
        <v>1</v>
      </c>
      <c r="D89" t="s">
        <v>507</v>
      </c>
      <c r="E89" t="s">
        <v>508</v>
      </c>
      <c r="F89" t="s">
        <v>4</v>
      </c>
      <c r="G89" t="s">
        <v>5</v>
      </c>
      <c r="H89" s="3">
        <v>9264.39</v>
      </c>
      <c r="I89" t="s">
        <v>509</v>
      </c>
      <c r="J89" t="s">
        <v>66</v>
      </c>
      <c r="K89" t="s">
        <v>8</v>
      </c>
      <c r="L89" t="s">
        <v>8</v>
      </c>
      <c r="M89" t="s">
        <v>8</v>
      </c>
      <c r="N89" t="s">
        <v>85</v>
      </c>
      <c r="O89" t="s">
        <v>57</v>
      </c>
      <c r="P89" t="s">
        <v>510</v>
      </c>
    </row>
    <row r="90" spans="1:16" x14ac:dyDescent="0.25">
      <c r="A90" t="s">
        <v>0</v>
      </c>
      <c r="B90" s="2">
        <v>44588</v>
      </c>
      <c r="C90" s="5" t="s">
        <v>1</v>
      </c>
      <c r="D90" t="s">
        <v>380</v>
      </c>
      <c r="E90" t="s">
        <v>381</v>
      </c>
      <c r="F90" t="s">
        <v>4</v>
      </c>
      <c r="G90" t="s">
        <v>5</v>
      </c>
      <c r="H90" s="3">
        <v>8028.89</v>
      </c>
      <c r="I90" t="s">
        <v>382</v>
      </c>
      <c r="J90" t="s">
        <v>66</v>
      </c>
      <c r="K90" t="s">
        <v>8</v>
      </c>
      <c r="L90" t="s">
        <v>8</v>
      </c>
      <c r="M90" t="s">
        <v>8</v>
      </c>
      <c r="N90" t="s">
        <v>85</v>
      </c>
      <c r="O90" t="s">
        <v>57</v>
      </c>
      <c r="P90" t="s">
        <v>561</v>
      </c>
    </row>
    <row r="91" spans="1:16" x14ac:dyDescent="0.25">
      <c r="A91" t="s">
        <v>0</v>
      </c>
      <c r="B91" s="2">
        <v>44588</v>
      </c>
      <c r="C91" s="5" t="s">
        <v>1</v>
      </c>
      <c r="D91" t="s">
        <v>122</v>
      </c>
      <c r="E91" t="s">
        <v>123</v>
      </c>
      <c r="F91" t="s">
        <v>4</v>
      </c>
      <c r="G91" t="s">
        <v>5</v>
      </c>
      <c r="H91" s="3">
        <v>7227.28</v>
      </c>
      <c r="I91" t="s">
        <v>397</v>
      </c>
      <c r="J91" t="s">
        <v>66</v>
      </c>
      <c r="K91" t="s">
        <v>8</v>
      </c>
      <c r="L91" t="s">
        <v>8</v>
      </c>
      <c r="M91" t="s">
        <v>8</v>
      </c>
      <c r="N91" t="s">
        <v>85</v>
      </c>
      <c r="O91" t="s">
        <v>57</v>
      </c>
      <c r="P91" t="s">
        <v>577</v>
      </c>
    </row>
    <row r="92" spans="1:16" x14ac:dyDescent="0.25">
      <c r="A92" t="s">
        <v>0</v>
      </c>
      <c r="B92" s="2">
        <v>44588</v>
      </c>
      <c r="C92" s="5" t="s">
        <v>1</v>
      </c>
      <c r="D92" t="s">
        <v>169</v>
      </c>
      <c r="E92" t="s">
        <v>170</v>
      </c>
      <c r="F92" t="s">
        <v>4</v>
      </c>
      <c r="G92" t="s">
        <v>5</v>
      </c>
      <c r="H92" s="3">
        <v>6649.57</v>
      </c>
      <c r="I92" t="s">
        <v>213</v>
      </c>
      <c r="J92" t="s">
        <v>66</v>
      </c>
      <c r="K92" t="s">
        <v>8</v>
      </c>
      <c r="L92" t="s">
        <v>8</v>
      </c>
      <c r="M92" t="s">
        <v>8</v>
      </c>
      <c r="N92" t="s">
        <v>85</v>
      </c>
      <c r="O92" t="s">
        <v>57</v>
      </c>
      <c r="P92" t="s">
        <v>601</v>
      </c>
    </row>
    <row r="93" spans="1:16" x14ac:dyDescent="0.25">
      <c r="A93" t="s">
        <v>0</v>
      </c>
      <c r="B93" s="2">
        <v>44588</v>
      </c>
      <c r="C93" s="5" t="s">
        <v>1</v>
      </c>
      <c r="D93" t="s">
        <v>624</v>
      </c>
      <c r="E93" t="s">
        <v>625</v>
      </c>
      <c r="F93" t="s">
        <v>4</v>
      </c>
      <c r="G93" t="s">
        <v>5</v>
      </c>
      <c r="H93" s="3">
        <v>6001.04</v>
      </c>
      <c r="I93" t="s">
        <v>626</v>
      </c>
      <c r="J93" t="s">
        <v>66</v>
      </c>
      <c r="K93" t="s">
        <v>8</v>
      </c>
      <c r="L93" t="s">
        <v>8</v>
      </c>
      <c r="M93" t="s">
        <v>8</v>
      </c>
      <c r="N93" t="s">
        <v>85</v>
      </c>
      <c r="O93" t="s">
        <v>57</v>
      </c>
      <c r="P93" t="s">
        <v>629</v>
      </c>
    </row>
    <row r="94" spans="1:16" x14ac:dyDescent="0.25">
      <c r="A94" t="s">
        <v>0</v>
      </c>
      <c r="B94" s="2">
        <v>44588</v>
      </c>
      <c r="C94" s="5" t="s">
        <v>1</v>
      </c>
      <c r="D94" t="s">
        <v>534</v>
      </c>
      <c r="E94" t="s">
        <v>535</v>
      </c>
      <c r="F94" t="s">
        <v>4</v>
      </c>
      <c r="G94" t="s">
        <v>5</v>
      </c>
      <c r="H94" s="3">
        <v>4907.43</v>
      </c>
      <c r="I94" t="s">
        <v>536</v>
      </c>
      <c r="J94" t="s">
        <v>66</v>
      </c>
      <c r="K94" t="s">
        <v>8</v>
      </c>
      <c r="L94" t="s">
        <v>8</v>
      </c>
      <c r="M94" t="s">
        <v>8</v>
      </c>
      <c r="N94" t="s">
        <v>85</v>
      </c>
      <c r="O94" t="s">
        <v>57</v>
      </c>
      <c r="P94" t="s">
        <v>696</v>
      </c>
    </row>
    <row r="95" spans="1:16" x14ac:dyDescent="0.25">
      <c r="A95" t="s">
        <v>0</v>
      </c>
      <c r="B95" s="2">
        <v>44588</v>
      </c>
      <c r="C95" s="5" t="s">
        <v>1</v>
      </c>
      <c r="D95" t="s">
        <v>514</v>
      </c>
      <c r="E95" t="s">
        <v>515</v>
      </c>
      <c r="F95" t="s">
        <v>4</v>
      </c>
      <c r="G95" t="s">
        <v>5</v>
      </c>
      <c r="H95" s="3">
        <v>4053.66</v>
      </c>
      <c r="I95" t="s">
        <v>516</v>
      </c>
      <c r="J95" t="s">
        <v>66</v>
      </c>
      <c r="K95" t="s">
        <v>8</v>
      </c>
      <c r="L95" t="s">
        <v>8</v>
      </c>
      <c r="M95" t="s">
        <v>8</v>
      </c>
      <c r="N95" t="s">
        <v>745</v>
      </c>
      <c r="O95" t="s">
        <v>57</v>
      </c>
      <c r="P95" t="s">
        <v>746</v>
      </c>
    </row>
    <row r="96" spans="1:16" x14ac:dyDescent="0.25">
      <c r="A96" t="s">
        <v>0</v>
      </c>
      <c r="B96" s="2">
        <v>44588</v>
      </c>
      <c r="C96" s="5" t="s">
        <v>1</v>
      </c>
      <c r="D96" t="s">
        <v>881</v>
      </c>
      <c r="E96" t="s">
        <v>882</v>
      </c>
      <c r="F96" t="s">
        <v>4</v>
      </c>
      <c r="G96" t="s">
        <v>5</v>
      </c>
      <c r="H96" s="3">
        <v>1582.79</v>
      </c>
      <c r="I96" t="s">
        <v>1065</v>
      </c>
      <c r="J96" t="s">
        <v>66</v>
      </c>
      <c r="K96" t="s">
        <v>8</v>
      </c>
      <c r="L96" t="s">
        <v>8</v>
      </c>
      <c r="M96" t="s">
        <v>8</v>
      </c>
      <c r="N96" t="s">
        <v>85</v>
      </c>
      <c r="O96" t="s">
        <v>57</v>
      </c>
      <c r="P96" t="s">
        <v>630</v>
      </c>
    </row>
    <row r="97" spans="1:16" x14ac:dyDescent="0.25">
      <c r="A97" t="s">
        <v>0</v>
      </c>
      <c r="B97" s="2">
        <v>44588</v>
      </c>
      <c r="C97" s="5" t="s">
        <v>1</v>
      </c>
      <c r="D97" t="s">
        <v>822</v>
      </c>
      <c r="E97" t="s">
        <v>823</v>
      </c>
      <c r="F97" t="s">
        <v>4</v>
      </c>
      <c r="G97" t="s">
        <v>5</v>
      </c>
      <c r="H97" s="3">
        <v>1435.53</v>
      </c>
      <c r="I97" t="s">
        <v>824</v>
      </c>
      <c r="J97" t="s">
        <v>66</v>
      </c>
      <c r="K97" t="s">
        <v>8</v>
      </c>
      <c r="L97" t="s">
        <v>8</v>
      </c>
      <c r="M97" t="s">
        <v>8</v>
      </c>
      <c r="N97" t="s">
        <v>745</v>
      </c>
      <c r="O97" t="s">
        <v>57</v>
      </c>
      <c r="P97" t="s">
        <v>1099</v>
      </c>
    </row>
    <row r="98" spans="1:16" x14ac:dyDescent="0.25">
      <c r="A98" t="s">
        <v>0</v>
      </c>
      <c r="B98" s="2">
        <v>44588</v>
      </c>
      <c r="C98" s="5" t="s">
        <v>1</v>
      </c>
      <c r="D98" t="s">
        <v>514</v>
      </c>
      <c r="E98" t="s">
        <v>515</v>
      </c>
      <c r="F98" t="s">
        <v>4</v>
      </c>
      <c r="G98" t="s">
        <v>5</v>
      </c>
      <c r="H98" s="3">
        <v>1277.04</v>
      </c>
      <c r="I98" t="s">
        <v>889</v>
      </c>
      <c r="J98" t="s">
        <v>66</v>
      </c>
      <c r="K98" t="s">
        <v>8</v>
      </c>
      <c r="L98" t="s">
        <v>8</v>
      </c>
      <c r="M98" t="s">
        <v>8</v>
      </c>
      <c r="N98" t="s">
        <v>745</v>
      </c>
      <c r="O98" t="s">
        <v>57</v>
      </c>
      <c r="P98" t="s">
        <v>184</v>
      </c>
    </row>
    <row r="99" spans="1:16" x14ac:dyDescent="0.25">
      <c r="A99" t="s">
        <v>0</v>
      </c>
      <c r="B99" s="2">
        <v>44588</v>
      </c>
      <c r="C99" s="5" t="s">
        <v>1</v>
      </c>
      <c r="D99" t="s">
        <v>769</v>
      </c>
      <c r="E99" t="s">
        <v>770</v>
      </c>
      <c r="F99" t="s">
        <v>4</v>
      </c>
      <c r="G99" t="s">
        <v>5</v>
      </c>
      <c r="H99" s="3">
        <v>993.22</v>
      </c>
      <c r="I99" t="s">
        <v>771</v>
      </c>
      <c r="J99" t="s">
        <v>66</v>
      </c>
      <c r="K99" t="s">
        <v>8</v>
      </c>
      <c r="L99" t="s">
        <v>8</v>
      </c>
      <c r="M99" t="s">
        <v>8</v>
      </c>
      <c r="N99" t="s">
        <v>745</v>
      </c>
      <c r="O99" t="s">
        <v>57</v>
      </c>
      <c r="P99" t="s">
        <v>325</v>
      </c>
    </row>
    <row r="100" spans="1:16" x14ac:dyDescent="0.25">
      <c r="A100" t="s">
        <v>0</v>
      </c>
      <c r="B100" s="2">
        <v>44588</v>
      </c>
      <c r="C100" s="5" t="s">
        <v>1</v>
      </c>
      <c r="D100" t="s">
        <v>951</v>
      </c>
      <c r="E100" t="s">
        <v>952</v>
      </c>
      <c r="F100" t="s">
        <v>4</v>
      </c>
      <c r="G100" t="s">
        <v>5</v>
      </c>
      <c r="H100" s="3">
        <v>505.91</v>
      </c>
      <c r="I100" t="s">
        <v>1178</v>
      </c>
      <c r="J100" t="s">
        <v>66</v>
      </c>
      <c r="K100" t="s">
        <v>8</v>
      </c>
      <c r="L100" t="s">
        <v>8</v>
      </c>
      <c r="M100" t="s">
        <v>8</v>
      </c>
      <c r="N100" t="s">
        <v>745</v>
      </c>
      <c r="O100" t="s">
        <v>57</v>
      </c>
      <c r="P100" t="s">
        <v>1474</v>
      </c>
    </row>
    <row r="101" spans="1:16" x14ac:dyDescent="0.25">
      <c r="A101" t="s">
        <v>0</v>
      </c>
      <c r="B101" s="2">
        <v>44588</v>
      </c>
      <c r="C101" s="5" t="s">
        <v>1</v>
      </c>
      <c r="D101" t="s">
        <v>1184</v>
      </c>
      <c r="E101" t="s">
        <v>1185</v>
      </c>
      <c r="F101" t="s">
        <v>4</v>
      </c>
      <c r="G101" t="s">
        <v>5</v>
      </c>
      <c r="H101" s="3">
        <v>407.84</v>
      </c>
      <c r="I101" t="s">
        <v>1186</v>
      </c>
      <c r="J101" t="s">
        <v>66</v>
      </c>
      <c r="K101" t="s">
        <v>8</v>
      </c>
      <c r="L101" t="s">
        <v>8</v>
      </c>
      <c r="M101" t="s">
        <v>8</v>
      </c>
      <c r="N101" t="s">
        <v>745</v>
      </c>
      <c r="O101" t="s">
        <v>57</v>
      </c>
      <c r="P101" t="s">
        <v>909</v>
      </c>
    </row>
    <row r="102" spans="1:16" x14ac:dyDescent="0.25">
      <c r="A102" t="s">
        <v>0</v>
      </c>
      <c r="B102" s="2">
        <v>44588</v>
      </c>
      <c r="C102" s="5" t="s">
        <v>1</v>
      </c>
      <c r="D102" t="s">
        <v>1506</v>
      </c>
      <c r="E102" t="s">
        <v>1507</v>
      </c>
      <c r="F102" t="s">
        <v>4</v>
      </c>
      <c r="G102" t="s">
        <v>5</v>
      </c>
      <c r="H102" s="3">
        <v>208.69</v>
      </c>
      <c r="I102" t="s">
        <v>1508</v>
      </c>
      <c r="J102" t="s">
        <v>66</v>
      </c>
      <c r="K102" t="s">
        <v>8</v>
      </c>
      <c r="L102" t="s">
        <v>8</v>
      </c>
      <c r="M102" t="s">
        <v>8</v>
      </c>
      <c r="N102" t="s">
        <v>745</v>
      </c>
      <c r="O102" t="s">
        <v>57</v>
      </c>
      <c r="P102" t="s">
        <v>1771</v>
      </c>
    </row>
    <row r="103" spans="1:16" x14ac:dyDescent="0.25">
      <c r="A103" t="s">
        <v>0</v>
      </c>
      <c r="B103" s="2">
        <v>44588</v>
      </c>
      <c r="C103" s="5" t="s">
        <v>1</v>
      </c>
      <c r="D103" t="s">
        <v>380</v>
      </c>
      <c r="E103" t="s">
        <v>381</v>
      </c>
      <c r="F103" t="s">
        <v>4</v>
      </c>
      <c r="G103" t="s">
        <v>5</v>
      </c>
      <c r="H103" s="3">
        <v>187.37</v>
      </c>
      <c r="I103" t="s">
        <v>1587</v>
      </c>
      <c r="J103" t="s">
        <v>66</v>
      </c>
      <c r="K103" t="s">
        <v>8</v>
      </c>
      <c r="L103" t="s">
        <v>8</v>
      </c>
      <c r="M103" t="s">
        <v>8</v>
      </c>
      <c r="N103" t="s">
        <v>745</v>
      </c>
      <c r="O103" t="s">
        <v>57</v>
      </c>
      <c r="P103" t="s">
        <v>1792</v>
      </c>
    </row>
    <row r="104" spans="1:16" x14ac:dyDescent="0.25">
      <c r="A104" t="s">
        <v>0</v>
      </c>
      <c r="B104" s="2">
        <v>44588</v>
      </c>
      <c r="C104" s="5" t="s">
        <v>1</v>
      </c>
      <c r="D104" t="s">
        <v>1506</v>
      </c>
      <c r="E104" t="s">
        <v>1507</v>
      </c>
      <c r="F104" t="s">
        <v>4</v>
      </c>
      <c r="G104" t="s">
        <v>5</v>
      </c>
      <c r="H104" s="3">
        <v>149.80000000000001</v>
      </c>
      <c r="I104" t="s">
        <v>1601</v>
      </c>
      <c r="J104" t="s">
        <v>66</v>
      </c>
      <c r="K104" t="s">
        <v>8</v>
      </c>
      <c r="L104" t="s">
        <v>8</v>
      </c>
      <c r="M104" t="s">
        <v>8</v>
      </c>
      <c r="N104" t="s">
        <v>745</v>
      </c>
      <c r="O104" t="s">
        <v>57</v>
      </c>
      <c r="P104" t="s">
        <v>58</v>
      </c>
    </row>
    <row r="105" spans="1:16" x14ac:dyDescent="0.25">
      <c r="A105" t="s">
        <v>0</v>
      </c>
      <c r="B105" s="2">
        <v>44588</v>
      </c>
      <c r="C105" s="5" t="s">
        <v>1</v>
      </c>
      <c r="D105" t="s">
        <v>624</v>
      </c>
      <c r="E105" t="s">
        <v>625</v>
      </c>
      <c r="F105" t="s">
        <v>4</v>
      </c>
      <c r="G105" t="s">
        <v>5</v>
      </c>
      <c r="H105" s="3">
        <v>54.6</v>
      </c>
      <c r="I105" t="s">
        <v>1841</v>
      </c>
      <c r="J105" t="s">
        <v>66</v>
      </c>
      <c r="K105" t="s">
        <v>8</v>
      </c>
      <c r="L105" t="s">
        <v>8</v>
      </c>
      <c r="M105" t="s">
        <v>8</v>
      </c>
      <c r="N105" t="s">
        <v>745</v>
      </c>
      <c r="O105" t="s">
        <v>57</v>
      </c>
      <c r="P105" t="s">
        <v>2039</v>
      </c>
    </row>
    <row r="106" spans="1:16" x14ac:dyDescent="0.25">
      <c r="A106" t="s">
        <v>0</v>
      </c>
      <c r="B106" s="2">
        <v>44588</v>
      </c>
      <c r="C106" s="5" t="s">
        <v>1</v>
      </c>
      <c r="D106" t="s">
        <v>951</v>
      </c>
      <c r="E106" t="s">
        <v>952</v>
      </c>
      <c r="F106" t="s">
        <v>4</v>
      </c>
      <c r="G106" t="s">
        <v>5</v>
      </c>
      <c r="H106" s="3">
        <v>-8.84</v>
      </c>
      <c r="I106" t="s">
        <v>1359</v>
      </c>
      <c r="J106" t="s">
        <v>2165</v>
      </c>
      <c r="K106" t="s">
        <v>8</v>
      </c>
      <c r="L106" t="s">
        <v>8</v>
      </c>
      <c r="M106" t="s">
        <v>8</v>
      </c>
      <c r="N106" t="s">
        <v>745</v>
      </c>
      <c r="O106" t="s">
        <v>57</v>
      </c>
      <c r="P106" t="s">
        <v>2166</v>
      </c>
    </row>
    <row r="107" spans="1:16" x14ac:dyDescent="0.25">
      <c r="A107" t="s">
        <v>0</v>
      </c>
      <c r="B107" s="2">
        <v>44588</v>
      </c>
      <c r="C107" s="5" t="s">
        <v>1</v>
      </c>
      <c r="D107" t="s">
        <v>644</v>
      </c>
      <c r="E107" t="s">
        <v>645</v>
      </c>
      <c r="F107" t="s">
        <v>4</v>
      </c>
      <c r="G107" t="s">
        <v>5</v>
      </c>
      <c r="H107" s="3">
        <v>-15.18</v>
      </c>
      <c r="I107" t="s">
        <v>2167</v>
      </c>
      <c r="J107" t="s">
        <v>2165</v>
      </c>
      <c r="K107" t="s">
        <v>8</v>
      </c>
      <c r="L107" t="s">
        <v>8</v>
      </c>
      <c r="M107" t="s">
        <v>8</v>
      </c>
      <c r="N107" t="s">
        <v>745</v>
      </c>
      <c r="O107" t="s">
        <v>57</v>
      </c>
      <c r="P107" t="s">
        <v>2168</v>
      </c>
    </row>
    <row r="108" spans="1:16" x14ac:dyDescent="0.25">
      <c r="A108" t="s">
        <v>0</v>
      </c>
      <c r="B108" s="2">
        <v>44588</v>
      </c>
      <c r="C108" s="5" t="s">
        <v>1</v>
      </c>
      <c r="D108" t="s">
        <v>108</v>
      </c>
      <c r="E108" t="s">
        <v>109</v>
      </c>
      <c r="F108" t="s">
        <v>4</v>
      </c>
      <c r="G108" t="s">
        <v>5</v>
      </c>
      <c r="H108" s="3">
        <v>-18.809999999999999</v>
      </c>
      <c r="I108" t="s">
        <v>2175</v>
      </c>
      <c r="J108" t="s">
        <v>2165</v>
      </c>
      <c r="K108" t="s">
        <v>8</v>
      </c>
      <c r="L108" t="s">
        <v>8</v>
      </c>
      <c r="M108" t="s">
        <v>8</v>
      </c>
      <c r="N108" t="s">
        <v>745</v>
      </c>
      <c r="O108" t="s">
        <v>57</v>
      </c>
      <c r="P108" t="s">
        <v>142</v>
      </c>
    </row>
    <row r="109" spans="1:16" x14ac:dyDescent="0.25">
      <c r="A109" t="s">
        <v>0</v>
      </c>
      <c r="B109" s="2">
        <v>44588</v>
      </c>
      <c r="C109" s="5" t="s">
        <v>1</v>
      </c>
      <c r="D109" t="s">
        <v>951</v>
      </c>
      <c r="E109" t="s">
        <v>952</v>
      </c>
      <c r="F109" t="s">
        <v>4</v>
      </c>
      <c r="G109" t="s">
        <v>5</v>
      </c>
      <c r="H109" s="3">
        <v>-61.31</v>
      </c>
      <c r="I109" t="s">
        <v>953</v>
      </c>
      <c r="J109" t="s">
        <v>2165</v>
      </c>
      <c r="K109" t="s">
        <v>8</v>
      </c>
      <c r="L109" t="s">
        <v>8</v>
      </c>
      <c r="M109" t="s">
        <v>8</v>
      </c>
      <c r="N109" t="s">
        <v>745</v>
      </c>
      <c r="O109" t="s">
        <v>57</v>
      </c>
      <c r="P109" t="s">
        <v>2187</v>
      </c>
    </row>
    <row r="110" spans="1:16" x14ac:dyDescent="0.25">
      <c r="A110" t="s">
        <v>0</v>
      </c>
      <c r="B110" s="2">
        <v>44588</v>
      </c>
      <c r="C110" s="5" t="s">
        <v>1</v>
      </c>
      <c r="D110" t="s">
        <v>2191</v>
      </c>
      <c r="E110" t="s">
        <v>2192</v>
      </c>
      <c r="F110" t="s">
        <v>4</v>
      </c>
      <c r="G110" t="s">
        <v>5</v>
      </c>
      <c r="H110" s="3">
        <v>-93.81</v>
      </c>
      <c r="I110" t="s">
        <v>2193</v>
      </c>
      <c r="J110" t="s">
        <v>2165</v>
      </c>
      <c r="K110" t="s">
        <v>8</v>
      </c>
      <c r="L110" t="s">
        <v>8</v>
      </c>
      <c r="M110" t="s">
        <v>8</v>
      </c>
      <c r="N110" t="s">
        <v>745</v>
      </c>
      <c r="O110" t="s">
        <v>57</v>
      </c>
      <c r="P110" t="s">
        <v>2197</v>
      </c>
    </row>
    <row r="111" spans="1:16" x14ac:dyDescent="0.25">
      <c r="A111" t="s">
        <v>0</v>
      </c>
      <c r="B111" s="2">
        <v>44588</v>
      </c>
      <c r="C111" s="5" t="s">
        <v>1</v>
      </c>
      <c r="D111" t="s">
        <v>1207</v>
      </c>
      <c r="E111" t="s">
        <v>1208</v>
      </c>
      <c r="F111" t="s">
        <v>4</v>
      </c>
      <c r="G111" t="s">
        <v>5</v>
      </c>
      <c r="H111" s="3">
        <v>-219.27</v>
      </c>
      <c r="I111" t="s">
        <v>2162</v>
      </c>
      <c r="J111" t="s">
        <v>2165</v>
      </c>
      <c r="K111" t="s">
        <v>8</v>
      </c>
      <c r="L111" t="s">
        <v>8</v>
      </c>
      <c r="M111" t="s">
        <v>8</v>
      </c>
      <c r="N111" t="s">
        <v>745</v>
      </c>
      <c r="O111" t="s">
        <v>57</v>
      </c>
      <c r="P111" t="s">
        <v>2210</v>
      </c>
    </row>
    <row r="112" spans="1:16" x14ac:dyDescent="0.25">
      <c r="A112" t="s">
        <v>0</v>
      </c>
      <c r="B112" s="2">
        <v>44588</v>
      </c>
      <c r="C112" s="5" t="s">
        <v>1</v>
      </c>
      <c r="D112" t="s">
        <v>108</v>
      </c>
      <c r="E112" t="s">
        <v>109</v>
      </c>
      <c r="F112" t="s">
        <v>4</v>
      </c>
      <c r="G112" t="s">
        <v>5</v>
      </c>
      <c r="H112" s="3">
        <v>-473.46</v>
      </c>
      <c r="I112" t="s">
        <v>2221</v>
      </c>
      <c r="J112" t="s">
        <v>2165</v>
      </c>
      <c r="K112" t="s">
        <v>8</v>
      </c>
      <c r="L112" t="s">
        <v>8</v>
      </c>
      <c r="M112" t="s">
        <v>8</v>
      </c>
      <c r="N112" t="s">
        <v>85</v>
      </c>
      <c r="O112" t="s">
        <v>57</v>
      </c>
      <c r="P112" t="s">
        <v>2222</v>
      </c>
    </row>
    <row r="113" spans="1:16" x14ac:dyDescent="0.25">
      <c r="A113" t="s">
        <v>0</v>
      </c>
      <c r="B113" s="2">
        <v>44588</v>
      </c>
      <c r="C113" s="5" t="s">
        <v>1</v>
      </c>
      <c r="D113" t="s">
        <v>644</v>
      </c>
      <c r="E113" t="s">
        <v>645</v>
      </c>
      <c r="F113" t="s">
        <v>4</v>
      </c>
      <c r="G113" t="s">
        <v>5</v>
      </c>
      <c r="H113" s="3">
        <v>-537.64</v>
      </c>
      <c r="I113" t="s">
        <v>2228</v>
      </c>
      <c r="J113" t="s">
        <v>2165</v>
      </c>
      <c r="K113" t="s">
        <v>8</v>
      </c>
      <c r="L113" t="s">
        <v>8</v>
      </c>
      <c r="M113" t="s">
        <v>8</v>
      </c>
      <c r="N113" t="s">
        <v>85</v>
      </c>
      <c r="O113" t="s">
        <v>57</v>
      </c>
      <c r="P113" t="s">
        <v>2232</v>
      </c>
    </row>
    <row r="114" spans="1:16" x14ac:dyDescent="0.25">
      <c r="A114" t="s">
        <v>0</v>
      </c>
      <c r="B114" s="2">
        <v>44588</v>
      </c>
      <c r="C114" s="5" t="s">
        <v>1</v>
      </c>
      <c r="D114" t="s">
        <v>108</v>
      </c>
      <c r="E114" t="s">
        <v>109</v>
      </c>
      <c r="F114" t="s">
        <v>4</v>
      </c>
      <c r="G114" t="s">
        <v>5</v>
      </c>
      <c r="H114" s="3">
        <v>-714.56</v>
      </c>
      <c r="I114" t="s">
        <v>2233</v>
      </c>
      <c r="J114" t="s">
        <v>2165</v>
      </c>
      <c r="K114" t="s">
        <v>8</v>
      </c>
      <c r="L114" t="s">
        <v>8</v>
      </c>
      <c r="M114" t="s">
        <v>8</v>
      </c>
      <c r="N114" t="s">
        <v>85</v>
      </c>
      <c r="O114" t="s">
        <v>57</v>
      </c>
      <c r="P114" t="s">
        <v>2235</v>
      </c>
    </row>
    <row r="115" spans="1:16" x14ac:dyDescent="0.25">
      <c r="A115" t="s">
        <v>0</v>
      </c>
      <c r="B115" s="2">
        <v>44588</v>
      </c>
      <c r="C115" s="5" t="s">
        <v>1</v>
      </c>
      <c r="D115" t="s">
        <v>108</v>
      </c>
      <c r="E115" t="s">
        <v>109</v>
      </c>
      <c r="F115" t="s">
        <v>4</v>
      </c>
      <c r="G115" t="s">
        <v>5</v>
      </c>
      <c r="H115" s="3">
        <v>-813.34</v>
      </c>
      <c r="I115" t="s">
        <v>2218</v>
      </c>
      <c r="J115" t="s">
        <v>2165</v>
      </c>
      <c r="K115" t="s">
        <v>8</v>
      </c>
      <c r="L115" t="s">
        <v>8</v>
      </c>
      <c r="M115" t="s">
        <v>8</v>
      </c>
      <c r="N115" t="s">
        <v>85</v>
      </c>
      <c r="O115" t="s">
        <v>57</v>
      </c>
      <c r="P115" t="s">
        <v>330</v>
      </c>
    </row>
    <row r="116" spans="1:16" x14ac:dyDescent="0.25">
      <c r="A116" t="s">
        <v>0</v>
      </c>
      <c r="B116" s="2">
        <v>44588</v>
      </c>
      <c r="C116" s="5" t="s">
        <v>1</v>
      </c>
      <c r="D116" t="s">
        <v>2191</v>
      </c>
      <c r="E116" t="s">
        <v>2192</v>
      </c>
      <c r="F116" t="s">
        <v>4</v>
      </c>
      <c r="G116" t="s">
        <v>5</v>
      </c>
      <c r="H116" s="3">
        <v>-1313.84</v>
      </c>
      <c r="I116" t="s">
        <v>2217</v>
      </c>
      <c r="J116" t="s">
        <v>2165</v>
      </c>
      <c r="K116" t="s">
        <v>8</v>
      </c>
      <c r="L116" t="s">
        <v>8</v>
      </c>
      <c r="M116" t="s">
        <v>8</v>
      </c>
      <c r="N116" t="s">
        <v>85</v>
      </c>
      <c r="O116" t="s">
        <v>57</v>
      </c>
      <c r="P116" t="s">
        <v>215</v>
      </c>
    </row>
    <row r="117" spans="1:16" x14ac:dyDescent="0.25">
      <c r="A117" t="s">
        <v>0</v>
      </c>
      <c r="B117" s="2">
        <v>44588</v>
      </c>
      <c r="C117" s="5" t="s">
        <v>1</v>
      </c>
      <c r="D117" t="s">
        <v>1207</v>
      </c>
      <c r="E117" t="s">
        <v>1208</v>
      </c>
      <c r="F117" t="s">
        <v>4</v>
      </c>
      <c r="G117" t="s">
        <v>5</v>
      </c>
      <c r="H117" s="3">
        <v>-1523.26</v>
      </c>
      <c r="I117" t="s">
        <v>2244</v>
      </c>
      <c r="J117" t="s">
        <v>2165</v>
      </c>
      <c r="K117" t="s">
        <v>8</v>
      </c>
      <c r="L117" t="s">
        <v>8</v>
      </c>
      <c r="M117" t="s">
        <v>8</v>
      </c>
      <c r="N117" t="s">
        <v>85</v>
      </c>
      <c r="O117" t="s">
        <v>57</v>
      </c>
      <c r="P117" t="s">
        <v>2249</v>
      </c>
    </row>
    <row r="118" spans="1:16" x14ac:dyDescent="0.25">
      <c r="A118" t="s">
        <v>0</v>
      </c>
      <c r="B118" s="2">
        <v>44589</v>
      </c>
      <c r="C118" t="s">
        <v>1</v>
      </c>
      <c r="D118" t="s">
        <v>90</v>
      </c>
      <c r="E118" t="s">
        <v>91</v>
      </c>
      <c r="F118" t="s">
        <v>4</v>
      </c>
      <c r="G118" t="s">
        <v>5</v>
      </c>
      <c r="H118" s="3">
        <v>50980.18</v>
      </c>
      <c r="I118" t="s">
        <v>158</v>
      </c>
      <c r="J118" t="s">
        <v>93</v>
      </c>
      <c r="K118" t="s">
        <v>8</v>
      </c>
      <c r="L118" t="s">
        <v>8</v>
      </c>
      <c r="M118" t="s">
        <v>8</v>
      </c>
      <c r="N118" t="s">
        <v>159</v>
      </c>
      <c r="O118" t="s">
        <v>95</v>
      </c>
      <c r="P118" t="s">
        <v>82</v>
      </c>
    </row>
    <row r="119" spans="1:16" x14ac:dyDescent="0.25">
      <c r="A119" t="s">
        <v>0</v>
      </c>
      <c r="B119" s="2">
        <v>44589</v>
      </c>
      <c r="C119" t="s">
        <v>1</v>
      </c>
      <c r="D119" t="s">
        <v>185</v>
      </c>
      <c r="E119" t="s">
        <v>186</v>
      </c>
      <c r="F119" t="s">
        <v>4</v>
      </c>
      <c r="G119" t="s">
        <v>5</v>
      </c>
      <c r="H119" s="3">
        <v>28230.5</v>
      </c>
      <c r="I119" t="s">
        <v>187</v>
      </c>
      <c r="J119" t="s">
        <v>188</v>
      </c>
      <c r="K119" t="s">
        <v>8</v>
      </c>
      <c r="L119" t="s">
        <v>8</v>
      </c>
      <c r="M119" t="s">
        <v>8</v>
      </c>
      <c r="N119" t="s">
        <v>189</v>
      </c>
      <c r="O119" t="s">
        <v>95</v>
      </c>
      <c r="P119" t="s">
        <v>190</v>
      </c>
    </row>
    <row r="120" spans="1:16" x14ac:dyDescent="0.25">
      <c r="A120" t="s">
        <v>0</v>
      </c>
      <c r="B120" s="2">
        <v>44589</v>
      </c>
      <c r="C120" t="s">
        <v>1</v>
      </c>
      <c r="D120" t="s">
        <v>294</v>
      </c>
      <c r="E120" t="s">
        <v>295</v>
      </c>
      <c r="F120" t="s">
        <v>4</v>
      </c>
      <c r="G120" t="s">
        <v>5</v>
      </c>
      <c r="H120" s="3">
        <v>20838.060000000001</v>
      </c>
      <c r="I120" t="s">
        <v>296</v>
      </c>
      <c r="J120" t="s">
        <v>297</v>
      </c>
      <c r="K120" t="s">
        <v>8</v>
      </c>
      <c r="L120" t="s">
        <v>298</v>
      </c>
      <c r="M120" t="s">
        <v>8</v>
      </c>
      <c r="N120" t="s">
        <v>299</v>
      </c>
      <c r="O120" t="s">
        <v>300</v>
      </c>
      <c r="P120" t="s">
        <v>72</v>
      </c>
    </row>
    <row r="121" spans="1:16" x14ac:dyDescent="0.25">
      <c r="A121" t="s">
        <v>0</v>
      </c>
      <c r="B121" s="2">
        <v>44589</v>
      </c>
      <c r="C121" t="s">
        <v>1</v>
      </c>
      <c r="D121" t="s">
        <v>333</v>
      </c>
      <c r="E121" t="s">
        <v>334</v>
      </c>
      <c r="F121" t="s">
        <v>4</v>
      </c>
      <c r="G121" t="s">
        <v>5</v>
      </c>
      <c r="H121" s="3">
        <v>14459.13</v>
      </c>
      <c r="I121" t="s">
        <v>344</v>
      </c>
      <c r="J121" t="s">
        <v>248</v>
      </c>
      <c r="K121" t="s">
        <v>8</v>
      </c>
      <c r="L121" t="s">
        <v>8</v>
      </c>
      <c r="M121" t="s">
        <v>8</v>
      </c>
      <c r="N121" t="s">
        <v>345</v>
      </c>
      <c r="O121" t="s">
        <v>95</v>
      </c>
      <c r="P121" t="s">
        <v>346</v>
      </c>
    </row>
    <row r="122" spans="1:16" x14ac:dyDescent="0.25">
      <c r="A122" t="s">
        <v>0</v>
      </c>
      <c r="B122" s="2">
        <v>44589</v>
      </c>
      <c r="C122" t="s">
        <v>1</v>
      </c>
      <c r="D122" t="s">
        <v>241</v>
      </c>
      <c r="E122" t="s">
        <v>242</v>
      </c>
      <c r="F122" t="s">
        <v>4</v>
      </c>
      <c r="G122" t="s">
        <v>5</v>
      </c>
      <c r="H122" s="3">
        <v>13363.24</v>
      </c>
      <c r="I122" t="s">
        <v>358</v>
      </c>
      <c r="J122" t="s">
        <v>359</v>
      </c>
      <c r="K122" t="s">
        <v>8</v>
      </c>
      <c r="L122" t="s">
        <v>8</v>
      </c>
      <c r="M122" t="s">
        <v>8</v>
      </c>
      <c r="N122" t="s">
        <v>360</v>
      </c>
      <c r="O122" t="s">
        <v>95</v>
      </c>
      <c r="P122" t="s">
        <v>361</v>
      </c>
    </row>
    <row r="123" spans="1:16" x14ac:dyDescent="0.25">
      <c r="A123" t="s">
        <v>0</v>
      </c>
      <c r="B123" s="2">
        <v>44589</v>
      </c>
      <c r="C123" s="5" t="s">
        <v>1</v>
      </c>
      <c r="D123" t="s">
        <v>453</v>
      </c>
      <c r="E123" t="s">
        <v>454</v>
      </c>
      <c r="F123" t="s">
        <v>4</v>
      </c>
      <c r="G123" t="s">
        <v>5</v>
      </c>
      <c r="H123" s="3">
        <v>9653.2800000000007</v>
      </c>
      <c r="I123" t="s">
        <v>455</v>
      </c>
      <c r="J123" t="s">
        <v>454</v>
      </c>
      <c r="K123" t="s">
        <v>8</v>
      </c>
      <c r="L123" t="s">
        <v>8</v>
      </c>
      <c r="M123" t="s">
        <v>8</v>
      </c>
      <c r="N123" t="s">
        <v>456</v>
      </c>
      <c r="O123" t="s">
        <v>121</v>
      </c>
      <c r="P123" t="s">
        <v>77</v>
      </c>
    </row>
    <row r="124" spans="1:16" x14ac:dyDescent="0.25">
      <c r="A124" t="s">
        <v>0</v>
      </c>
      <c r="B124" s="2">
        <v>44589</v>
      </c>
      <c r="C124" s="5" t="s">
        <v>1</v>
      </c>
      <c r="D124" t="s">
        <v>266</v>
      </c>
      <c r="E124" t="s">
        <v>267</v>
      </c>
      <c r="F124" t="s">
        <v>4</v>
      </c>
      <c r="G124" t="s">
        <v>5</v>
      </c>
      <c r="H124" s="3">
        <v>8046.7</v>
      </c>
      <c r="I124" t="s">
        <v>268</v>
      </c>
      <c r="J124" t="s">
        <v>8</v>
      </c>
      <c r="K124" t="s">
        <v>378</v>
      </c>
      <c r="L124" t="s">
        <v>8</v>
      </c>
      <c r="M124" t="s">
        <v>270</v>
      </c>
      <c r="N124" t="s">
        <v>560</v>
      </c>
      <c r="O124" t="s">
        <v>95</v>
      </c>
      <c r="P124" t="s">
        <v>12</v>
      </c>
    </row>
    <row r="125" spans="1:16" x14ac:dyDescent="0.25">
      <c r="A125" t="s">
        <v>0</v>
      </c>
      <c r="B125" s="2">
        <v>44589</v>
      </c>
      <c r="C125" s="5" t="s">
        <v>1</v>
      </c>
      <c r="D125" t="s">
        <v>453</v>
      </c>
      <c r="E125" t="s">
        <v>454</v>
      </c>
      <c r="F125" t="s">
        <v>4</v>
      </c>
      <c r="G125" t="s">
        <v>5</v>
      </c>
      <c r="H125" s="3">
        <v>7171.05</v>
      </c>
      <c r="I125" t="s">
        <v>455</v>
      </c>
      <c r="J125" t="s">
        <v>454</v>
      </c>
      <c r="K125" t="s">
        <v>8</v>
      </c>
      <c r="L125" t="s">
        <v>8</v>
      </c>
      <c r="M125" t="s">
        <v>8</v>
      </c>
      <c r="N125" t="s">
        <v>578</v>
      </c>
      <c r="O125" t="s">
        <v>121</v>
      </c>
      <c r="P125" t="s">
        <v>579</v>
      </c>
    </row>
    <row r="126" spans="1:16" x14ac:dyDescent="0.25">
      <c r="A126" t="s">
        <v>0</v>
      </c>
      <c r="B126" s="2">
        <v>44589</v>
      </c>
      <c r="C126" s="5" t="s">
        <v>1</v>
      </c>
      <c r="D126" t="s">
        <v>453</v>
      </c>
      <c r="E126" t="s">
        <v>454</v>
      </c>
      <c r="F126" t="s">
        <v>4</v>
      </c>
      <c r="G126" t="s">
        <v>5</v>
      </c>
      <c r="H126" s="3">
        <v>4402.3599999999997</v>
      </c>
      <c r="I126" t="s">
        <v>455</v>
      </c>
      <c r="J126" t="s">
        <v>454</v>
      </c>
      <c r="K126" t="s">
        <v>8</v>
      </c>
      <c r="L126" t="s">
        <v>8</v>
      </c>
      <c r="M126" t="s">
        <v>8</v>
      </c>
      <c r="N126" t="s">
        <v>732</v>
      </c>
      <c r="O126" t="s">
        <v>121</v>
      </c>
      <c r="P126" t="s">
        <v>733</v>
      </c>
    </row>
    <row r="127" spans="1:16" x14ac:dyDescent="0.25">
      <c r="A127" t="s">
        <v>0</v>
      </c>
      <c r="B127" s="2">
        <v>44589</v>
      </c>
      <c r="C127" s="5" t="s">
        <v>1</v>
      </c>
      <c r="D127" t="s">
        <v>301</v>
      </c>
      <c r="E127" t="s">
        <v>302</v>
      </c>
      <c r="F127" t="s">
        <v>4</v>
      </c>
      <c r="G127" t="s">
        <v>5</v>
      </c>
      <c r="H127" s="3">
        <v>3625.89</v>
      </c>
      <c r="I127" t="s">
        <v>268</v>
      </c>
      <c r="J127" t="s">
        <v>8</v>
      </c>
      <c r="K127" t="s">
        <v>378</v>
      </c>
      <c r="L127" t="s">
        <v>8</v>
      </c>
      <c r="M127" t="s">
        <v>270</v>
      </c>
      <c r="N127" t="s">
        <v>560</v>
      </c>
      <c r="O127" t="s">
        <v>95</v>
      </c>
      <c r="P127" t="s">
        <v>43</v>
      </c>
    </row>
    <row r="128" spans="1:16" x14ac:dyDescent="0.25">
      <c r="A128" t="s">
        <v>0</v>
      </c>
      <c r="B128" s="2">
        <v>44589</v>
      </c>
      <c r="C128" s="5" t="s">
        <v>1</v>
      </c>
      <c r="D128" t="s">
        <v>453</v>
      </c>
      <c r="E128" t="s">
        <v>454</v>
      </c>
      <c r="F128" t="s">
        <v>4</v>
      </c>
      <c r="G128" t="s">
        <v>5</v>
      </c>
      <c r="H128" s="3">
        <v>2861.99</v>
      </c>
      <c r="I128" t="s">
        <v>455</v>
      </c>
      <c r="J128" t="s">
        <v>454</v>
      </c>
      <c r="K128" t="s">
        <v>8</v>
      </c>
      <c r="L128" t="s">
        <v>8</v>
      </c>
      <c r="M128" t="s">
        <v>8</v>
      </c>
      <c r="N128" t="s">
        <v>848</v>
      </c>
      <c r="O128" t="s">
        <v>121</v>
      </c>
      <c r="P128" t="s">
        <v>642</v>
      </c>
    </row>
    <row r="129" spans="1:16" x14ac:dyDescent="0.25">
      <c r="A129" t="s">
        <v>0</v>
      </c>
      <c r="B129" s="2">
        <v>44589</v>
      </c>
      <c r="C129" s="5" t="s">
        <v>1</v>
      </c>
      <c r="D129" t="s">
        <v>301</v>
      </c>
      <c r="E129" t="s">
        <v>302</v>
      </c>
      <c r="F129" t="s">
        <v>4</v>
      </c>
      <c r="G129" t="s">
        <v>5</v>
      </c>
      <c r="H129" s="3">
        <v>2698.26</v>
      </c>
      <c r="I129" t="s">
        <v>268</v>
      </c>
      <c r="J129" t="s">
        <v>8</v>
      </c>
      <c r="K129" t="s">
        <v>858</v>
      </c>
      <c r="L129" t="s">
        <v>8</v>
      </c>
      <c r="M129" t="s">
        <v>270</v>
      </c>
      <c r="N129" t="s">
        <v>859</v>
      </c>
      <c r="O129" t="s">
        <v>272</v>
      </c>
      <c r="P129" t="s">
        <v>43</v>
      </c>
    </row>
    <row r="130" spans="1:16" x14ac:dyDescent="0.25">
      <c r="A130" t="s">
        <v>0</v>
      </c>
      <c r="B130" s="2">
        <v>44589</v>
      </c>
      <c r="C130" s="5" t="s">
        <v>1</v>
      </c>
      <c r="D130" t="s">
        <v>1003</v>
      </c>
      <c r="E130" t="s">
        <v>1004</v>
      </c>
      <c r="F130" t="s">
        <v>4</v>
      </c>
      <c r="G130" t="s">
        <v>5</v>
      </c>
      <c r="H130" s="3">
        <v>1793.55</v>
      </c>
      <c r="I130" t="s">
        <v>158</v>
      </c>
      <c r="J130" t="s">
        <v>93</v>
      </c>
      <c r="K130" t="s">
        <v>8</v>
      </c>
      <c r="L130" t="s">
        <v>8</v>
      </c>
      <c r="M130" t="s">
        <v>8</v>
      </c>
      <c r="N130" t="s">
        <v>159</v>
      </c>
      <c r="O130" t="s">
        <v>95</v>
      </c>
      <c r="P130" t="s">
        <v>613</v>
      </c>
    </row>
    <row r="131" spans="1:16" x14ac:dyDescent="0.25">
      <c r="A131" t="s">
        <v>0</v>
      </c>
      <c r="B131" s="2">
        <v>44589</v>
      </c>
      <c r="C131" s="5" t="s">
        <v>1</v>
      </c>
      <c r="D131" t="s">
        <v>301</v>
      </c>
      <c r="E131" t="s">
        <v>302</v>
      </c>
      <c r="F131" t="s">
        <v>4</v>
      </c>
      <c r="G131" t="s">
        <v>5</v>
      </c>
      <c r="H131" s="3">
        <v>1564.21</v>
      </c>
      <c r="I131" t="s">
        <v>268</v>
      </c>
      <c r="J131" t="s">
        <v>8</v>
      </c>
      <c r="K131" t="s">
        <v>826</v>
      </c>
      <c r="L131" t="s">
        <v>8</v>
      </c>
      <c r="M131" t="s">
        <v>270</v>
      </c>
      <c r="N131" t="s">
        <v>1067</v>
      </c>
      <c r="O131" t="s">
        <v>272</v>
      </c>
      <c r="P131" t="s">
        <v>246</v>
      </c>
    </row>
    <row r="132" spans="1:16" x14ac:dyDescent="0.25">
      <c r="A132" t="s">
        <v>0</v>
      </c>
      <c r="B132" s="2">
        <v>44589</v>
      </c>
      <c r="C132" s="5" t="s">
        <v>1</v>
      </c>
      <c r="D132" t="s">
        <v>266</v>
      </c>
      <c r="E132" t="s">
        <v>267</v>
      </c>
      <c r="F132" t="s">
        <v>4</v>
      </c>
      <c r="G132" t="s">
        <v>5</v>
      </c>
      <c r="H132" s="3">
        <v>1254.3599999999999</v>
      </c>
      <c r="I132" t="s">
        <v>268</v>
      </c>
      <c r="J132" t="s">
        <v>8</v>
      </c>
      <c r="K132" t="s">
        <v>1138</v>
      </c>
      <c r="L132" t="s">
        <v>8</v>
      </c>
      <c r="M132" t="s">
        <v>270</v>
      </c>
      <c r="N132" t="s">
        <v>1139</v>
      </c>
      <c r="O132" t="s">
        <v>272</v>
      </c>
      <c r="P132" t="s">
        <v>12</v>
      </c>
    </row>
    <row r="133" spans="1:16" x14ac:dyDescent="0.25">
      <c r="A133" t="s">
        <v>0</v>
      </c>
      <c r="B133" s="2">
        <v>44589</v>
      </c>
      <c r="C133" s="5" t="s">
        <v>1</v>
      </c>
      <c r="D133" t="s">
        <v>301</v>
      </c>
      <c r="E133" t="s">
        <v>302</v>
      </c>
      <c r="F133" t="s">
        <v>4</v>
      </c>
      <c r="G133" t="s">
        <v>5</v>
      </c>
      <c r="H133" s="3">
        <v>1211.31</v>
      </c>
      <c r="I133" t="s">
        <v>268</v>
      </c>
      <c r="J133" t="s">
        <v>8</v>
      </c>
      <c r="K133" t="s">
        <v>890</v>
      </c>
      <c r="L133" t="s">
        <v>8</v>
      </c>
      <c r="M133" t="s">
        <v>270</v>
      </c>
      <c r="N133" t="s">
        <v>1143</v>
      </c>
      <c r="O133" t="s">
        <v>272</v>
      </c>
      <c r="P133" t="s">
        <v>1144</v>
      </c>
    </row>
    <row r="134" spans="1:16" x14ac:dyDescent="0.25">
      <c r="A134" t="s">
        <v>0</v>
      </c>
      <c r="B134" s="2">
        <v>44589</v>
      </c>
      <c r="C134" s="5" t="s">
        <v>1</v>
      </c>
      <c r="D134" t="s">
        <v>301</v>
      </c>
      <c r="E134" t="s">
        <v>302</v>
      </c>
      <c r="F134" t="s">
        <v>4</v>
      </c>
      <c r="G134" t="s">
        <v>5</v>
      </c>
      <c r="H134" s="3">
        <v>1136.58</v>
      </c>
      <c r="I134" t="s">
        <v>268</v>
      </c>
      <c r="J134" t="s">
        <v>8</v>
      </c>
      <c r="K134" t="s">
        <v>1165</v>
      </c>
      <c r="L134" t="s">
        <v>8</v>
      </c>
      <c r="M134" t="s">
        <v>270</v>
      </c>
      <c r="N134" t="s">
        <v>1166</v>
      </c>
      <c r="O134" t="s">
        <v>272</v>
      </c>
      <c r="P134" t="s">
        <v>43</v>
      </c>
    </row>
    <row r="135" spans="1:16" x14ac:dyDescent="0.25">
      <c r="A135" t="s">
        <v>0</v>
      </c>
      <c r="B135" s="2">
        <v>44589</v>
      </c>
      <c r="C135" s="5" t="s">
        <v>1</v>
      </c>
      <c r="D135" t="s">
        <v>266</v>
      </c>
      <c r="E135" t="s">
        <v>267</v>
      </c>
      <c r="F135" t="s">
        <v>4</v>
      </c>
      <c r="G135" t="s">
        <v>5</v>
      </c>
      <c r="H135" s="3">
        <v>1029.79</v>
      </c>
      <c r="I135" t="s">
        <v>268</v>
      </c>
      <c r="J135" t="s">
        <v>8</v>
      </c>
      <c r="K135" t="s">
        <v>858</v>
      </c>
      <c r="L135" t="s">
        <v>8</v>
      </c>
      <c r="M135" t="s">
        <v>270</v>
      </c>
      <c r="N135" t="s">
        <v>1206</v>
      </c>
      <c r="O135" t="s">
        <v>95</v>
      </c>
      <c r="P135" t="s">
        <v>12</v>
      </c>
    </row>
    <row r="136" spans="1:16" x14ac:dyDescent="0.25">
      <c r="A136" t="s">
        <v>0</v>
      </c>
      <c r="B136" s="2">
        <v>44589</v>
      </c>
      <c r="C136" s="5" t="s">
        <v>1</v>
      </c>
      <c r="D136" t="s">
        <v>301</v>
      </c>
      <c r="E136" t="s">
        <v>302</v>
      </c>
      <c r="F136" t="s">
        <v>4</v>
      </c>
      <c r="G136" t="s">
        <v>5</v>
      </c>
      <c r="H136" s="3">
        <v>784.95</v>
      </c>
      <c r="I136" t="s">
        <v>268</v>
      </c>
      <c r="J136" t="s">
        <v>8</v>
      </c>
      <c r="K136" t="s">
        <v>1348</v>
      </c>
      <c r="L136" t="s">
        <v>8</v>
      </c>
      <c r="M136" t="s">
        <v>270</v>
      </c>
      <c r="N136" t="s">
        <v>1349</v>
      </c>
      <c r="O136" t="s">
        <v>272</v>
      </c>
      <c r="P136" t="s">
        <v>22</v>
      </c>
    </row>
    <row r="137" spans="1:16" x14ac:dyDescent="0.25">
      <c r="A137" t="s">
        <v>0</v>
      </c>
      <c r="B137" s="2">
        <v>44589</v>
      </c>
      <c r="C137" s="5" t="s">
        <v>1</v>
      </c>
      <c r="D137" t="s">
        <v>266</v>
      </c>
      <c r="E137" t="s">
        <v>267</v>
      </c>
      <c r="F137" t="s">
        <v>4</v>
      </c>
      <c r="G137" t="s">
        <v>5</v>
      </c>
      <c r="H137" s="3">
        <v>772.3</v>
      </c>
      <c r="I137" t="s">
        <v>268</v>
      </c>
      <c r="J137" t="s">
        <v>8</v>
      </c>
      <c r="K137" t="s">
        <v>858</v>
      </c>
      <c r="L137" t="s">
        <v>8</v>
      </c>
      <c r="M137" t="s">
        <v>270</v>
      </c>
      <c r="N137" t="s">
        <v>859</v>
      </c>
      <c r="O137" t="s">
        <v>272</v>
      </c>
      <c r="P137" t="s">
        <v>12</v>
      </c>
    </row>
    <row r="138" spans="1:16" x14ac:dyDescent="0.25">
      <c r="A138" t="s">
        <v>0</v>
      </c>
      <c r="B138" s="2">
        <v>44589</v>
      </c>
      <c r="C138" s="5" t="s">
        <v>1</v>
      </c>
      <c r="D138" t="s">
        <v>266</v>
      </c>
      <c r="E138" t="s">
        <v>267</v>
      </c>
      <c r="F138" t="s">
        <v>4</v>
      </c>
      <c r="G138" t="s">
        <v>5</v>
      </c>
      <c r="H138" s="3">
        <v>730.38</v>
      </c>
      <c r="I138" t="s">
        <v>268</v>
      </c>
      <c r="J138" t="s">
        <v>8</v>
      </c>
      <c r="K138" t="s">
        <v>1138</v>
      </c>
      <c r="L138" t="s">
        <v>8</v>
      </c>
      <c r="M138" t="s">
        <v>270</v>
      </c>
      <c r="N138" t="s">
        <v>1365</v>
      </c>
      <c r="O138" t="s">
        <v>95</v>
      </c>
      <c r="P138" t="s">
        <v>12</v>
      </c>
    </row>
    <row r="139" spans="1:16" x14ac:dyDescent="0.25">
      <c r="A139" t="s">
        <v>0</v>
      </c>
      <c r="B139" s="2">
        <v>44589</v>
      </c>
      <c r="C139" s="5" t="s">
        <v>1</v>
      </c>
      <c r="D139" t="s">
        <v>301</v>
      </c>
      <c r="E139" t="s">
        <v>302</v>
      </c>
      <c r="F139" t="s">
        <v>4</v>
      </c>
      <c r="G139" t="s">
        <v>5</v>
      </c>
      <c r="H139" s="3">
        <v>547.85</v>
      </c>
      <c r="I139" t="s">
        <v>268</v>
      </c>
      <c r="J139" t="s">
        <v>8</v>
      </c>
      <c r="K139" t="s">
        <v>1191</v>
      </c>
      <c r="L139" t="s">
        <v>8</v>
      </c>
      <c r="M139" t="s">
        <v>270</v>
      </c>
      <c r="N139" t="s">
        <v>1444</v>
      </c>
      <c r="O139" t="s">
        <v>272</v>
      </c>
      <c r="P139" t="s">
        <v>1445</v>
      </c>
    </row>
    <row r="140" spans="1:16" x14ac:dyDescent="0.25">
      <c r="A140" t="s">
        <v>0</v>
      </c>
      <c r="B140" s="2">
        <v>44589</v>
      </c>
      <c r="C140" s="5" t="s">
        <v>1</v>
      </c>
      <c r="D140" t="s">
        <v>1454</v>
      </c>
      <c r="E140" t="s">
        <v>1455</v>
      </c>
      <c r="F140" t="s">
        <v>4</v>
      </c>
      <c r="G140" t="s">
        <v>5</v>
      </c>
      <c r="H140" s="3">
        <v>526.27</v>
      </c>
      <c r="I140" t="s">
        <v>1456</v>
      </c>
      <c r="J140" t="s">
        <v>322</v>
      </c>
      <c r="K140" t="s">
        <v>8</v>
      </c>
      <c r="L140" t="s">
        <v>8</v>
      </c>
      <c r="M140" t="s">
        <v>8</v>
      </c>
      <c r="N140" t="s">
        <v>1457</v>
      </c>
      <c r="O140" t="s">
        <v>121</v>
      </c>
      <c r="P140" t="s">
        <v>1458</v>
      </c>
    </row>
    <row r="141" spans="1:16" x14ac:dyDescent="0.25">
      <c r="A141" t="s">
        <v>0</v>
      </c>
      <c r="B141" s="2">
        <v>44589</v>
      </c>
      <c r="C141" s="5" t="s">
        <v>1</v>
      </c>
      <c r="D141" t="s">
        <v>1155</v>
      </c>
      <c r="E141" t="s">
        <v>1156</v>
      </c>
      <c r="F141" t="s">
        <v>4</v>
      </c>
      <c r="G141" t="s">
        <v>5</v>
      </c>
      <c r="H141" s="3">
        <v>326.27</v>
      </c>
      <c r="I141" t="s">
        <v>1658</v>
      </c>
      <c r="J141" t="s">
        <v>322</v>
      </c>
      <c r="K141" t="s">
        <v>8</v>
      </c>
      <c r="L141" t="s">
        <v>8</v>
      </c>
      <c r="M141" t="s">
        <v>8</v>
      </c>
      <c r="N141" t="s">
        <v>1659</v>
      </c>
      <c r="O141" t="s">
        <v>121</v>
      </c>
      <c r="P141" t="s">
        <v>1144</v>
      </c>
    </row>
    <row r="142" spans="1:16" x14ac:dyDescent="0.25">
      <c r="A142" t="s">
        <v>0</v>
      </c>
      <c r="B142" s="2">
        <v>44589</v>
      </c>
      <c r="C142" s="5" t="s">
        <v>1</v>
      </c>
      <c r="D142" t="s">
        <v>266</v>
      </c>
      <c r="E142" t="s">
        <v>267</v>
      </c>
      <c r="F142" t="s">
        <v>4</v>
      </c>
      <c r="G142" t="s">
        <v>5</v>
      </c>
      <c r="H142" s="3">
        <v>297.27</v>
      </c>
      <c r="I142" t="s">
        <v>268</v>
      </c>
      <c r="J142" t="s">
        <v>8</v>
      </c>
      <c r="K142" t="s">
        <v>1314</v>
      </c>
      <c r="L142" t="s">
        <v>8</v>
      </c>
      <c r="M142" t="s">
        <v>270</v>
      </c>
      <c r="N142" t="s">
        <v>1700</v>
      </c>
      <c r="O142" t="s">
        <v>95</v>
      </c>
      <c r="P142" t="s">
        <v>12</v>
      </c>
    </row>
    <row r="143" spans="1:16" x14ac:dyDescent="0.25">
      <c r="A143" t="s">
        <v>0</v>
      </c>
      <c r="B143" s="2">
        <v>44589</v>
      </c>
      <c r="C143" s="5" t="s">
        <v>1</v>
      </c>
      <c r="D143" t="s">
        <v>1839</v>
      </c>
      <c r="E143" t="s">
        <v>1840</v>
      </c>
      <c r="F143" t="s">
        <v>4</v>
      </c>
      <c r="G143" t="s">
        <v>5</v>
      </c>
      <c r="H143" s="3">
        <v>152.9</v>
      </c>
      <c r="I143" t="s">
        <v>344</v>
      </c>
      <c r="J143" t="s">
        <v>248</v>
      </c>
      <c r="K143" t="s">
        <v>8</v>
      </c>
      <c r="L143" t="s">
        <v>8</v>
      </c>
      <c r="M143" t="s">
        <v>8</v>
      </c>
      <c r="N143" t="s">
        <v>345</v>
      </c>
      <c r="O143" t="s">
        <v>95</v>
      </c>
      <c r="P143" t="s">
        <v>82</v>
      </c>
    </row>
    <row r="144" spans="1:16" x14ac:dyDescent="0.25">
      <c r="A144" t="s">
        <v>0</v>
      </c>
      <c r="B144" s="2">
        <v>44589</v>
      </c>
      <c r="C144" s="5" t="s">
        <v>1</v>
      </c>
      <c r="D144" t="s">
        <v>1992</v>
      </c>
      <c r="E144" t="s">
        <v>1993</v>
      </c>
      <c r="F144" t="s">
        <v>4</v>
      </c>
      <c r="G144" t="s">
        <v>5</v>
      </c>
      <c r="H144" s="3">
        <v>-832.11</v>
      </c>
      <c r="I144" t="s">
        <v>2240</v>
      </c>
      <c r="J144" t="s">
        <v>393</v>
      </c>
      <c r="K144" t="s">
        <v>8</v>
      </c>
      <c r="L144" t="s">
        <v>8</v>
      </c>
      <c r="M144" t="s">
        <v>8</v>
      </c>
      <c r="N144" t="s">
        <v>2241</v>
      </c>
      <c r="O144" t="s">
        <v>51</v>
      </c>
      <c r="P144" t="s">
        <v>364</v>
      </c>
    </row>
    <row r="145" spans="1:16" x14ac:dyDescent="0.25">
      <c r="A145" t="s">
        <v>0</v>
      </c>
      <c r="B145" s="2">
        <v>44592</v>
      </c>
      <c r="C145" t="s">
        <v>1</v>
      </c>
      <c r="D145" t="s">
        <v>47</v>
      </c>
      <c r="E145" t="s">
        <v>48</v>
      </c>
      <c r="F145" t="s">
        <v>4</v>
      </c>
      <c r="G145" t="s">
        <v>5</v>
      </c>
      <c r="H145" s="3">
        <v>300411.09000000003</v>
      </c>
      <c r="I145" t="s">
        <v>49</v>
      </c>
      <c r="J145" t="s">
        <v>3</v>
      </c>
      <c r="K145" t="s">
        <v>8</v>
      </c>
      <c r="L145" t="s">
        <v>8</v>
      </c>
      <c r="M145" t="s">
        <v>8</v>
      </c>
      <c r="N145" t="s">
        <v>50</v>
      </c>
      <c r="O145" t="s">
        <v>51</v>
      </c>
      <c r="P145" t="s">
        <v>1</v>
      </c>
    </row>
    <row r="146" spans="1:16" x14ac:dyDescent="0.25">
      <c r="A146" t="s">
        <v>0</v>
      </c>
      <c r="B146" s="2">
        <v>44592</v>
      </c>
      <c r="C146" t="s">
        <v>1</v>
      </c>
      <c r="D146" t="s">
        <v>108</v>
      </c>
      <c r="E146" t="s">
        <v>109</v>
      </c>
      <c r="F146" t="s">
        <v>4</v>
      </c>
      <c r="G146" t="s">
        <v>5</v>
      </c>
      <c r="H146" s="3">
        <v>96794.44</v>
      </c>
      <c r="I146" t="s">
        <v>110</v>
      </c>
      <c r="J146" t="s">
        <v>109</v>
      </c>
      <c r="K146" t="s">
        <v>8</v>
      </c>
      <c r="L146" t="s">
        <v>8</v>
      </c>
      <c r="M146" t="s">
        <v>8</v>
      </c>
      <c r="N146" t="s">
        <v>111</v>
      </c>
      <c r="O146" t="s">
        <v>112</v>
      </c>
      <c r="P146" t="s">
        <v>113</v>
      </c>
    </row>
    <row r="147" spans="1:16" x14ac:dyDescent="0.25">
      <c r="A147" t="s">
        <v>0</v>
      </c>
      <c r="B147" s="2">
        <v>44592</v>
      </c>
      <c r="C147" t="s">
        <v>1</v>
      </c>
      <c r="D147" t="s">
        <v>229</v>
      </c>
      <c r="E147" t="s">
        <v>230</v>
      </c>
      <c r="F147" t="s">
        <v>4</v>
      </c>
      <c r="G147" t="s">
        <v>5</v>
      </c>
      <c r="H147" s="3">
        <v>24580.04</v>
      </c>
      <c r="I147" t="s">
        <v>231</v>
      </c>
      <c r="J147" t="s">
        <v>232</v>
      </c>
      <c r="K147" t="s">
        <v>8</v>
      </c>
      <c r="L147" t="s">
        <v>8</v>
      </c>
      <c r="M147" t="s">
        <v>8</v>
      </c>
      <c r="N147" t="s">
        <v>233</v>
      </c>
      <c r="O147" t="s">
        <v>234</v>
      </c>
      <c r="P147" t="s">
        <v>235</v>
      </c>
    </row>
    <row r="148" spans="1:16" x14ac:dyDescent="0.25">
      <c r="A148" t="s">
        <v>0</v>
      </c>
      <c r="B148" s="2">
        <v>44592</v>
      </c>
      <c r="C148" s="5" t="s">
        <v>1</v>
      </c>
      <c r="D148" t="s">
        <v>794</v>
      </c>
      <c r="E148" t="s">
        <v>795</v>
      </c>
      <c r="F148" t="s">
        <v>4</v>
      </c>
      <c r="G148" t="s">
        <v>5</v>
      </c>
      <c r="H148" s="3">
        <v>3396.12</v>
      </c>
      <c r="I148" t="s">
        <v>796</v>
      </c>
      <c r="J148" t="s">
        <v>232</v>
      </c>
      <c r="K148" t="s">
        <v>8</v>
      </c>
      <c r="L148" t="s">
        <v>8</v>
      </c>
      <c r="M148" t="s">
        <v>8</v>
      </c>
      <c r="N148" t="s">
        <v>233</v>
      </c>
      <c r="O148" t="s">
        <v>234</v>
      </c>
      <c r="P148" t="s">
        <v>246</v>
      </c>
    </row>
    <row r="149" spans="1:16" x14ac:dyDescent="0.25">
      <c r="A149" t="s">
        <v>0</v>
      </c>
      <c r="B149" s="2">
        <v>44592</v>
      </c>
      <c r="C149" s="5" t="s">
        <v>1</v>
      </c>
      <c r="D149" t="s">
        <v>936</v>
      </c>
      <c r="E149" t="s">
        <v>937</v>
      </c>
      <c r="F149" t="s">
        <v>4</v>
      </c>
      <c r="G149" t="s">
        <v>5</v>
      </c>
      <c r="H149" s="3">
        <v>2200</v>
      </c>
      <c r="I149" t="s">
        <v>938</v>
      </c>
      <c r="J149" t="s">
        <v>939</v>
      </c>
      <c r="K149" t="s">
        <v>8</v>
      </c>
      <c r="L149" t="s">
        <v>8</v>
      </c>
      <c r="M149" t="s">
        <v>8</v>
      </c>
      <c r="N149" t="s">
        <v>940</v>
      </c>
      <c r="O149" t="s">
        <v>29</v>
      </c>
      <c r="P149" t="s">
        <v>1</v>
      </c>
    </row>
    <row r="150" spans="1:16" x14ac:dyDescent="0.25">
      <c r="A150" t="s">
        <v>0</v>
      </c>
      <c r="B150" s="2">
        <v>44592</v>
      </c>
      <c r="C150" s="5" t="s">
        <v>1</v>
      </c>
      <c r="D150" t="s">
        <v>881</v>
      </c>
      <c r="E150" t="s">
        <v>882</v>
      </c>
      <c r="F150" t="s">
        <v>4</v>
      </c>
      <c r="G150" t="s">
        <v>5</v>
      </c>
      <c r="H150" s="3">
        <v>1927.61</v>
      </c>
      <c r="I150" t="s">
        <v>968</v>
      </c>
      <c r="J150" t="s">
        <v>109</v>
      </c>
      <c r="K150" t="s">
        <v>8</v>
      </c>
      <c r="L150" t="s">
        <v>8</v>
      </c>
      <c r="M150" t="s">
        <v>8</v>
      </c>
      <c r="N150" t="s">
        <v>111</v>
      </c>
      <c r="O150" t="s">
        <v>112</v>
      </c>
      <c r="P150" t="s">
        <v>911</v>
      </c>
    </row>
    <row r="151" spans="1:16" x14ac:dyDescent="0.25">
      <c r="A151" t="s">
        <v>0</v>
      </c>
      <c r="B151" s="2">
        <v>44592</v>
      </c>
      <c r="C151" s="5" t="s">
        <v>1</v>
      </c>
      <c r="D151" t="s">
        <v>969</v>
      </c>
      <c r="E151" t="s">
        <v>970</v>
      </c>
      <c r="F151" t="s">
        <v>4</v>
      </c>
      <c r="G151" t="s">
        <v>5</v>
      </c>
      <c r="H151" s="3">
        <v>1903.49</v>
      </c>
      <c r="I151" t="s">
        <v>971</v>
      </c>
      <c r="J151" t="s">
        <v>972</v>
      </c>
      <c r="K151" t="s">
        <v>8</v>
      </c>
      <c r="L151" t="s">
        <v>8</v>
      </c>
      <c r="M151" t="s">
        <v>8</v>
      </c>
      <c r="N151" t="s">
        <v>973</v>
      </c>
      <c r="O151" t="s">
        <v>974</v>
      </c>
      <c r="P151" t="s">
        <v>361</v>
      </c>
    </row>
    <row r="152" spans="1:16" x14ac:dyDescent="0.25">
      <c r="A152" t="s">
        <v>0</v>
      </c>
      <c r="B152" s="2">
        <v>44592</v>
      </c>
      <c r="C152" s="5" t="s">
        <v>1</v>
      </c>
      <c r="D152" t="s">
        <v>108</v>
      </c>
      <c r="E152" t="s">
        <v>109</v>
      </c>
      <c r="F152" t="s">
        <v>4</v>
      </c>
      <c r="G152" t="s">
        <v>5</v>
      </c>
      <c r="H152" s="3">
        <v>1427.85</v>
      </c>
      <c r="I152" t="s">
        <v>1100</v>
      </c>
      <c r="J152" t="s">
        <v>109</v>
      </c>
      <c r="K152" t="s">
        <v>8</v>
      </c>
      <c r="L152" t="s">
        <v>8</v>
      </c>
      <c r="M152" t="s">
        <v>8</v>
      </c>
      <c r="N152" t="s">
        <v>111</v>
      </c>
      <c r="O152" t="s">
        <v>112</v>
      </c>
      <c r="P152" t="s">
        <v>1101</v>
      </c>
    </row>
    <row r="153" spans="1:16" x14ac:dyDescent="0.25">
      <c r="A153" t="s">
        <v>0</v>
      </c>
      <c r="B153" s="2">
        <v>44592</v>
      </c>
      <c r="C153" s="5" t="s">
        <v>1</v>
      </c>
      <c r="D153" t="s">
        <v>152</v>
      </c>
      <c r="E153" t="s">
        <v>153</v>
      </c>
      <c r="F153" t="s">
        <v>4</v>
      </c>
      <c r="G153" t="s">
        <v>5</v>
      </c>
      <c r="H153" s="3">
        <v>1042.4000000000001</v>
      </c>
      <c r="I153" t="s">
        <v>1198</v>
      </c>
      <c r="J153" t="s">
        <v>153</v>
      </c>
      <c r="K153" t="s">
        <v>8</v>
      </c>
      <c r="L153" t="s">
        <v>8</v>
      </c>
      <c r="M153" t="s">
        <v>8</v>
      </c>
      <c r="N153" t="s">
        <v>1199</v>
      </c>
      <c r="O153" t="s">
        <v>1200</v>
      </c>
      <c r="P153" t="s">
        <v>198</v>
      </c>
    </row>
    <row r="154" spans="1:16" x14ac:dyDescent="0.25">
      <c r="A154" t="s">
        <v>0</v>
      </c>
      <c r="B154" s="2">
        <v>44592</v>
      </c>
      <c r="C154" s="5" t="s">
        <v>1</v>
      </c>
      <c r="D154" t="s">
        <v>969</v>
      </c>
      <c r="E154" t="s">
        <v>970</v>
      </c>
      <c r="F154" t="s">
        <v>4</v>
      </c>
      <c r="G154" t="s">
        <v>5</v>
      </c>
      <c r="H154" s="3">
        <v>492</v>
      </c>
      <c r="I154" t="s">
        <v>1482</v>
      </c>
      <c r="J154" t="s">
        <v>1483</v>
      </c>
      <c r="K154" t="s">
        <v>8</v>
      </c>
      <c r="L154" t="s">
        <v>8</v>
      </c>
      <c r="M154" t="s">
        <v>8</v>
      </c>
      <c r="N154" t="s">
        <v>1484</v>
      </c>
      <c r="O154" t="s">
        <v>974</v>
      </c>
      <c r="P154" t="s">
        <v>1485</v>
      </c>
    </row>
    <row r="155" spans="1:16" x14ac:dyDescent="0.25">
      <c r="A155" t="s">
        <v>0</v>
      </c>
      <c r="B155" s="2">
        <v>44592</v>
      </c>
      <c r="C155" s="5" t="s">
        <v>1</v>
      </c>
      <c r="D155" t="s">
        <v>108</v>
      </c>
      <c r="E155" t="s">
        <v>109</v>
      </c>
      <c r="F155" t="s">
        <v>4</v>
      </c>
      <c r="G155" t="s">
        <v>5</v>
      </c>
      <c r="H155" s="3">
        <v>475.83</v>
      </c>
      <c r="I155" t="s">
        <v>1492</v>
      </c>
      <c r="J155" t="s">
        <v>109</v>
      </c>
      <c r="K155" t="s">
        <v>8</v>
      </c>
      <c r="L155" t="s">
        <v>8</v>
      </c>
      <c r="M155" t="s">
        <v>8</v>
      </c>
      <c r="N155" t="s">
        <v>111</v>
      </c>
      <c r="O155" t="s">
        <v>112</v>
      </c>
      <c r="P155" t="s">
        <v>1493</v>
      </c>
    </row>
    <row r="156" spans="1:16" x14ac:dyDescent="0.25">
      <c r="A156" t="s">
        <v>0</v>
      </c>
      <c r="B156" s="2">
        <v>44592</v>
      </c>
      <c r="C156" s="5" t="s">
        <v>1</v>
      </c>
      <c r="D156" t="s">
        <v>152</v>
      </c>
      <c r="E156" t="s">
        <v>153</v>
      </c>
      <c r="F156" t="s">
        <v>4</v>
      </c>
      <c r="G156" t="s">
        <v>5</v>
      </c>
      <c r="H156" s="3">
        <v>351.7</v>
      </c>
      <c r="I156" t="s">
        <v>1640</v>
      </c>
      <c r="J156" t="s">
        <v>322</v>
      </c>
      <c r="K156" t="s">
        <v>8</v>
      </c>
      <c r="L156" t="s">
        <v>8</v>
      </c>
      <c r="M156" t="s">
        <v>8</v>
      </c>
      <c r="N156" t="s">
        <v>1641</v>
      </c>
      <c r="O156" t="s">
        <v>112</v>
      </c>
      <c r="P156" t="s">
        <v>1103</v>
      </c>
    </row>
    <row r="157" spans="1:16" x14ac:dyDescent="0.25">
      <c r="A157" t="s">
        <v>0</v>
      </c>
      <c r="B157" s="2">
        <v>44592</v>
      </c>
      <c r="C157" s="5" t="s">
        <v>1</v>
      </c>
      <c r="D157" t="s">
        <v>644</v>
      </c>
      <c r="E157" t="s">
        <v>645</v>
      </c>
      <c r="F157" t="s">
        <v>4</v>
      </c>
      <c r="G157" t="s">
        <v>5</v>
      </c>
      <c r="H157" s="3">
        <v>142.66</v>
      </c>
      <c r="I157" t="s">
        <v>1863</v>
      </c>
      <c r="J157" t="s">
        <v>109</v>
      </c>
      <c r="K157" t="s">
        <v>8</v>
      </c>
      <c r="L157" t="s">
        <v>8</v>
      </c>
      <c r="M157" t="s">
        <v>8</v>
      </c>
      <c r="N157" t="s">
        <v>111</v>
      </c>
      <c r="O157" t="s">
        <v>112</v>
      </c>
      <c r="P157" t="s">
        <v>1864</v>
      </c>
    </row>
    <row r="158" spans="1:16" x14ac:dyDescent="0.25">
      <c r="A158" t="s">
        <v>0</v>
      </c>
      <c r="B158" s="2">
        <v>44592</v>
      </c>
      <c r="C158" s="5" t="s">
        <v>1</v>
      </c>
      <c r="D158" t="s">
        <v>301</v>
      </c>
      <c r="E158" t="s">
        <v>302</v>
      </c>
      <c r="F158" t="s">
        <v>4</v>
      </c>
      <c r="G158" t="s">
        <v>5</v>
      </c>
      <c r="H158" s="3">
        <v>123.24</v>
      </c>
      <c r="I158" t="s">
        <v>268</v>
      </c>
      <c r="J158" t="s">
        <v>8</v>
      </c>
      <c r="K158" t="s">
        <v>269</v>
      </c>
      <c r="L158" t="s">
        <v>8</v>
      </c>
      <c r="M158" t="s">
        <v>270</v>
      </c>
      <c r="N158" t="s">
        <v>1886</v>
      </c>
      <c r="O158" t="s">
        <v>95</v>
      </c>
      <c r="P158" t="s">
        <v>12</v>
      </c>
    </row>
    <row r="159" spans="1:16" x14ac:dyDescent="0.25">
      <c r="A159" t="s">
        <v>0</v>
      </c>
      <c r="B159" s="2">
        <v>44592</v>
      </c>
      <c r="C159" s="5" t="s">
        <v>1</v>
      </c>
      <c r="D159" t="s">
        <v>1373</v>
      </c>
      <c r="E159" t="s">
        <v>1374</v>
      </c>
      <c r="F159" t="s">
        <v>4</v>
      </c>
      <c r="G159" t="s">
        <v>5</v>
      </c>
      <c r="H159" s="3">
        <v>48.27</v>
      </c>
      <c r="I159" t="s">
        <v>2055</v>
      </c>
      <c r="J159" t="s">
        <v>1875</v>
      </c>
      <c r="K159" t="s">
        <v>8</v>
      </c>
      <c r="L159" t="s">
        <v>8</v>
      </c>
      <c r="M159" t="s">
        <v>8</v>
      </c>
      <c r="N159" t="s">
        <v>2056</v>
      </c>
      <c r="O159" t="s">
        <v>389</v>
      </c>
      <c r="P159" t="s">
        <v>1</v>
      </c>
    </row>
    <row r="160" spans="1:16" x14ac:dyDescent="0.25">
      <c r="A160" t="s">
        <v>0</v>
      </c>
      <c r="B160" s="2">
        <v>44592</v>
      </c>
      <c r="C160" s="5" t="s">
        <v>1</v>
      </c>
      <c r="D160" t="s">
        <v>152</v>
      </c>
      <c r="E160" t="s">
        <v>153</v>
      </c>
      <c r="F160" t="s">
        <v>4</v>
      </c>
      <c r="G160" t="s">
        <v>5</v>
      </c>
      <c r="H160" s="3">
        <v>38.880000000000003</v>
      </c>
      <c r="I160" t="s">
        <v>2073</v>
      </c>
      <c r="J160" t="s">
        <v>153</v>
      </c>
      <c r="K160" t="s">
        <v>8</v>
      </c>
      <c r="L160" t="s">
        <v>8</v>
      </c>
      <c r="M160" t="s">
        <v>8</v>
      </c>
      <c r="N160" t="s">
        <v>1199</v>
      </c>
      <c r="O160" t="s">
        <v>1200</v>
      </c>
      <c r="P160" t="s">
        <v>246</v>
      </c>
    </row>
    <row r="161" spans="1:16" x14ac:dyDescent="0.25">
      <c r="A161" t="s">
        <v>0</v>
      </c>
      <c r="B161" s="2">
        <v>44592</v>
      </c>
      <c r="C161" s="5" t="s">
        <v>1</v>
      </c>
      <c r="D161" t="s">
        <v>403</v>
      </c>
      <c r="E161" t="s">
        <v>404</v>
      </c>
      <c r="F161" t="s">
        <v>4</v>
      </c>
      <c r="G161" t="s">
        <v>5</v>
      </c>
      <c r="H161" s="3">
        <v>-5952.15</v>
      </c>
      <c r="I161" t="s">
        <v>2255</v>
      </c>
      <c r="J161" t="s">
        <v>406</v>
      </c>
      <c r="K161" t="s">
        <v>8</v>
      </c>
      <c r="L161" t="s">
        <v>8</v>
      </c>
      <c r="M161" t="s">
        <v>8</v>
      </c>
      <c r="N161" t="s">
        <v>2256</v>
      </c>
      <c r="O161" t="s">
        <v>2257</v>
      </c>
      <c r="P161" t="s">
        <v>409</v>
      </c>
    </row>
    <row r="162" spans="1:16" x14ac:dyDescent="0.25">
      <c r="A162" t="s">
        <v>0</v>
      </c>
      <c r="B162" s="2">
        <v>44592</v>
      </c>
      <c r="C162" s="5" t="s">
        <v>1</v>
      </c>
      <c r="D162" t="s">
        <v>2</v>
      </c>
      <c r="E162" t="s">
        <v>3</v>
      </c>
      <c r="F162" t="s">
        <v>4</v>
      </c>
      <c r="G162" t="s">
        <v>5</v>
      </c>
      <c r="H162" s="3">
        <v>-300411.09000000003</v>
      </c>
      <c r="I162" t="s">
        <v>49</v>
      </c>
      <c r="J162" t="s">
        <v>48</v>
      </c>
      <c r="K162" t="s">
        <v>8</v>
      </c>
      <c r="L162" t="s">
        <v>8</v>
      </c>
      <c r="M162" t="s">
        <v>8</v>
      </c>
      <c r="N162" t="s">
        <v>50</v>
      </c>
      <c r="O162" t="s">
        <v>51</v>
      </c>
      <c r="P162" t="s">
        <v>12</v>
      </c>
    </row>
    <row r="163" spans="1:16" x14ac:dyDescent="0.25">
      <c r="A163" t="s">
        <v>0</v>
      </c>
      <c r="B163" s="2">
        <v>44593</v>
      </c>
      <c r="C163" t="s">
        <v>1</v>
      </c>
      <c r="D163" t="s">
        <v>216</v>
      </c>
      <c r="E163" t="s">
        <v>217</v>
      </c>
      <c r="F163" t="s">
        <v>4</v>
      </c>
      <c r="G163" t="s">
        <v>5</v>
      </c>
      <c r="H163" s="3">
        <v>19621.79</v>
      </c>
      <c r="I163" t="s">
        <v>218</v>
      </c>
      <c r="J163" t="s">
        <v>8</v>
      </c>
      <c r="K163" t="s">
        <v>219</v>
      </c>
      <c r="L163" t="s">
        <v>8</v>
      </c>
      <c r="M163" t="s">
        <v>220</v>
      </c>
      <c r="N163" t="s">
        <v>305</v>
      </c>
      <c r="O163" t="s">
        <v>95</v>
      </c>
      <c r="P163" t="s">
        <v>306</v>
      </c>
    </row>
    <row r="164" spans="1:16" x14ac:dyDescent="0.25">
      <c r="A164" t="s">
        <v>0</v>
      </c>
      <c r="B164" s="2">
        <v>44593</v>
      </c>
      <c r="C164" s="5" t="s">
        <v>1</v>
      </c>
      <c r="D164" t="s">
        <v>398</v>
      </c>
      <c r="E164" t="s">
        <v>399</v>
      </c>
      <c r="F164" t="s">
        <v>4</v>
      </c>
      <c r="G164" t="s">
        <v>5</v>
      </c>
      <c r="H164" s="3">
        <v>1172.21</v>
      </c>
      <c r="I164" t="s">
        <v>400</v>
      </c>
      <c r="J164" t="s">
        <v>8</v>
      </c>
      <c r="K164" t="s">
        <v>219</v>
      </c>
      <c r="L164" t="s">
        <v>8</v>
      </c>
      <c r="M164" t="s">
        <v>220</v>
      </c>
      <c r="N164" t="s">
        <v>305</v>
      </c>
      <c r="O164" t="s">
        <v>95</v>
      </c>
      <c r="P164" t="s">
        <v>402</v>
      </c>
    </row>
    <row r="165" spans="1:16" x14ac:dyDescent="0.25">
      <c r="A165" t="s">
        <v>0</v>
      </c>
      <c r="B165" s="2">
        <v>44593</v>
      </c>
      <c r="C165" s="5" t="s">
        <v>1</v>
      </c>
      <c r="D165" t="s">
        <v>651</v>
      </c>
      <c r="E165" t="s">
        <v>652</v>
      </c>
      <c r="F165" t="s">
        <v>4</v>
      </c>
      <c r="G165" t="s">
        <v>5</v>
      </c>
      <c r="H165" s="3">
        <v>509.97</v>
      </c>
      <c r="I165" t="s">
        <v>653</v>
      </c>
      <c r="J165" t="s">
        <v>8</v>
      </c>
      <c r="K165" t="s">
        <v>219</v>
      </c>
      <c r="L165" t="s">
        <v>8</v>
      </c>
      <c r="M165" t="s">
        <v>220</v>
      </c>
      <c r="N165" t="s">
        <v>305</v>
      </c>
      <c r="O165" t="s">
        <v>95</v>
      </c>
      <c r="P165" t="s">
        <v>747</v>
      </c>
    </row>
    <row r="166" spans="1:16" x14ac:dyDescent="0.25">
      <c r="A166" t="s">
        <v>0</v>
      </c>
      <c r="B166" s="2">
        <v>44593</v>
      </c>
      <c r="C166" s="5" t="s">
        <v>1</v>
      </c>
      <c r="D166" t="s">
        <v>885</v>
      </c>
      <c r="E166" t="s">
        <v>886</v>
      </c>
      <c r="F166" t="s">
        <v>4</v>
      </c>
      <c r="G166" t="s">
        <v>5</v>
      </c>
      <c r="H166" s="3">
        <v>458.97</v>
      </c>
      <c r="I166" t="s">
        <v>887</v>
      </c>
      <c r="J166" t="s">
        <v>8</v>
      </c>
      <c r="K166" t="s">
        <v>219</v>
      </c>
      <c r="L166" t="s">
        <v>8</v>
      </c>
      <c r="M166" t="s">
        <v>220</v>
      </c>
      <c r="N166" t="s">
        <v>305</v>
      </c>
      <c r="O166" t="s">
        <v>95</v>
      </c>
      <c r="P166" t="s">
        <v>1511</v>
      </c>
    </row>
    <row r="167" spans="1:16" x14ac:dyDescent="0.25">
      <c r="A167" t="s">
        <v>0</v>
      </c>
      <c r="B167" s="2">
        <v>44593</v>
      </c>
      <c r="C167" s="5" t="s">
        <v>1</v>
      </c>
      <c r="D167" t="s">
        <v>753</v>
      </c>
      <c r="E167" t="s">
        <v>754</v>
      </c>
      <c r="F167" t="s">
        <v>4</v>
      </c>
      <c r="G167" t="s">
        <v>5</v>
      </c>
      <c r="H167" s="3">
        <v>404.62</v>
      </c>
      <c r="I167" t="s">
        <v>755</v>
      </c>
      <c r="J167" t="s">
        <v>8</v>
      </c>
      <c r="K167" t="s">
        <v>219</v>
      </c>
      <c r="L167" t="s">
        <v>8</v>
      </c>
      <c r="M167" t="s">
        <v>220</v>
      </c>
      <c r="N167" t="s">
        <v>305</v>
      </c>
      <c r="O167" t="s">
        <v>95</v>
      </c>
      <c r="P167" t="s">
        <v>756</v>
      </c>
    </row>
    <row r="168" spans="1:16" x14ac:dyDescent="0.25">
      <c r="A168" t="s">
        <v>0</v>
      </c>
      <c r="B168" s="2">
        <v>44593</v>
      </c>
      <c r="C168" s="5" t="s">
        <v>1</v>
      </c>
      <c r="D168" t="s">
        <v>2289</v>
      </c>
      <c r="E168" t="s">
        <v>2290</v>
      </c>
      <c r="F168" t="s">
        <v>4</v>
      </c>
      <c r="G168" t="s">
        <v>5</v>
      </c>
      <c r="H168" s="3">
        <v>-807409.26</v>
      </c>
      <c r="I168" t="s">
        <v>2291</v>
      </c>
      <c r="J168" t="s">
        <v>8</v>
      </c>
      <c r="K168" t="s">
        <v>2292</v>
      </c>
      <c r="L168" t="s">
        <v>8</v>
      </c>
      <c r="M168" t="s">
        <v>220</v>
      </c>
      <c r="N168" t="s">
        <v>2297</v>
      </c>
      <c r="O168" t="s">
        <v>95</v>
      </c>
      <c r="P168" t="s">
        <v>2294</v>
      </c>
    </row>
    <row r="169" spans="1:16" x14ac:dyDescent="0.25">
      <c r="A169" t="s">
        <v>0</v>
      </c>
      <c r="B169" s="2">
        <v>44594</v>
      </c>
      <c r="C169" s="5" t="s">
        <v>12</v>
      </c>
      <c r="D169" t="s">
        <v>1244</v>
      </c>
      <c r="E169" t="s">
        <v>1245</v>
      </c>
      <c r="F169" t="s">
        <v>4</v>
      </c>
      <c r="G169" t="s">
        <v>5</v>
      </c>
      <c r="H169" s="3">
        <v>900</v>
      </c>
      <c r="I169" t="s">
        <v>1250</v>
      </c>
      <c r="J169" t="s">
        <v>1247</v>
      </c>
      <c r="K169" t="s">
        <v>8</v>
      </c>
      <c r="L169" t="s">
        <v>1251</v>
      </c>
      <c r="M169" t="s">
        <v>8</v>
      </c>
      <c r="N169" t="s">
        <v>1252</v>
      </c>
      <c r="O169" t="s">
        <v>16</v>
      </c>
      <c r="P169" t="s">
        <v>1</v>
      </c>
    </row>
    <row r="170" spans="1:16" x14ac:dyDescent="0.25">
      <c r="A170" t="s">
        <v>0</v>
      </c>
      <c r="B170" s="2">
        <v>44594</v>
      </c>
      <c r="C170" s="5" t="s">
        <v>12</v>
      </c>
      <c r="D170" t="s">
        <v>47</v>
      </c>
      <c r="E170" t="s">
        <v>48</v>
      </c>
      <c r="F170" t="s">
        <v>4</v>
      </c>
      <c r="G170" t="s">
        <v>5</v>
      </c>
      <c r="H170" s="3">
        <v>721.59</v>
      </c>
      <c r="I170" t="s">
        <v>1366</v>
      </c>
      <c r="J170" t="s">
        <v>700</v>
      </c>
      <c r="K170" t="s">
        <v>8</v>
      </c>
      <c r="L170" t="s">
        <v>8</v>
      </c>
      <c r="M170" t="s">
        <v>8</v>
      </c>
      <c r="N170" t="s">
        <v>1367</v>
      </c>
      <c r="O170" t="s">
        <v>16</v>
      </c>
      <c r="P170" t="s">
        <v>1</v>
      </c>
    </row>
    <row r="171" spans="1:16" x14ac:dyDescent="0.25">
      <c r="A171" t="s">
        <v>0</v>
      </c>
      <c r="B171" s="2">
        <v>44595</v>
      </c>
      <c r="C171" t="s">
        <v>12</v>
      </c>
      <c r="D171" t="s">
        <v>373</v>
      </c>
      <c r="E171" t="s">
        <v>374</v>
      </c>
      <c r="F171" t="s">
        <v>4</v>
      </c>
      <c r="G171" t="s">
        <v>5</v>
      </c>
      <c r="H171" s="3">
        <v>11378.54</v>
      </c>
      <c r="I171" t="s">
        <v>375</v>
      </c>
      <c r="J171" t="s">
        <v>376</v>
      </c>
      <c r="K171" t="s">
        <v>8</v>
      </c>
      <c r="L171" t="s">
        <v>8</v>
      </c>
      <c r="M171" t="s">
        <v>8</v>
      </c>
      <c r="N171" t="s">
        <v>377</v>
      </c>
      <c r="O171" t="s">
        <v>300</v>
      </c>
      <c r="P171" t="s">
        <v>17</v>
      </c>
    </row>
    <row r="172" spans="1:16" x14ac:dyDescent="0.25">
      <c r="A172" t="s">
        <v>0</v>
      </c>
      <c r="B172" s="2">
        <v>44599</v>
      </c>
      <c r="C172" s="5" t="s">
        <v>12</v>
      </c>
      <c r="D172" t="s">
        <v>2</v>
      </c>
      <c r="E172" t="s">
        <v>3</v>
      </c>
      <c r="F172" t="s">
        <v>4</v>
      </c>
      <c r="G172" t="s">
        <v>5</v>
      </c>
      <c r="H172" s="3">
        <v>8719.83</v>
      </c>
      <c r="I172" t="s">
        <v>525</v>
      </c>
      <c r="J172" t="s">
        <v>460</v>
      </c>
      <c r="K172" t="s">
        <v>8</v>
      </c>
      <c r="L172" t="s">
        <v>526</v>
      </c>
      <c r="M172" t="s">
        <v>8</v>
      </c>
      <c r="N172" t="s">
        <v>527</v>
      </c>
      <c r="O172" t="s">
        <v>21</v>
      </c>
      <c r="P172" t="s">
        <v>1</v>
      </c>
    </row>
    <row r="173" spans="1:16" x14ac:dyDescent="0.25">
      <c r="A173" t="s">
        <v>0</v>
      </c>
      <c r="B173" s="2">
        <v>44599</v>
      </c>
      <c r="C173" s="5" t="s">
        <v>12</v>
      </c>
      <c r="D173" t="s">
        <v>1331</v>
      </c>
      <c r="E173" t="s">
        <v>1332</v>
      </c>
      <c r="F173" t="s">
        <v>4</v>
      </c>
      <c r="G173" t="s">
        <v>5</v>
      </c>
      <c r="H173" s="3">
        <v>658.51</v>
      </c>
      <c r="I173" t="s">
        <v>1396</v>
      </c>
      <c r="J173" t="s">
        <v>1334</v>
      </c>
      <c r="K173" t="s">
        <v>8</v>
      </c>
      <c r="L173" t="s">
        <v>1397</v>
      </c>
      <c r="M173" t="s">
        <v>8</v>
      </c>
      <c r="N173" t="s">
        <v>1398</v>
      </c>
      <c r="O173" t="s">
        <v>16</v>
      </c>
      <c r="P173" t="s">
        <v>1</v>
      </c>
    </row>
    <row r="174" spans="1:16" x14ac:dyDescent="0.25">
      <c r="A174" t="s">
        <v>0</v>
      </c>
      <c r="B174" s="2">
        <v>44599</v>
      </c>
      <c r="C174" s="5" t="s">
        <v>12</v>
      </c>
      <c r="D174" t="s">
        <v>1517</v>
      </c>
      <c r="E174" t="s">
        <v>1518</v>
      </c>
      <c r="F174" t="s">
        <v>4</v>
      </c>
      <c r="G174" t="s">
        <v>5</v>
      </c>
      <c r="H174" s="3">
        <v>438.9</v>
      </c>
      <c r="I174" t="s">
        <v>1523</v>
      </c>
      <c r="J174" t="s">
        <v>1520</v>
      </c>
      <c r="K174" t="s">
        <v>8</v>
      </c>
      <c r="L174" t="s">
        <v>1524</v>
      </c>
      <c r="M174" t="s">
        <v>8</v>
      </c>
      <c r="N174" t="s">
        <v>1525</v>
      </c>
      <c r="O174" t="s">
        <v>16</v>
      </c>
      <c r="P174" t="s">
        <v>1</v>
      </c>
    </row>
    <row r="175" spans="1:16" x14ac:dyDescent="0.25">
      <c r="A175" t="s">
        <v>0</v>
      </c>
      <c r="B175" s="2">
        <v>44599</v>
      </c>
      <c r="C175" s="5" t="s">
        <v>12</v>
      </c>
      <c r="D175" t="s">
        <v>1331</v>
      </c>
      <c r="E175" t="s">
        <v>1332</v>
      </c>
      <c r="F175" t="s">
        <v>4</v>
      </c>
      <c r="G175" t="s">
        <v>5</v>
      </c>
      <c r="H175" s="3">
        <v>293.23</v>
      </c>
      <c r="I175" t="s">
        <v>1701</v>
      </c>
      <c r="J175" t="s">
        <v>1334</v>
      </c>
      <c r="K175" t="s">
        <v>8</v>
      </c>
      <c r="L175" t="s">
        <v>1702</v>
      </c>
      <c r="M175" t="s">
        <v>8</v>
      </c>
      <c r="N175" t="s">
        <v>1703</v>
      </c>
      <c r="O175" t="s">
        <v>16</v>
      </c>
      <c r="P175" t="s">
        <v>1</v>
      </c>
    </row>
    <row r="176" spans="1:16" x14ac:dyDescent="0.25">
      <c r="A176" t="s">
        <v>0</v>
      </c>
      <c r="B176" s="2">
        <v>44600</v>
      </c>
      <c r="C176" s="5" t="s">
        <v>12</v>
      </c>
      <c r="D176" t="s">
        <v>410</v>
      </c>
      <c r="E176" t="s">
        <v>411</v>
      </c>
      <c r="F176" t="s">
        <v>4</v>
      </c>
      <c r="G176" t="s">
        <v>5</v>
      </c>
      <c r="H176" s="3">
        <v>10193.99</v>
      </c>
      <c r="I176" t="s">
        <v>416</v>
      </c>
      <c r="J176" t="s">
        <v>413</v>
      </c>
      <c r="K176" t="s">
        <v>8</v>
      </c>
      <c r="L176" t="s">
        <v>417</v>
      </c>
      <c r="M176" t="s">
        <v>8</v>
      </c>
      <c r="N176" t="s">
        <v>418</v>
      </c>
      <c r="O176" t="s">
        <v>16</v>
      </c>
      <c r="P176" t="s">
        <v>1</v>
      </c>
    </row>
    <row r="177" spans="1:16" x14ac:dyDescent="0.25">
      <c r="A177" t="s">
        <v>0</v>
      </c>
      <c r="B177" s="2">
        <v>44600</v>
      </c>
      <c r="C177" s="5" t="s">
        <v>12</v>
      </c>
      <c r="D177" t="s">
        <v>539</v>
      </c>
      <c r="E177" t="s">
        <v>540</v>
      </c>
      <c r="F177" t="s">
        <v>4</v>
      </c>
      <c r="G177" t="s">
        <v>5</v>
      </c>
      <c r="H177" s="3">
        <v>7006.45</v>
      </c>
      <c r="I177" t="s">
        <v>541</v>
      </c>
      <c r="J177" t="s">
        <v>542</v>
      </c>
      <c r="K177" t="s">
        <v>8</v>
      </c>
      <c r="L177" t="s">
        <v>584</v>
      </c>
      <c r="M177" t="s">
        <v>8</v>
      </c>
      <c r="N177" t="s">
        <v>585</v>
      </c>
      <c r="O177" t="s">
        <v>16</v>
      </c>
      <c r="P177" t="s">
        <v>12</v>
      </c>
    </row>
    <row r="178" spans="1:16" x14ac:dyDescent="0.25">
      <c r="A178" t="s">
        <v>0</v>
      </c>
      <c r="B178" s="2">
        <v>44600</v>
      </c>
      <c r="C178" s="5" t="s">
        <v>12</v>
      </c>
      <c r="D178" t="s">
        <v>539</v>
      </c>
      <c r="E178" t="s">
        <v>540</v>
      </c>
      <c r="F178" t="s">
        <v>4</v>
      </c>
      <c r="G178" t="s">
        <v>5</v>
      </c>
      <c r="H178" s="3">
        <v>3000</v>
      </c>
      <c r="I178" t="s">
        <v>781</v>
      </c>
      <c r="J178" t="s">
        <v>542</v>
      </c>
      <c r="K178" t="s">
        <v>8</v>
      </c>
      <c r="L178" t="s">
        <v>834</v>
      </c>
      <c r="M178" t="s">
        <v>8</v>
      </c>
      <c r="N178" t="s">
        <v>835</v>
      </c>
      <c r="O178" t="s">
        <v>16</v>
      </c>
      <c r="P178" t="s">
        <v>12</v>
      </c>
    </row>
    <row r="179" spans="1:16" x14ac:dyDescent="0.25">
      <c r="A179" t="s">
        <v>0</v>
      </c>
      <c r="B179" s="2">
        <v>44600</v>
      </c>
      <c r="C179" s="5" t="s">
        <v>12</v>
      </c>
      <c r="D179" t="s">
        <v>697</v>
      </c>
      <c r="E179" t="s">
        <v>698</v>
      </c>
      <c r="F179" t="s">
        <v>4</v>
      </c>
      <c r="G179" t="s">
        <v>5</v>
      </c>
      <c r="H179" s="3">
        <v>2551.04</v>
      </c>
      <c r="I179" t="s">
        <v>876</v>
      </c>
      <c r="J179" t="s">
        <v>700</v>
      </c>
      <c r="K179" t="s">
        <v>8</v>
      </c>
      <c r="L179" t="s">
        <v>877</v>
      </c>
      <c r="M179" t="s">
        <v>8</v>
      </c>
      <c r="N179" t="s">
        <v>878</v>
      </c>
      <c r="O179" t="s">
        <v>16</v>
      </c>
      <c r="P179" t="s">
        <v>1</v>
      </c>
    </row>
    <row r="180" spans="1:16" x14ac:dyDescent="0.25">
      <c r="A180" t="s">
        <v>0</v>
      </c>
      <c r="B180" s="2">
        <v>44600</v>
      </c>
      <c r="C180" s="5" t="s">
        <v>12</v>
      </c>
      <c r="D180" t="s">
        <v>47</v>
      </c>
      <c r="E180" t="s">
        <v>48</v>
      </c>
      <c r="F180" t="s">
        <v>4</v>
      </c>
      <c r="G180" t="s">
        <v>5</v>
      </c>
      <c r="H180" s="3">
        <v>226.78</v>
      </c>
      <c r="I180" t="s">
        <v>1761</v>
      </c>
      <c r="J180" t="s">
        <v>700</v>
      </c>
      <c r="K180" t="s">
        <v>8</v>
      </c>
      <c r="L180" t="s">
        <v>8</v>
      </c>
      <c r="M180" t="s">
        <v>8</v>
      </c>
      <c r="N180" t="s">
        <v>1762</v>
      </c>
      <c r="O180" t="s">
        <v>16</v>
      </c>
      <c r="P180" t="s">
        <v>1</v>
      </c>
    </row>
    <row r="181" spans="1:16" x14ac:dyDescent="0.25">
      <c r="A181" t="s">
        <v>0</v>
      </c>
      <c r="B181" s="2">
        <v>44600</v>
      </c>
      <c r="C181" s="5" t="s">
        <v>12</v>
      </c>
      <c r="D181" t="s">
        <v>373</v>
      </c>
      <c r="E181" t="s">
        <v>374</v>
      </c>
      <c r="F181" t="s">
        <v>4</v>
      </c>
      <c r="G181" t="s">
        <v>5</v>
      </c>
      <c r="H181" s="3">
        <v>-11378.54</v>
      </c>
      <c r="I181" t="s">
        <v>375</v>
      </c>
      <c r="J181" t="s">
        <v>376</v>
      </c>
      <c r="K181" t="s">
        <v>8</v>
      </c>
      <c r="L181" t="s">
        <v>8</v>
      </c>
      <c r="M181" t="s">
        <v>8</v>
      </c>
      <c r="N181" t="s">
        <v>2281</v>
      </c>
      <c r="O181" t="s">
        <v>524</v>
      </c>
      <c r="P181" t="s">
        <v>17</v>
      </c>
    </row>
    <row r="182" spans="1:16" x14ac:dyDescent="0.25">
      <c r="A182" t="s">
        <v>0</v>
      </c>
      <c r="B182" s="2">
        <v>44601</v>
      </c>
      <c r="C182" s="5" t="s">
        <v>12</v>
      </c>
      <c r="D182" t="s">
        <v>373</v>
      </c>
      <c r="E182" t="s">
        <v>374</v>
      </c>
      <c r="F182" t="s">
        <v>4</v>
      </c>
      <c r="G182" t="s">
        <v>5</v>
      </c>
      <c r="H182" s="3">
        <v>10007.32</v>
      </c>
      <c r="I182" t="s">
        <v>444</v>
      </c>
      <c r="J182" t="s">
        <v>376</v>
      </c>
      <c r="K182" t="s">
        <v>8</v>
      </c>
      <c r="L182" t="s">
        <v>8</v>
      </c>
      <c r="M182" t="s">
        <v>8</v>
      </c>
      <c r="N182" t="s">
        <v>445</v>
      </c>
      <c r="O182" t="s">
        <v>446</v>
      </c>
      <c r="P182" t="s">
        <v>30</v>
      </c>
    </row>
    <row r="183" spans="1:16" x14ac:dyDescent="0.25">
      <c r="A183" t="s">
        <v>0</v>
      </c>
      <c r="B183" s="2">
        <v>44602</v>
      </c>
      <c r="C183" t="s">
        <v>12</v>
      </c>
      <c r="D183" t="s">
        <v>2</v>
      </c>
      <c r="E183" t="s">
        <v>3</v>
      </c>
      <c r="F183" t="s">
        <v>4</v>
      </c>
      <c r="G183" t="s">
        <v>5</v>
      </c>
      <c r="H183" s="3">
        <v>322580.15999999997</v>
      </c>
      <c r="I183" t="s">
        <v>13</v>
      </c>
      <c r="J183" t="s">
        <v>7</v>
      </c>
      <c r="K183" t="s">
        <v>8</v>
      </c>
      <c r="L183" t="s">
        <v>14</v>
      </c>
      <c r="M183" t="s">
        <v>8</v>
      </c>
      <c r="N183" t="s">
        <v>15</v>
      </c>
      <c r="O183" t="s">
        <v>16</v>
      </c>
      <c r="P183" t="s">
        <v>1</v>
      </c>
    </row>
    <row r="184" spans="1:16" x14ac:dyDescent="0.25">
      <c r="A184" t="s">
        <v>0</v>
      </c>
      <c r="B184" s="2">
        <v>44602</v>
      </c>
      <c r="C184" s="5" t="s">
        <v>12</v>
      </c>
      <c r="D184" t="s">
        <v>2</v>
      </c>
      <c r="E184" t="s">
        <v>3</v>
      </c>
      <c r="F184" t="s">
        <v>4</v>
      </c>
      <c r="G184" t="s">
        <v>5</v>
      </c>
      <c r="H184" s="3">
        <v>5424.48</v>
      </c>
      <c r="I184" t="s">
        <v>659</v>
      </c>
      <c r="J184" t="s">
        <v>594</v>
      </c>
      <c r="K184" t="s">
        <v>8</v>
      </c>
      <c r="L184" t="s">
        <v>8</v>
      </c>
      <c r="M184" t="s">
        <v>8</v>
      </c>
      <c r="N184" t="s">
        <v>660</v>
      </c>
      <c r="O184" t="s">
        <v>16</v>
      </c>
      <c r="P184" t="s">
        <v>1</v>
      </c>
    </row>
    <row r="185" spans="1:16" x14ac:dyDescent="0.25">
      <c r="A185" t="s">
        <v>0</v>
      </c>
      <c r="B185" s="2">
        <v>44603</v>
      </c>
      <c r="C185" s="5" t="s">
        <v>12</v>
      </c>
      <c r="D185" t="s">
        <v>384</v>
      </c>
      <c r="E185" t="s">
        <v>385</v>
      </c>
      <c r="F185" t="s">
        <v>4</v>
      </c>
      <c r="G185" t="s">
        <v>5</v>
      </c>
      <c r="H185" s="3">
        <v>1817.5</v>
      </c>
      <c r="I185" t="s">
        <v>871</v>
      </c>
      <c r="J185" t="s">
        <v>912</v>
      </c>
      <c r="K185" t="s">
        <v>8</v>
      </c>
      <c r="L185" t="s">
        <v>8</v>
      </c>
      <c r="M185" t="s">
        <v>8</v>
      </c>
      <c r="N185" t="s">
        <v>1002</v>
      </c>
      <c r="O185" t="s">
        <v>389</v>
      </c>
      <c r="P185" t="s">
        <v>1</v>
      </c>
    </row>
    <row r="186" spans="1:16" x14ac:dyDescent="0.25">
      <c r="A186" t="s">
        <v>0</v>
      </c>
      <c r="B186" s="2">
        <v>44603</v>
      </c>
      <c r="C186" s="5" t="s">
        <v>12</v>
      </c>
      <c r="D186" t="s">
        <v>1201</v>
      </c>
      <c r="E186" t="s">
        <v>1202</v>
      </c>
      <c r="F186" t="s">
        <v>4</v>
      </c>
      <c r="G186" t="s">
        <v>5</v>
      </c>
      <c r="H186" s="3">
        <v>648</v>
      </c>
      <c r="I186" t="s">
        <v>1403</v>
      </c>
      <c r="J186" t="s">
        <v>1204</v>
      </c>
      <c r="K186" t="s">
        <v>8</v>
      </c>
      <c r="L186" t="s">
        <v>8</v>
      </c>
      <c r="M186" t="s">
        <v>8</v>
      </c>
      <c r="N186" t="s">
        <v>1404</v>
      </c>
      <c r="O186" t="s">
        <v>389</v>
      </c>
      <c r="P186" t="s">
        <v>1</v>
      </c>
    </row>
    <row r="187" spans="1:16" x14ac:dyDescent="0.25">
      <c r="A187" t="s">
        <v>0</v>
      </c>
      <c r="B187" s="2">
        <v>44603</v>
      </c>
      <c r="C187" s="5" t="s">
        <v>12</v>
      </c>
      <c r="D187" t="s">
        <v>384</v>
      </c>
      <c r="E187" t="s">
        <v>385</v>
      </c>
      <c r="F187" t="s">
        <v>4</v>
      </c>
      <c r="G187" t="s">
        <v>5</v>
      </c>
      <c r="H187" s="3">
        <v>190</v>
      </c>
      <c r="I187" t="s">
        <v>1786</v>
      </c>
      <c r="J187" t="s">
        <v>1242</v>
      </c>
      <c r="K187" t="s">
        <v>8</v>
      </c>
      <c r="L187" t="s">
        <v>8</v>
      </c>
      <c r="M187" t="s">
        <v>8</v>
      </c>
      <c r="N187" t="s">
        <v>1787</v>
      </c>
      <c r="O187" t="s">
        <v>389</v>
      </c>
      <c r="P187" t="s">
        <v>1</v>
      </c>
    </row>
    <row r="188" spans="1:16" x14ac:dyDescent="0.25">
      <c r="A188" t="s">
        <v>0</v>
      </c>
      <c r="B188" s="2">
        <v>44603</v>
      </c>
      <c r="C188" s="5" t="s">
        <v>12</v>
      </c>
      <c r="D188" t="s">
        <v>1201</v>
      </c>
      <c r="E188" t="s">
        <v>1202</v>
      </c>
      <c r="F188" t="s">
        <v>4</v>
      </c>
      <c r="G188" t="s">
        <v>5</v>
      </c>
      <c r="H188" s="3">
        <v>172.8</v>
      </c>
      <c r="I188" t="s">
        <v>1812</v>
      </c>
      <c r="J188" t="s">
        <v>912</v>
      </c>
      <c r="K188" t="s">
        <v>8</v>
      </c>
      <c r="L188" t="s">
        <v>8</v>
      </c>
      <c r="M188" t="s">
        <v>8</v>
      </c>
      <c r="N188" t="s">
        <v>1002</v>
      </c>
      <c r="O188" t="s">
        <v>389</v>
      </c>
      <c r="P188" t="s">
        <v>17</v>
      </c>
    </row>
    <row r="189" spans="1:16" x14ac:dyDescent="0.25">
      <c r="A189" t="s">
        <v>0</v>
      </c>
      <c r="B189" s="2">
        <v>44603</v>
      </c>
      <c r="C189" s="5" t="s">
        <v>12</v>
      </c>
      <c r="D189" t="s">
        <v>384</v>
      </c>
      <c r="E189" t="s">
        <v>385</v>
      </c>
      <c r="F189" t="s">
        <v>4</v>
      </c>
      <c r="G189" t="s">
        <v>5</v>
      </c>
      <c r="H189" s="3">
        <v>139.5</v>
      </c>
      <c r="I189" t="s">
        <v>871</v>
      </c>
      <c r="J189" t="s">
        <v>1417</v>
      </c>
      <c r="K189" t="s">
        <v>8</v>
      </c>
      <c r="L189" t="s">
        <v>8</v>
      </c>
      <c r="M189" t="s">
        <v>8</v>
      </c>
      <c r="N189" t="s">
        <v>1867</v>
      </c>
      <c r="O189" t="s">
        <v>389</v>
      </c>
      <c r="P189" t="s">
        <v>1</v>
      </c>
    </row>
    <row r="190" spans="1:16" x14ac:dyDescent="0.25">
      <c r="A190" t="s">
        <v>0</v>
      </c>
      <c r="B190" s="2">
        <v>44603</v>
      </c>
      <c r="C190" s="5" t="s">
        <v>12</v>
      </c>
      <c r="D190" t="s">
        <v>1201</v>
      </c>
      <c r="E190" t="s">
        <v>1202</v>
      </c>
      <c r="F190" t="s">
        <v>4</v>
      </c>
      <c r="G190" t="s">
        <v>5</v>
      </c>
      <c r="H190" s="3">
        <v>115.2</v>
      </c>
      <c r="I190" t="s">
        <v>1905</v>
      </c>
      <c r="J190" t="s">
        <v>1906</v>
      </c>
      <c r="K190" t="s">
        <v>8</v>
      </c>
      <c r="L190" t="s">
        <v>8</v>
      </c>
      <c r="M190" t="s">
        <v>8</v>
      </c>
      <c r="N190" t="s">
        <v>1907</v>
      </c>
      <c r="O190" t="s">
        <v>389</v>
      </c>
      <c r="P190" t="s">
        <v>1</v>
      </c>
    </row>
    <row r="191" spans="1:16" x14ac:dyDescent="0.25">
      <c r="A191" t="s">
        <v>0</v>
      </c>
      <c r="B191" s="2">
        <v>44603</v>
      </c>
      <c r="C191" s="5" t="s">
        <v>12</v>
      </c>
      <c r="D191" t="s">
        <v>1201</v>
      </c>
      <c r="E191" t="s">
        <v>1202</v>
      </c>
      <c r="F191" t="s">
        <v>4</v>
      </c>
      <c r="G191" t="s">
        <v>5</v>
      </c>
      <c r="H191" s="3">
        <v>104.4</v>
      </c>
      <c r="I191" t="s">
        <v>1923</v>
      </c>
      <c r="J191" t="s">
        <v>1921</v>
      </c>
      <c r="K191" t="s">
        <v>8</v>
      </c>
      <c r="L191" t="s">
        <v>8</v>
      </c>
      <c r="M191" t="s">
        <v>8</v>
      </c>
      <c r="N191" t="s">
        <v>1924</v>
      </c>
      <c r="O191" t="s">
        <v>389</v>
      </c>
      <c r="P191" t="s">
        <v>1</v>
      </c>
    </row>
    <row r="192" spans="1:16" x14ac:dyDescent="0.25">
      <c r="A192" t="s">
        <v>0</v>
      </c>
      <c r="B192" s="2">
        <v>44603</v>
      </c>
      <c r="C192" s="5" t="s">
        <v>12</v>
      </c>
      <c r="D192" t="s">
        <v>1201</v>
      </c>
      <c r="E192" t="s">
        <v>1202</v>
      </c>
      <c r="F192" t="s">
        <v>4</v>
      </c>
      <c r="G192" t="s">
        <v>5</v>
      </c>
      <c r="H192" s="3">
        <v>70.2</v>
      </c>
      <c r="I192" t="s">
        <v>1984</v>
      </c>
      <c r="J192" t="s">
        <v>1985</v>
      </c>
      <c r="K192" t="s">
        <v>8</v>
      </c>
      <c r="L192" t="s">
        <v>8</v>
      </c>
      <c r="M192" t="s">
        <v>8</v>
      </c>
      <c r="N192" t="s">
        <v>1986</v>
      </c>
      <c r="O192" t="s">
        <v>389</v>
      </c>
      <c r="P192" t="s">
        <v>1</v>
      </c>
    </row>
    <row r="193" spans="1:16" x14ac:dyDescent="0.25">
      <c r="A193" t="s">
        <v>0</v>
      </c>
      <c r="B193" s="2">
        <v>44603</v>
      </c>
      <c r="C193" s="5" t="s">
        <v>12</v>
      </c>
      <c r="D193" t="s">
        <v>384</v>
      </c>
      <c r="E193" t="s">
        <v>385</v>
      </c>
      <c r="F193" t="s">
        <v>4</v>
      </c>
      <c r="G193" t="s">
        <v>5</v>
      </c>
      <c r="H193" s="3">
        <v>34.4</v>
      </c>
      <c r="I193" t="s">
        <v>1757</v>
      </c>
      <c r="J193" t="s">
        <v>912</v>
      </c>
      <c r="K193" t="s">
        <v>8</v>
      </c>
      <c r="L193" t="s">
        <v>8</v>
      </c>
      <c r="M193" t="s">
        <v>8</v>
      </c>
      <c r="N193" t="s">
        <v>1002</v>
      </c>
      <c r="O193" t="s">
        <v>389</v>
      </c>
      <c r="P193" t="s">
        <v>12</v>
      </c>
    </row>
    <row r="194" spans="1:16" x14ac:dyDescent="0.25">
      <c r="A194" t="s">
        <v>0</v>
      </c>
      <c r="B194" s="2">
        <v>44603</v>
      </c>
      <c r="C194" s="5" t="s">
        <v>12</v>
      </c>
      <c r="D194" t="s">
        <v>1373</v>
      </c>
      <c r="E194" t="s">
        <v>1374</v>
      </c>
      <c r="F194" t="s">
        <v>4</v>
      </c>
      <c r="G194" t="s">
        <v>5</v>
      </c>
      <c r="H194" s="3">
        <v>24.99</v>
      </c>
      <c r="I194" t="s">
        <v>2112</v>
      </c>
      <c r="J194" t="s">
        <v>2113</v>
      </c>
      <c r="K194" t="s">
        <v>8</v>
      </c>
      <c r="L194" t="s">
        <v>8</v>
      </c>
      <c r="M194" t="s">
        <v>8</v>
      </c>
      <c r="N194" t="s">
        <v>2114</v>
      </c>
      <c r="O194" t="s">
        <v>389</v>
      </c>
      <c r="P194" t="s">
        <v>1</v>
      </c>
    </row>
    <row r="195" spans="1:16" x14ac:dyDescent="0.25">
      <c r="A195" t="s">
        <v>0</v>
      </c>
      <c r="B195" s="2">
        <v>44604</v>
      </c>
      <c r="C195" s="5" t="s">
        <v>12</v>
      </c>
      <c r="D195" t="s">
        <v>1201</v>
      </c>
      <c r="E195" t="s">
        <v>1202</v>
      </c>
      <c r="F195" t="s">
        <v>4</v>
      </c>
      <c r="G195" t="s">
        <v>5</v>
      </c>
      <c r="H195" s="3">
        <v>129.6</v>
      </c>
      <c r="I195" t="s">
        <v>1882</v>
      </c>
      <c r="J195" t="s">
        <v>1620</v>
      </c>
      <c r="K195" t="s">
        <v>8</v>
      </c>
      <c r="L195" t="s">
        <v>8</v>
      </c>
      <c r="M195" t="s">
        <v>8</v>
      </c>
      <c r="N195" t="s">
        <v>1883</v>
      </c>
      <c r="O195" t="s">
        <v>389</v>
      </c>
      <c r="P195" t="s">
        <v>1</v>
      </c>
    </row>
    <row r="196" spans="1:16" x14ac:dyDescent="0.25">
      <c r="A196" t="s">
        <v>0</v>
      </c>
      <c r="B196" s="2">
        <v>44604</v>
      </c>
      <c r="C196" s="5" t="s">
        <v>12</v>
      </c>
      <c r="D196" t="s">
        <v>1373</v>
      </c>
      <c r="E196" t="s">
        <v>1374</v>
      </c>
      <c r="F196" t="s">
        <v>4</v>
      </c>
      <c r="G196" t="s">
        <v>5</v>
      </c>
      <c r="H196" s="3">
        <v>98.63</v>
      </c>
      <c r="I196" t="s">
        <v>1942</v>
      </c>
      <c r="J196" t="s">
        <v>1414</v>
      </c>
      <c r="K196" t="s">
        <v>8</v>
      </c>
      <c r="L196" t="s">
        <v>8</v>
      </c>
      <c r="M196" t="s">
        <v>8</v>
      </c>
      <c r="N196" t="s">
        <v>1943</v>
      </c>
      <c r="O196" t="s">
        <v>389</v>
      </c>
      <c r="P196" t="s">
        <v>1</v>
      </c>
    </row>
    <row r="197" spans="1:16" x14ac:dyDescent="0.25">
      <c r="A197" t="s">
        <v>0</v>
      </c>
      <c r="B197" s="2">
        <v>44605</v>
      </c>
      <c r="C197" s="5" t="s">
        <v>12</v>
      </c>
      <c r="D197" t="s">
        <v>1373</v>
      </c>
      <c r="E197" t="s">
        <v>1374</v>
      </c>
      <c r="F197" t="s">
        <v>4</v>
      </c>
      <c r="G197" t="s">
        <v>5</v>
      </c>
      <c r="H197" s="3">
        <v>133.87</v>
      </c>
      <c r="I197" t="s">
        <v>1874</v>
      </c>
      <c r="J197" t="s">
        <v>1875</v>
      </c>
      <c r="K197" t="s">
        <v>8</v>
      </c>
      <c r="L197" t="s">
        <v>8</v>
      </c>
      <c r="M197" t="s">
        <v>8</v>
      </c>
      <c r="N197" t="s">
        <v>1876</v>
      </c>
      <c r="O197" t="s">
        <v>389</v>
      </c>
      <c r="P197" t="s">
        <v>1</v>
      </c>
    </row>
    <row r="198" spans="1:16" x14ac:dyDescent="0.25">
      <c r="A198" t="s">
        <v>0</v>
      </c>
      <c r="B198" s="2">
        <v>44605</v>
      </c>
      <c r="C198" s="5" t="s">
        <v>12</v>
      </c>
      <c r="D198" t="s">
        <v>1373</v>
      </c>
      <c r="E198" t="s">
        <v>1374</v>
      </c>
      <c r="F198" t="s">
        <v>4</v>
      </c>
      <c r="G198" t="s">
        <v>5</v>
      </c>
      <c r="H198" s="3">
        <v>107.93</v>
      </c>
      <c r="I198" t="s">
        <v>1913</v>
      </c>
      <c r="J198" t="s">
        <v>1741</v>
      </c>
      <c r="K198" t="s">
        <v>8</v>
      </c>
      <c r="L198" t="s">
        <v>8</v>
      </c>
      <c r="M198" t="s">
        <v>8</v>
      </c>
      <c r="N198" t="s">
        <v>1914</v>
      </c>
      <c r="O198" t="s">
        <v>389</v>
      </c>
      <c r="P198" t="s">
        <v>1</v>
      </c>
    </row>
    <row r="199" spans="1:16" x14ac:dyDescent="0.25">
      <c r="A199" t="s">
        <v>0</v>
      </c>
      <c r="B199" s="2">
        <v>44605</v>
      </c>
      <c r="C199" s="5" t="s">
        <v>12</v>
      </c>
      <c r="D199" t="s">
        <v>384</v>
      </c>
      <c r="E199" t="s">
        <v>385</v>
      </c>
      <c r="F199" t="s">
        <v>4</v>
      </c>
      <c r="G199" t="s">
        <v>5</v>
      </c>
      <c r="H199" s="3">
        <v>31.48</v>
      </c>
      <c r="I199" t="s">
        <v>1757</v>
      </c>
      <c r="J199" t="s">
        <v>1104</v>
      </c>
      <c r="K199" t="s">
        <v>8</v>
      </c>
      <c r="L199" t="s">
        <v>8</v>
      </c>
      <c r="M199" t="s">
        <v>8</v>
      </c>
      <c r="N199" t="s">
        <v>2087</v>
      </c>
      <c r="O199" t="s">
        <v>389</v>
      </c>
      <c r="P199" t="s">
        <v>1</v>
      </c>
    </row>
    <row r="200" spans="1:16" x14ac:dyDescent="0.25">
      <c r="A200" t="s">
        <v>0</v>
      </c>
      <c r="B200" s="2">
        <v>44606</v>
      </c>
      <c r="C200" s="5" t="s">
        <v>12</v>
      </c>
      <c r="D200" t="s">
        <v>2</v>
      </c>
      <c r="E200" t="s">
        <v>3</v>
      </c>
      <c r="F200" t="s">
        <v>4</v>
      </c>
      <c r="G200" t="s">
        <v>5</v>
      </c>
      <c r="H200" s="3">
        <v>320</v>
      </c>
      <c r="I200" t="s">
        <v>1669</v>
      </c>
      <c r="J200" t="s">
        <v>1605</v>
      </c>
      <c r="K200" t="s">
        <v>8</v>
      </c>
      <c r="L200" t="s">
        <v>1670</v>
      </c>
      <c r="M200" t="s">
        <v>8</v>
      </c>
      <c r="N200" t="s">
        <v>1671</v>
      </c>
      <c r="O200" t="s">
        <v>16</v>
      </c>
      <c r="P200" t="s">
        <v>1</v>
      </c>
    </row>
    <row r="201" spans="1:16" x14ac:dyDescent="0.25">
      <c r="A201" t="s">
        <v>0</v>
      </c>
      <c r="B201" s="2">
        <v>44607</v>
      </c>
      <c r="C201" s="5" t="s">
        <v>12</v>
      </c>
      <c r="D201" t="s">
        <v>390</v>
      </c>
      <c r="E201" t="s">
        <v>391</v>
      </c>
      <c r="F201" t="s">
        <v>4</v>
      </c>
      <c r="G201" t="s">
        <v>5</v>
      </c>
      <c r="H201" s="3">
        <v>1107.56</v>
      </c>
      <c r="I201" t="s">
        <v>1180</v>
      </c>
      <c r="J201" t="s">
        <v>1181</v>
      </c>
      <c r="K201" t="s">
        <v>8</v>
      </c>
      <c r="L201" t="s">
        <v>1182</v>
      </c>
      <c r="M201" t="s">
        <v>8</v>
      </c>
      <c r="N201" t="s">
        <v>1183</v>
      </c>
      <c r="O201" t="s">
        <v>16</v>
      </c>
      <c r="P201" t="s">
        <v>72</v>
      </c>
    </row>
    <row r="202" spans="1:16" x14ac:dyDescent="0.25">
      <c r="A202" t="s">
        <v>0</v>
      </c>
      <c r="B202" s="2">
        <v>44607</v>
      </c>
      <c r="C202" s="5" t="s">
        <v>12</v>
      </c>
      <c r="D202" t="s">
        <v>384</v>
      </c>
      <c r="E202" t="s">
        <v>385</v>
      </c>
      <c r="F202" t="s">
        <v>4</v>
      </c>
      <c r="G202" t="s">
        <v>5</v>
      </c>
      <c r="H202" s="3">
        <v>200</v>
      </c>
      <c r="I202" t="s">
        <v>1776</v>
      </c>
      <c r="J202" t="s">
        <v>1718</v>
      </c>
      <c r="K202" t="s">
        <v>8</v>
      </c>
      <c r="L202" t="s">
        <v>8</v>
      </c>
      <c r="M202" t="s">
        <v>8</v>
      </c>
      <c r="N202" t="s">
        <v>1777</v>
      </c>
      <c r="O202" t="s">
        <v>389</v>
      </c>
      <c r="P202" t="s">
        <v>12</v>
      </c>
    </row>
    <row r="203" spans="1:16" x14ac:dyDescent="0.25">
      <c r="A203" t="s">
        <v>0</v>
      </c>
      <c r="B203" s="2">
        <v>44607</v>
      </c>
      <c r="C203" s="5" t="s">
        <v>12</v>
      </c>
      <c r="D203" t="s">
        <v>108</v>
      </c>
      <c r="E203" t="s">
        <v>109</v>
      </c>
      <c r="F203" t="s">
        <v>4</v>
      </c>
      <c r="G203" t="s">
        <v>5</v>
      </c>
      <c r="H203" s="3">
        <v>35.83</v>
      </c>
      <c r="I203" t="s">
        <v>2077</v>
      </c>
      <c r="J203" t="s">
        <v>1343</v>
      </c>
      <c r="K203" t="s">
        <v>8</v>
      </c>
      <c r="L203" t="s">
        <v>2078</v>
      </c>
      <c r="M203" t="s">
        <v>8</v>
      </c>
      <c r="N203" t="s">
        <v>2079</v>
      </c>
      <c r="O203" t="s">
        <v>16</v>
      </c>
      <c r="P203" t="s">
        <v>17</v>
      </c>
    </row>
    <row r="204" spans="1:16" x14ac:dyDescent="0.25">
      <c r="A204" t="s">
        <v>0</v>
      </c>
      <c r="B204" s="2">
        <v>44608</v>
      </c>
      <c r="C204" s="5" t="s">
        <v>12</v>
      </c>
      <c r="D204" t="s">
        <v>885</v>
      </c>
      <c r="E204" t="s">
        <v>886</v>
      </c>
      <c r="F204" t="s">
        <v>4</v>
      </c>
      <c r="G204" t="s">
        <v>5</v>
      </c>
      <c r="H204" s="3">
        <v>19.28</v>
      </c>
      <c r="I204" t="s">
        <v>2130</v>
      </c>
      <c r="J204" t="s">
        <v>943</v>
      </c>
      <c r="K204" t="s">
        <v>8</v>
      </c>
      <c r="L204" t="s">
        <v>8</v>
      </c>
      <c r="M204" t="s">
        <v>8</v>
      </c>
      <c r="N204" t="s">
        <v>2131</v>
      </c>
      <c r="O204" t="s">
        <v>945</v>
      </c>
      <c r="P204" t="s">
        <v>1</v>
      </c>
    </row>
    <row r="205" spans="1:16" x14ac:dyDescent="0.25">
      <c r="A205" t="s">
        <v>0</v>
      </c>
      <c r="B205" s="2">
        <v>44609</v>
      </c>
      <c r="C205" s="5" t="s">
        <v>12</v>
      </c>
      <c r="D205" t="s">
        <v>384</v>
      </c>
      <c r="E205" t="s">
        <v>385</v>
      </c>
      <c r="F205" t="s">
        <v>4</v>
      </c>
      <c r="G205" t="s">
        <v>5</v>
      </c>
      <c r="H205" s="3">
        <v>7709</v>
      </c>
      <c r="I205" t="s">
        <v>571</v>
      </c>
      <c r="J205" t="s">
        <v>387</v>
      </c>
      <c r="K205" t="s">
        <v>8</v>
      </c>
      <c r="L205" t="s">
        <v>8</v>
      </c>
      <c r="M205" t="s">
        <v>8</v>
      </c>
      <c r="N205" t="s">
        <v>572</v>
      </c>
      <c r="O205" t="s">
        <v>389</v>
      </c>
      <c r="P205" t="s">
        <v>17</v>
      </c>
    </row>
    <row r="206" spans="1:16" x14ac:dyDescent="0.25">
      <c r="A206" t="s">
        <v>0</v>
      </c>
      <c r="B206" s="2">
        <v>44609</v>
      </c>
      <c r="C206" s="5" t="s">
        <v>12</v>
      </c>
      <c r="D206" t="s">
        <v>384</v>
      </c>
      <c r="E206" t="s">
        <v>385</v>
      </c>
      <c r="F206" t="s">
        <v>4</v>
      </c>
      <c r="G206" t="s">
        <v>5</v>
      </c>
      <c r="H206" s="3">
        <v>3680</v>
      </c>
      <c r="I206" t="s">
        <v>766</v>
      </c>
      <c r="J206" t="s">
        <v>387</v>
      </c>
      <c r="K206" t="s">
        <v>8</v>
      </c>
      <c r="L206" t="s">
        <v>8</v>
      </c>
      <c r="M206" t="s">
        <v>8</v>
      </c>
      <c r="N206" t="s">
        <v>572</v>
      </c>
      <c r="O206" t="s">
        <v>389</v>
      </c>
      <c r="P206" t="s">
        <v>43</v>
      </c>
    </row>
    <row r="207" spans="1:16" x14ac:dyDescent="0.25">
      <c r="A207" t="s">
        <v>0</v>
      </c>
      <c r="B207" s="2">
        <v>44609</v>
      </c>
      <c r="C207" s="5" t="s">
        <v>12</v>
      </c>
      <c r="D207" t="s">
        <v>384</v>
      </c>
      <c r="E207" t="s">
        <v>385</v>
      </c>
      <c r="F207" t="s">
        <v>4</v>
      </c>
      <c r="G207" t="s">
        <v>5</v>
      </c>
      <c r="H207" s="3">
        <v>2339.3000000000002</v>
      </c>
      <c r="I207" t="s">
        <v>914</v>
      </c>
      <c r="J207" t="s">
        <v>387</v>
      </c>
      <c r="K207" t="s">
        <v>8</v>
      </c>
      <c r="L207" t="s">
        <v>8</v>
      </c>
      <c r="M207" t="s">
        <v>8</v>
      </c>
      <c r="N207" t="s">
        <v>572</v>
      </c>
      <c r="O207" t="s">
        <v>389</v>
      </c>
      <c r="P207" t="s">
        <v>77</v>
      </c>
    </row>
    <row r="208" spans="1:16" x14ac:dyDescent="0.25">
      <c r="A208" t="s">
        <v>0</v>
      </c>
      <c r="B208" s="2">
        <v>44609</v>
      </c>
      <c r="C208" s="5" t="s">
        <v>12</v>
      </c>
      <c r="D208" t="s">
        <v>373</v>
      </c>
      <c r="E208" t="s">
        <v>374</v>
      </c>
      <c r="F208" t="s">
        <v>4</v>
      </c>
      <c r="G208" t="s">
        <v>5</v>
      </c>
      <c r="H208" s="3">
        <v>1619.9</v>
      </c>
      <c r="I208" t="s">
        <v>1059</v>
      </c>
      <c r="J208" t="s">
        <v>376</v>
      </c>
      <c r="K208" t="s">
        <v>8</v>
      </c>
      <c r="L208" t="s">
        <v>8</v>
      </c>
      <c r="M208" t="s">
        <v>8</v>
      </c>
      <c r="N208" t="s">
        <v>1060</v>
      </c>
      <c r="O208" t="s">
        <v>300</v>
      </c>
      <c r="P208" t="s">
        <v>1</v>
      </c>
    </row>
    <row r="209" spans="1:16" x14ac:dyDescent="0.25">
      <c r="A209" t="s">
        <v>0</v>
      </c>
      <c r="B209" s="2">
        <v>44609</v>
      </c>
      <c r="C209" s="5" t="s">
        <v>12</v>
      </c>
      <c r="D209" t="s">
        <v>867</v>
      </c>
      <c r="E209" t="s">
        <v>868</v>
      </c>
      <c r="F209" t="s">
        <v>4</v>
      </c>
      <c r="G209" t="s">
        <v>5</v>
      </c>
      <c r="H209" s="3">
        <v>1449.42</v>
      </c>
      <c r="I209" t="s">
        <v>1092</v>
      </c>
      <c r="J209" t="s">
        <v>387</v>
      </c>
      <c r="K209" t="s">
        <v>8</v>
      </c>
      <c r="L209" t="s">
        <v>8</v>
      </c>
      <c r="M209" t="s">
        <v>8</v>
      </c>
      <c r="N209" t="s">
        <v>572</v>
      </c>
      <c r="O209" t="s">
        <v>389</v>
      </c>
      <c r="P209" t="s">
        <v>82</v>
      </c>
    </row>
    <row r="210" spans="1:16" x14ac:dyDescent="0.25">
      <c r="A210" t="s">
        <v>0</v>
      </c>
      <c r="B210" s="2">
        <v>44609</v>
      </c>
      <c r="C210" s="5" t="s">
        <v>12</v>
      </c>
      <c r="D210" t="s">
        <v>384</v>
      </c>
      <c r="E210" t="s">
        <v>385</v>
      </c>
      <c r="F210" t="s">
        <v>4</v>
      </c>
      <c r="G210" t="s">
        <v>5</v>
      </c>
      <c r="H210" s="3">
        <v>1390.28</v>
      </c>
      <c r="I210" t="s">
        <v>1110</v>
      </c>
      <c r="J210" t="s">
        <v>387</v>
      </c>
      <c r="K210" t="s">
        <v>8</v>
      </c>
      <c r="L210" t="s">
        <v>8</v>
      </c>
      <c r="M210" t="s">
        <v>8</v>
      </c>
      <c r="N210" t="s">
        <v>572</v>
      </c>
      <c r="O210" t="s">
        <v>389</v>
      </c>
      <c r="P210" t="s">
        <v>1</v>
      </c>
    </row>
    <row r="211" spans="1:16" x14ac:dyDescent="0.25">
      <c r="A211" t="s">
        <v>0</v>
      </c>
      <c r="B211" s="2">
        <v>44609</v>
      </c>
      <c r="C211" s="5" t="s">
        <v>12</v>
      </c>
      <c r="D211" t="s">
        <v>861</v>
      </c>
      <c r="E211" t="s">
        <v>862</v>
      </c>
      <c r="F211" t="s">
        <v>4</v>
      </c>
      <c r="G211" t="s">
        <v>5</v>
      </c>
      <c r="H211" s="3">
        <v>819</v>
      </c>
      <c r="I211" t="s">
        <v>1316</v>
      </c>
      <c r="J211" t="s">
        <v>1317</v>
      </c>
      <c r="K211" t="s">
        <v>8</v>
      </c>
      <c r="L211" t="s">
        <v>1318</v>
      </c>
      <c r="M211" t="s">
        <v>8</v>
      </c>
      <c r="N211" t="s">
        <v>1319</v>
      </c>
      <c r="O211" t="s">
        <v>16</v>
      </c>
      <c r="P211" t="s">
        <v>1</v>
      </c>
    </row>
    <row r="212" spans="1:16" x14ac:dyDescent="0.25">
      <c r="A212" t="s">
        <v>0</v>
      </c>
      <c r="B212" s="2">
        <v>44609</v>
      </c>
      <c r="C212" s="5" t="s">
        <v>12</v>
      </c>
      <c r="D212" t="s">
        <v>867</v>
      </c>
      <c r="E212" t="s">
        <v>868</v>
      </c>
      <c r="F212" t="s">
        <v>4</v>
      </c>
      <c r="G212" t="s">
        <v>5</v>
      </c>
      <c r="H212" s="3">
        <v>447.5</v>
      </c>
      <c r="I212" t="s">
        <v>1516</v>
      </c>
      <c r="J212" t="s">
        <v>387</v>
      </c>
      <c r="K212" t="s">
        <v>8</v>
      </c>
      <c r="L212" t="s">
        <v>8</v>
      </c>
      <c r="M212" t="s">
        <v>8</v>
      </c>
      <c r="N212" t="s">
        <v>572</v>
      </c>
      <c r="O212" t="s">
        <v>389</v>
      </c>
      <c r="P212" t="s">
        <v>87</v>
      </c>
    </row>
    <row r="213" spans="1:16" x14ac:dyDescent="0.25">
      <c r="A213" t="s">
        <v>0</v>
      </c>
      <c r="B213" s="2">
        <v>44609</v>
      </c>
      <c r="C213" s="5" t="s">
        <v>12</v>
      </c>
      <c r="D213" t="s">
        <v>1551</v>
      </c>
      <c r="E213" t="s">
        <v>1552</v>
      </c>
      <c r="F213" t="s">
        <v>4</v>
      </c>
      <c r="G213" t="s">
        <v>5</v>
      </c>
      <c r="H213" s="3">
        <v>437.31</v>
      </c>
      <c r="I213" t="s">
        <v>1516</v>
      </c>
      <c r="J213" t="s">
        <v>387</v>
      </c>
      <c r="K213" t="s">
        <v>8</v>
      </c>
      <c r="L213" t="s">
        <v>8</v>
      </c>
      <c r="M213" t="s">
        <v>8</v>
      </c>
      <c r="N213" t="s">
        <v>572</v>
      </c>
      <c r="O213" t="s">
        <v>389</v>
      </c>
      <c r="P213" t="s">
        <v>30</v>
      </c>
    </row>
    <row r="214" spans="1:16" x14ac:dyDescent="0.25">
      <c r="A214" t="s">
        <v>0</v>
      </c>
      <c r="B214" s="2">
        <v>44609</v>
      </c>
      <c r="C214" s="5" t="s">
        <v>12</v>
      </c>
      <c r="D214" t="s">
        <v>373</v>
      </c>
      <c r="E214" t="s">
        <v>374</v>
      </c>
      <c r="F214" t="s">
        <v>4</v>
      </c>
      <c r="G214" t="s">
        <v>5</v>
      </c>
      <c r="H214" s="3">
        <v>189.94</v>
      </c>
      <c r="I214" t="s">
        <v>1788</v>
      </c>
      <c r="J214" t="s">
        <v>376</v>
      </c>
      <c r="K214" t="s">
        <v>8</v>
      </c>
      <c r="L214" t="s">
        <v>8</v>
      </c>
      <c r="M214" t="s">
        <v>8</v>
      </c>
      <c r="N214" t="s">
        <v>1789</v>
      </c>
      <c r="O214" t="s">
        <v>300</v>
      </c>
      <c r="P214" t="s">
        <v>1</v>
      </c>
    </row>
    <row r="215" spans="1:16" x14ac:dyDescent="0.25">
      <c r="A215" t="s">
        <v>0</v>
      </c>
      <c r="B215" s="2">
        <v>44609</v>
      </c>
      <c r="C215" s="5" t="s">
        <v>12</v>
      </c>
      <c r="D215" t="s">
        <v>1597</v>
      </c>
      <c r="E215" t="s">
        <v>1598</v>
      </c>
      <c r="F215" t="s">
        <v>4</v>
      </c>
      <c r="G215" t="s">
        <v>5</v>
      </c>
      <c r="H215" s="3">
        <v>125.43</v>
      </c>
      <c r="I215" t="s">
        <v>1885</v>
      </c>
      <c r="J215" t="s">
        <v>387</v>
      </c>
      <c r="K215" t="s">
        <v>8</v>
      </c>
      <c r="L215" t="s">
        <v>8</v>
      </c>
      <c r="M215" t="s">
        <v>8</v>
      </c>
      <c r="N215" t="s">
        <v>572</v>
      </c>
      <c r="O215" t="s">
        <v>389</v>
      </c>
      <c r="P215" t="s">
        <v>1304</v>
      </c>
    </row>
    <row r="216" spans="1:16" x14ac:dyDescent="0.25">
      <c r="A216" t="s">
        <v>0</v>
      </c>
      <c r="B216" s="2">
        <v>44609</v>
      </c>
      <c r="C216" s="5" t="s">
        <v>12</v>
      </c>
      <c r="D216" t="s">
        <v>1597</v>
      </c>
      <c r="E216" t="s">
        <v>1598</v>
      </c>
      <c r="F216" t="s">
        <v>4</v>
      </c>
      <c r="G216" t="s">
        <v>5</v>
      </c>
      <c r="H216" s="3">
        <v>78.8</v>
      </c>
      <c r="I216" t="s">
        <v>1970</v>
      </c>
      <c r="J216" t="s">
        <v>387</v>
      </c>
      <c r="K216" t="s">
        <v>8</v>
      </c>
      <c r="L216" t="s">
        <v>8</v>
      </c>
      <c r="M216" t="s">
        <v>8</v>
      </c>
      <c r="N216" t="s">
        <v>572</v>
      </c>
      <c r="O216" t="s">
        <v>389</v>
      </c>
      <c r="P216" t="s">
        <v>289</v>
      </c>
    </row>
    <row r="217" spans="1:16" x14ac:dyDescent="0.25">
      <c r="A217" t="s">
        <v>0</v>
      </c>
      <c r="B217" s="2">
        <v>44609</v>
      </c>
      <c r="C217" s="5" t="s">
        <v>12</v>
      </c>
      <c r="D217" t="s">
        <v>384</v>
      </c>
      <c r="E217" t="s">
        <v>385</v>
      </c>
      <c r="F217" t="s">
        <v>4</v>
      </c>
      <c r="G217" t="s">
        <v>5</v>
      </c>
      <c r="H217" s="3">
        <v>65.8</v>
      </c>
      <c r="I217" t="s">
        <v>2003</v>
      </c>
      <c r="J217" t="s">
        <v>387</v>
      </c>
      <c r="K217" t="s">
        <v>8</v>
      </c>
      <c r="L217" t="s">
        <v>8</v>
      </c>
      <c r="M217" t="s">
        <v>8</v>
      </c>
      <c r="N217" t="s">
        <v>572</v>
      </c>
      <c r="O217" t="s">
        <v>389</v>
      </c>
      <c r="P217" t="s">
        <v>22</v>
      </c>
    </row>
    <row r="218" spans="1:16" x14ac:dyDescent="0.25">
      <c r="A218" t="s">
        <v>0</v>
      </c>
      <c r="B218" s="2">
        <v>44609</v>
      </c>
      <c r="C218" s="5" t="s">
        <v>12</v>
      </c>
      <c r="D218" t="s">
        <v>1597</v>
      </c>
      <c r="E218" t="s">
        <v>1598</v>
      </c>
      <c r="F218" t="s">
        <v>4</v>
      </c>
      <c r="G218" t="s">
        <v>5</v>
      </c>
      <c r="H218" s="3">
        <v>57.09</v>
      </c>
      <c r="I218" t="s">
        <v>2033</v>
      </c>
      <c r="J218" t="s">
        <v>387</v>
      </c>
      <c r="K218" t="s">
        <v>8</v>
      </c>
      <c r="L218" t="s">
        <v>8</v>
      </c>
      <c r="M218" t="s">
        <v>8</v>
      </c>
      <c r="N218" t="s">
        <v>572</v>
      </c>
      <c r="O218" t="s">
        <v>389</v>
      </c>
      <c r="P218" t="s">
        <v>246</v>
      </c>
    </row>
    <row r="219" spans="1:16" x14ac:dyDescent="0.25">
      <c r="A219" t="s">
        <v>0</v>
      </c>
      <c r="B219" s="2">
        <v>44609</v>
      </c>
      <c r="C219" s="5" t="s">
        <v>12</v>
      </c>
      <c r="D219" t="s">
        <v>384</v>
      </c>
      <c r="E219" t="s">
        <v>385</v>
      </c>
      <c r="F219" t="s">
        <v>4</v>
      </c>
      <c r="G219" t="s">
        <v>5</v>
      </c>
      <c r="H219" s="3">
        <v>56.8</v>
      </c>
      <c r="I219" t="s">
        <v>1970</v>
      </c>
      <c r="J219" t="s">
        <v>387</v>
      </c>
      <c r="K219" t="s">
        <v>8</v>
      </c>
      <c r="L219" t="s">
        <v>8</v>
      </c>
      <c r="M219" t="s">
        <v>8</v>
      </c>
      <c r="N219" t="s">
        <v>572</v>
      </c>
      <c r="O219" t="s">
        <v>389</v>
      </c>
      <c r="P219" t="s">
        <v>72</v>
      </c>
    </row>
    <row r="220" spans="1:16" x14ac:dyDescent="0.25">
      <c r="A220" t="s">
        <v>0</v>
      </c>
      <c r="B220" s="2">
        <v>44609</v>
      </c>
      <c r="C220" s="5" t="s">
        <v>12</v>
      </c>
      <c r="D220" t="s">
        <v>384</v>
      </c>
      <c r="E220" t="s">
        <v>385</v>
      </c>
      <c r="F220" t="s">
        <v>4</v>
      </c>
      <c r="G220" t="s">
        <v>5</v>
      </c>
      <c r="H220" s="3">
        <v>45</v>
      </c>
      <c r="I220" t="s">
        <v>2061</v>
      </c>
      <c r="J220" t="s">
        <v>387</v>
      </c>
      <c r="K220" t="s">
        <v>8</v>
      </c>
      <c r="L220" t="s">
        <v>8</v>
      </c>
      <c r="M220" t="s">
        <v>8</v>
      </c>
      <c r="N220" t="s">
        <v>572</v>
      </c>
      <c r="O220" t="s">
        <v>389</v>
      </c>
      <c r="P220" t="s">
        <v>12</v>
      </c>
    </row>
    <row r="221" spans="1:16" x14ac:dyDescent="0.25">
      <c r="A221" t="s">
        <v>0</v>
      </c>
      <c r="B221" s="2">
        <v>44613</v>
      </c>
      <c r="C221" s="5" t="s">
        <v>12</v>
      </c>
      <c r="D221" t="s">
        <v>1454</v>
      </c>
      <c r="E221" t="s">
        <v>1455</v>
      </c>
      <c r="F221" t="s">
        <v>4</v>
      </c>
      <c r="G221" t="s">
        <v>5</v>
      </c>
      <c r="H221" s="3">
        <v>526.27</v>
      </c>
      <c r="I221" t="s">
        <v>1459</v>
      </c>
      <c r="J221" t="s">
        <v>322</v>
      </c>
      <c r="K221" t="s">
        <v>8</v>
      </c>
      <c r="L221" t="s">
        <v>8</v>
      </c>
      <c r="M221" t="s">
        <v>8</v>
      </c>
      <c r="N221" t="s">
        <v>1460</v>
      </c>
      <c r="O221" t="s">
        <v>121</v>
      </c>
      <c r="P221" t="s">
        <v>1458</v>
      </c>
    </row>
    <row r="222" spans="1:16" x14ac:dyDescent="0.25">
      <c r="A222" t="s">
        <v>0</v>
      </c>
      <c r="B222" s="2">
        <v>44614</v>
      </c>
      <c r="C222" s="5" t="s">
        <v>12</v>
      </c>
      <c r="D222" t="s">
        <v>152</v>
      </c>
      <c r="E222" t="s">
        <v>153</v>
      </c>
      <c r="F222" t="s">
        <v>4</v>
      </c>
      <c r="G222" t="s">
        <v>5</v>
      </c>
      <c r="H222" s="3">
        <v>1384.41</v>
      </c>
      <c r="I222" t="s">
        <v>1111</v>
      </c>
      <c r="J222" t="s">
        <v>153</v>
      </c>
      <c r="K222" t="s">
        <v>8</v>
      </c>
      <c r="L222" t="s">
        <v>8</v>
      </c>
      <c r="M222" t="s">
        <v>8</v>
      </c>
      <c r="N222" t="s">
        <v>1112</v>
      </c>
      <c r="O222" t="s">
        <v>121</v>
      </c>
      <c r="P222" t="s">
        <v>1113</v>
      </c>
    </row>
    <row r="223" spans="1:16" x14ac:dyDescent="0.25">
      <c r="A223" t="s">
        <v>0</v>
      </c>
      <c r="B223" s="2">
        <v>44614</v>
      </c>
      <c r="C223" s="5" t="s">
        <v>12</v>
      </c>
      <c r="D223" t="s">
        <v>1207</v>
      </c>
      <c r="E223" t="s">
        <v>1208</v>
      </c>
      <c r="F223" t="s">
        <v>4</v>
      </c>
      <c r="G223" t="s">
        <v>5</v>
      </c>
      <c r="H223" s="3">
        <v>1021.81</v>
      </c>
      <c r="I223" t="s">
        <v>1209</v>
      </c>
      <c r="J223" t="s">
        <v>153</v>
      </c>
      <c r="K223" t="s">
        <v>8</v>
      </c>
      <c r="L223" t="s">
        <v>8</v>
      </c>
      <c r="M223" t="s">
        <v>8</v>
      </c>
      <c r="N223" t="s">
        <v>1112</v>
      </c>
      <c r="O223" t="s">
        <v>121</v>
      </c>
      <c r="P223" t="s">
        <v>579</v>
      </c>
    </row>
    <row r="224" spans="1:16" x14ac:dyDescent="0.25">
      <c r="A224" t="s">
        <v>0</v>
      </c>
      <c r="B224" s="2">
        <v>44615</v>
      </c>
      <c r="C224" s="5" t="s">
        <v>12</v>
      </c>
      <c r="D224" t="s">
        <v>47</v>
      </c>
      <c r="E224" t="s">
        <v>48</v>
      </c>
      <c r="F224" t="s">
        <v>4</v>
      </c>
      <c r="G224" t="s">
        <v>5</v>
      </c>
      <c r="H224" s="3">
        <v>16.010000000000002</v>
      </c>
      <c r="I224" t="s">
        <v>942</v>
      </c>
      <c r="J224" t="s">
        <v>943</v>
      </c>
      <c r="K224" t="s">
        <v>8</v>
      </c>
      <c r="L224" t="s">
        <v>8</v>
      </c>
      <c r="M224" t="s">
        <v>8</v>
      </c>
      <c r="N224" t="s">
        <v>2139</v>
      </c>
      <c r="O224" t="s">
        <v>945</v>
      </c>
      <c r="P224" t="s">
        <v>12</v>
      </c>
    </row>
    <row r="225" spans="1:16" x14ac:dyDescent="0.25">
      <c r="A225" t="s">
        <v>0</v>
      </c>
      <c r="B225" s="2">
        <v>44615</v>
      </c>
      <c r="C225" s="5" t="s">
        <v>12</v>
      </c>
      <c r="D225" t="s">
        <v>47</v>
      </c>
      <c r="E225" t="s">
        <v>48</v>
      </c>
      <c r="F225" t="s">
        <v>4</v>
      </c>
      <c r="G225" t="s">
        <v>5</v>
      </c>
      <c r="H225" s="3">
        <v>6.45</v>
      </c>
      <c r="I225" t="s">
        <v>942</v>
      </c>
      <c r="J225" t="s">
        <v>943</v>
      </c>
      <c r="K225" t="s">
        <v>8</v>
      </c>
      <c r="L225" t="s">
        <v>8</v>
      </c>
      <c r="M225" t="s">
        <v>8</v>
      </c>
      <c r="N225" t="s">
        <v>2139</v>
      </c>
      <c r="O225" t="s">
        <v>945</v>
      </c>
      <c r="P225" t="s">
        <v>1</v>
      </c>
    </row>
    <row r="226" spans="1:16" x14ac:dyDescent="0.25">
      <c r="A226" t="s">
        <v>0</v>
      </c>
      <c r="B226" s="2">
        <v>44616</v>
      </c>
      <c r="C226" t="s">
        <v>12</v>
      </c>
      <c r="D226" t="s">
        <v>63</v>
      </c>
      <c r="E226" t="s">
        <v>64</v>
      </c>
      <c r="F226" t="s">
        <v>4</v>
      </c>
      <c r="G226" t="s">
        <v>5</v>
      </c>
      <c r="H226" s="3">
        <v>106077.73</v>
      </c>
      <c r="I226" t="s">
        <v>65</v>
      </c>
      <c r="J226" t="s">
        <v>66</v>
      </c>
      <c r="K226" t="s">
        <v>8</v>
      </c>
      <c r="L226" t="s">
        <v>8</v>
      </c>
      <c r="M226" t="s">
        <v>8</v>
      </c>
      <c r="N226" t="s">
        <v>80</v>
      </c>
      <c r="O226" t="s">
        <v>57</v>
      </c>
      <c r="P226" t="s">
        <v>81</v>
      </c>
    </row>
    <row r="227" spans="1:16" x14ac:dyDescent="0.25">
      <c r="A227" t="s">
        <v>0</v>
      </c>
      <c r="B227" s="2">
        <v>44616</v>
      </c>
      <c r="C227" t="s">
        <v>12</v>
      </c>
      <c r="D227" t="s">
        <v>63</v>
      </c>
      <c r="E227" t="s">
        <v>64</v>
      </c>
      <c r="F227" t="s">
        <v>4</v>
      </c>
      <c r="G227" t="s">
        <v>5</v>
      </c>
      <c r="H227" s="3">
        <v>61442.43</v>
      </c>
      <c r="I227" t="s">
        <v>114</v>
      </c>
      <c r="J227" t="s">
        <v>66</v>
      </c>
      <c r="K227" t="s">
        <v>8</v>
      </c>
      <c r="L227" t="s">
        <v>8</v>
      </c>
      <c r="M227" t="s">
        <v>8</v>
      </c>
      <c r="N227" t="s">
        <v>80</v>
      </c>
      <c r="O227" t="s">
        <v>57</v>
      </c>
      <c r="P227" t="s">
        <v>142</v>
      </c>
    </row>
    <row r="228" spans="1:16" x14ac:dyDescent="0.25">
      <c r="A228" t="s">
        <v>0</v>
      </c>
      <c r="B228" s="2">
        <v>44616</v>
      </c>
      <c r="C228" t="s">
        <v>12</v>
      </c>
      <c r="D228" t="s">
        <v>122</v>
      </c>
      <c r="E228" t="s">
        <v>123</v>
      </c>
      <c r="F228" t="s">
        <v>4</v>
      </c>
      <c r="G228" t="s">
        <v>5</v>
      </c>
      <c r="H228" s="3">
        <v>48098.68</v>
      </c>
      <c r="I228" t="s">
        <v>124</v>
      </c>
      <c r="J228" t="s">
        <v>66</v>
      </c>
      <c r="K228" t="s">
        <v>8</v>
      </c>
      <c r="L228" t="s">
        <v>8</v>
      </c>
      <c r="M228" t="s">
        <v>8</v>
      </c>
      <c r="N228" t="s">
        <v>80</v>
      </c>
      <c r="O228" t="s">
        <v>57</v>
      </c>
      <c r="P228" t="s">
        <v>163</v>
      </c>
    </row>
    <row r="229" spans="1:16" x14ac:dyDescent="0.25">
      <c r="A229" t="s">
        <v>0</v>
      </c>
      <c r="B229" s="2">
        <v>44616</v>
      </c>
      <c r="C229" t="s">
        <v>12</v>
      </c>
      <c r="D229" t="s">
        <v>169</v>
      </c>
      <c r="E229" t="s">
        <v>170</v>
      </c>
      <c r="F229" t="s">
        <v>4</v>
      </c>
      <c r="G229" t="s">
        <v>5</v>
      </c>
      <c r="H229" s="3">
        <v>37840.79</v>
      </c>
      <c r="I229" t="s">
        <v>171</v>
      </c>
      <c r="J229" t="s">
        <v>66</v>
      </c>
      <c r="K229" t="s">
        <v>8</v>
      </c>
      <c r="L229" t="s">
        <v>8</v>
      </c>
      <c r="M229" t="s">
        <v>8</v>
      </c>
      <c r="N229" t="s">
        <v>80</v>
      </c>
      <c r="O229" t="s">
        <v>57</v>
      </c>
      <c r="P229" t="s">
        <v>172</v>
      </c>
    </row>
    <row r="230" spans="1:16" x14ac:dyDescent="0.25">
      <c r="A230" t="s">
        <v>0</v>
      </c>
      <c r="B230" s="2">
        <v>44616</v>
      </c>
      <c r="C230" t="s">
        <v>12</v>
      </c>
      <c r="D230" t="s">
        <v>173</v>
      </c>
      <c r="E230" t="s">
        <v>174</v>
      </c>
      <c r="F230" t="s">
        <v>4</v>
      </c>
      <c r="G230" t="s">
        <v>5</v>
      </c>
      <c r="H230" s="3">
        <v>28403.02</v>
      </c>
      <c r="I230" t="s">
        <v>175</v>
      </c>
      <c r="J230" t="s">
        <v>66</v>
      </c>
      <c r="K230" t="s">
        <v>8</v>
      </c>
      <c r="L230" t="s">
        <v>8</v>
      </c>
      <c r="M230" t="s">
        <v>8</v>
      </c>
      <c r="N230" t="s">
        <v>80</v>
      </c>
      <c r="O230" t="s">
        <v>57</v>
      </c>
      <c r="P230" t="s">
        <v>184</v>
      </c>
    </row>
    <row r="231" spans="1:16" x14ac:dyDescent="0.25">
      <c r="A231" t="s">
        <v>0</v>
      </c>
      <c r="B231" s="2">
        <v>44616</v>
      </c>
      <c r="C231" t="s">
        <v>12</v>
      </c>
      <c r="D231" t="s">
        <v>59</v>
      </c>
      <c r="E231" t="s">
        <v>60</v>
      </c>
      <c r="F231" t="s">
        <v>4</v>
      </c>
      <c r="G231" t="s">
        <v>5</v>
      </c>
      <c r="H231" s="3">
        <v>16951.12</v>
      </c>
      <c r="I231" t="s">
        <v>61</v>
      </c>
      <c r="J231" t="s">
        <v>66</v>
      </c>
      <c r="K231" t="s">
        <v>8</v>
      </c>
      <c r="L231" t="s">
        <v>8</v>
      </c>
      <c r="M231" t="s">
        <v>8</v>
      </c>
      <c r="N231" t="s">
        <v>80</v>
      </c>
      <c r="O231" t="s">
        <v>57</v>
      </c>
      <c r="P231" t="s">
        <v>320</v>
      </c>
    </row>
    <row r="232" spans="1:16" x14ac:dyDescent="0.25">
      <c r="A232" t="s">
        <v>0</v>
      </c>
      <c r="B232" s="2">
        <v>44616</v>
      </c>
      <c r="C232" t="s">
        <v>12</v>
      </c>
      <c r="D232" t="s">
        <v>273</v>
      </c>
      <c r="E232" t="s">
        <v>274</v>
      </c>
      <c r="F232" t="s">
        <v>4</v>
      </c>
      <c r="G232" t="s">
        <v>5</v>
      </c>
      <c r="H232" s="3">
        <v>14589.36</v>
      </c>
      <c r="I232" t="s">
        <v>275</v>
      </c>
      <c r="J232" t="s">
        <v>66</v>
      </c>
      <c r="K232" t="s">
        <v>8</v>
      </c>
      <c r="L232" t="s">
        <v>8</v>
      </c>
      <c r="M232" t="s">
        <v>8</v>
      </c>
      <c r="N232" t="s">
        <v>80</v>
      </c>
      <c r="O232" t="s">
        <v>57</v>
      </c>
      <c r="P232" t="s">
        <v>332</v>
      </c>
    </row>
    <row r="233" spans="1:16" x14ac:dyDescent="0.25">
      <c r="A233" t="s">
        <v>0</v>
      </c>
      <c r="B233" s="2">
        <v>44616</v>
      </c>
      <c r="C233" s="5" t="s">
        <v>12</v>
      </c>
      <c r="D233" t="s">
        <v>169</v>
      </c>
      <c r="E233" t="s">
        <v>170</v>
      </c>
      <c r="F233" t="s">
        <v>4</v>
      </c>
      <c r="G233" t="s">
        <v>5</v>
      </c>
      <c r="H233" s="3">
        <v>9597.35</v>
      </c>
      <c r="I233" t="s">
        <v>213</v>
      </c>
      <c r="J233" t="s">
        <v>66</v>
      </c>
      <c r="K233" t="s">
        <v>8</v>
      </c>
      <c r="L233" t="s">
        <v>8</v>
      </c>
      <c r="M233" t="s">
        <v>8</v>
      </c>
      <c r="N233" t="s">
        <v>80</v>
      </c>
      <c r="O233" t="s">
        <v>57</v>
      </c>
      <c r="P233" t="s">
        <v>458</v>
      </c>
    </row>
    <row r="234" spans="1:16" x14ac:dyDescent="0.25">
      <c r="A234" t="s">
        <v>0</v>
      </c>
      <c r="B234" s="2">
        <v>44616</v>
      </c>
      <c r="C234" s="5" t="s">
        <v>12</v>
      </c>
      <c r="D234" t="s">
        <v>507</v>
      </c>
      <c r="E234" t="s">
        <v>508</v>
      </c>
      <c r="F234" t="s">
        <v>4</v>
      </c>
      <c r="G234" t="s">
        <v>5</v>
      </c>
      <c r="H234" s="3">
        <v>8990.0400000000009</v>
      </c>
      <c r="I234" t="s">
        <v>509</v>
      </c>
      <c r="J234" t="s">
        <v>66</v>
      </c>
      <c r="K234" t="s">
        <v>8</v>
      </c>
      <c r="L234" t="s">
        <v>8</v>
      </c>
      <c r="M234" t="s">
        <v>8</v>
      </c>
      <c r="N234" t="s">
        <v>80</v>
      </c>
      <c r="O234" t="s">
        <v>57</v>
      </c>
      <c r="P234" t="s">
        <v>325</v>
      </c>
    </row>
    <row r="235" spans="1:16" x14ac:dyDescent="0.25">
      <c r="A235" t="s">
        <v>0</v>
      </c>
      <c r="B235" s="2">
        <v>44616</v>
      </c>
      <c r="C235" s="5" t="s">
        <v>12</v>
      </c>
      <c r="D235" t="s">
        <v>380</v>
      </c>
      <c r="E235" t="s">
        <v>381</v>
      </c>
      <c r="F235" t="s">
        <v>4</v>
      </c>
      <c r="G235" t="s">
        <v>5</v>
      </c>
      <c r="H235" s="3">
        <v>7943.92</v>
      </c>
      <c r="I235" t="s">
        <v>382</v>
      </c>
      <c r="J235" t="s">
        <v>66</v>
      </c>
      <c r="K235" t="s">
        <v>8</v>
      </c>
      <c r="L235" t="s">
        <v>8</v>
      </c>
      <c r="M235" t="s">
        <v>8</v>
      </c>
      <c r="N235" t="s">
        <v>80</v>
      </c>
      <c r="O235" t="s">
        <v>57</v>
      </c>
      <c r="P235" t="s">
        <v>562</v>
      </c>
    </row>
    <row r="236" spans="1:16" x14ac:dyDescent="0.25">
      <c r="A236" t="s">
        <v>0</v>
      </c>
      <c r="B236" s="2">
        <v>44616</v>
      </c>
      <c r="C236" s="5" t="s">
        <v>12</v>
      </c>
      <c r="D236" t="s">
        <v>122</v>
      </c>
      <c r="E236" t="s">
        <v>123</v>
      </c>
      <c r="F236" t="s">
        <v>4</v>
      </c>
      <c r="G236" t="s">
        <v>5</v>
      </c>
      <c r="H236" s="3">
        <v>6992.34</v>
      </c>
      <c r="I236" t="s">
        <v>397</v>
      </c>
      <c r="J236" t="s">
        <v>66</v>
      </c>
      <c r="K236" t="s">
        <v>8</v>
      </c>
      <c r="L236" t="s">
        <v>8</v>
      </c>
      <c r="M236" t="s">
        <v>8</v>
      </c>
      <c r="N236" t="s">
        <v>80</v>
      </c>
      <c r="O236" t="s">
        <v>57</v>
      </c>
      <c r="P236" t="s">
        <v>589</v>
      </c>
    </row>
    <row r="237" spans="1:16" x14ac:dyDescent="0.25">
      <c r="A237" t="s">
        <v>0</v>
      </c>
      <c r="B237" s="2">
        <v>44616</v>
      </c>
      <c r="C237" s="5" t="s">
        <v>12</v>
      </c>
      <c r="D237" t="s">
        <v>624</v>
      </c>
      <c r="E237" t="s">
        <v>625</v>
      </c>
      <c r="F237" t="s">
        <v>4</v>
      </c>
      <c r="G237" t="s">
        <v>5</v>
      </c>
      <c r="H237" s="3">
        <v>6001.04</v>
      </c>
      <c r="I237" t="s">
        <v>626</v>
      </c>
      <c r="J237" t="s">
        <v>66</v>
      </c>
      <c r="K237" t="s">
        <v>8</v>
      </c>
      <c r="L237" t="s">
        <v>8</v>
      </c>
      <c r="M237" t="s">
        <v>8</v>
      </c>
      <c r="N237" t="s">
        <v>80</v>
      </c>
      <c r="O237" t="s">
        <v>57</v>
      </c>
      <c r="P237" t="s">
        <v>630</v>
      </c>
    </row>
    <row r="238" spans="1:16" x14ac:dyDescent="0.25">
      <c r="A238" t="s">
        <v>0</v>
      </c>
      <c r="B238" s="2">
        <v>44616</v>
      </c>
      <c r="C238" s="5" t="s">
        <v>12</v>
      </c>
      <c r="D238" t="s">
        <v>514</v>
      </c>
      <c r="E238" t="s">
        <v>515</v>
      </c>
      <c r="F238" t="s">
        <v>4</v>
      </c>
      <c r="G238" t="s">
        <v>5</v>
      </c>
      <c r="H238" s="3">
        <v>5899.82</v>
      </c>
      <c r="I238" t="s">
        <v>516</v>
      </c>
      <c r="J238" t="s">
        <v>66</v>
      </c>
      <c r="K238" t="s">
        <v>8</v>
      </c>
      <c r="L238" t="s">
        <v>8</v>
      </c>
      <c r="M238" t="s">
        <v>8</v>
      </c>
      <c r="N238" t="s">
        <v>631</v>
      </c>
      <c r="O238" t="s">
        <v>57</v>
      </c>
      <c r="P238" t="s">
        <v>632</v>
      </c>
    </row>
    <row r="239" spans="1:16" x14ac:dyDescent="0.25">
      <c r="A239" t="s">
        <v>0</v>
      </c>
      <c r="B239" s="2">
        <v>44616</v>
      </c>
      <c r="C239" s="5" t="s">
        <v>12</v>
      </c>
      <c r="D239" t="s">
        <v>534</v>
      </c>
      <c r="E239" t="s">
        <v>535</v>
      </c>
      <c r="F239" t="s">
        <v>4</v>
      </c>
      <c r="G239" t="s">
        <v>5</v>
      </c>
      <c r="H239" s="3">
        <v>5633</v>
      </c>
      <c r="I239" t="s">
        <v>536</v>
      </c>
      <c r="J239" t="s">
        <v>66</v>
      </c>
      <c r="K239" t="s">
        <v>8</v>
      </c>
      <c r="L239" t="s">
        <v>8</v>
      </c>
      <c r="M239" t="s">
        <v>8</v>
      </c>
      <c r="N239" t="s">
        <v>80</v>
      </c>
      <c r="O239" t="s">
        <v>57</v>
      </c>
      <c r="P239" t="s">
        <v>654</v>
      </c>
    </row>
    <row r="240" spans="1:16" x14ac:dyDescent="0.25">
      <c r="A240" t="s">
        <v>0</v>
      </c>
      <c r="B240" s="2">
        <v>44616</v>
      </c>
      <c r="C240" s="5" t="s">
        <v>12</v>
      </c>
      <c r="D240" t="s">
        <v>769</v>
      </c>
      <c r="E240" t="s">
        <v>770</v>
      </c>
      <c r="F240" t="s">
        <v>4</v>
      </c>
      <c r="G240" t="s">
        <v>5</v>
      </c>
      <c r="H240" s="3">
        <v>3211.36</v>
      </c>
      <c r="I240" t="s">
        <v>771</v>
      </c>
      <c r="J240" t="s">
        <v>66</v>
      </c>
      <c r="K240" t="s">
        <v>8</v>
      </c>
      <c r="L240" t="s">
        <v>8</v>
      </c>
      <c r="M240" t="s">
        <v>8</v>
      </c>
      <c r="N240" t="s">
        <v>631</v>
      </c>
      <c r="O240" t="s">
        <v>57</v>
      </c>
      <c r="P240" t="s">
        <v>814</v>
      </c>
    </row>
    <row r="241" spans="1:16" x14ac:dyDescent="0.25">
      <c r="A241" t="s">
        <v>0</v>
      </c>
      <c r="B241" s="2">
        <v>44616</v>
      </c>
      <c r="C241" s="5" t="s">
        <v>12</v>
      </c>
      <c r="D241" t="s">
        <v>822</v>
      </c>
      <c r="E241" t="s">
        <v>823</v>
      </c>
      <c r="F241" t="s">
        <v>4</v>
      </c>
      <c r="G241" t="s">
        <v>5</v>
      </c>
      <c r="H241" s="3">
        <v>2374.4899999999998</v>
      </c>
      <c r="I241" t="s">
        <v>824</v>
      </c>
      <c r="J241" t="s">
        <v>66</v>
      </c>
      <c r="K241" t="s">
        <v>8</v>
      </c>
      <c r="L241" t="s">
        <v>8</v>
      </c>
      <c r="M241" t="s">
        <v>8</v>
      </c>
      <c r="N241" t="s">
        <v>631</v>
      </c>
      <c r="O241" t="s">
        <v>57</v>
      </c>
      <c r="P241" t="s">
        <v>907</v>
      </c>
    </row>
    <row r="242" spans="1:16" x14ac:dyDescent="0.25">
      <c r="A242" t="s">
        <v>0</v>
      </c>
      <c r="B242" s="2">
        <v>44616</v>
      </c>
      <c r="C242" s="5" t="s">
        <v>12</v>
      </c>
      <c r="D242" t="s">
        <v>951</v>
      </c>
      <c r="E242" t="s">
        <v>952</v>
      </c>
      <c r="F242" t="s">
        <v>4</v>
      </c>
      <c r="G242" t="s">
        <v>5</v>
      </c>
      <c r="H242" s="3">
        <v>2013.89</v>
      </c>
      <c r="I242" t="s">
        <v>953</v>
      </c>
      <c r="J242" t="s">
        <v>66</v>
      </c>
      <c r="K242" t="s">
        <v>8</v>
      </c>
      <c r="L242" t="s">
        <v>8</v>
      </c>
      <c r="M242" t="s">
        <v>8</v>
      </c>
      <c r="N242" t="s">
        <v>631</v>
      </c>
      <c r="O242" t="s">
        <v>57</v>
      </c>
      <c r="P242" t="s">
        <v>617</v>
      </c>
    </row>
    <row r="243" spans="1:16" x14ac:dyDescent="0.25">
      <c r="A243" t="s">
        <v>0</v>
      </c>
      <c r="B243" s="2">
        <v>44616</v>
      </c>
      <c r="C243" s="5" t="s">
        <v>12</v>
      </c>
      <c r="D243" t="s">
        <v>881</v>
      </c>
      <c r="E243" t="s">
        <v>882</v>
      </c>
      <c r="F243" t="s">
        <v>4</v>
      </c>
      <c r="G243" t="s">
        <v>5</v>
      </c>
      <c r="H243" s="3">
        <v>1227.7</v>
      </c>
      <c r="I243" t="s">
        <v>1065</v>
      </c>
      <c r="J243" t="s">
        <v>66</v>
      </c>
      <c r="K243" t="s">
        <v>8</v>
      </c>
      <c r="L243" t="s">
        <v>8</v>
      </c>
      <c r="M243" t="s">
        <v>8</v>
      </c>
      <c r="N243" t="s">
        <v>80</v>
      </c>
      <c r="O243" t="s">
        <v>57</v>
      </c>
      <c r="P243" t="s">
        <v>228</v>
      </c>
    </row>
    <row r="244" spans="1:16" x14ac:dyDescent="0.25">
      <c r="A244" t="s">
        <v>0</v>
      </c>
      <c r="B244" s="2">
        <v>44616</v>
      </c>
      <c r="C244" s="5" t="s">
        <v>12</v>
      </c>
      <c r="D244" t="s">
        <v>954</v>
      </c>
      <c r="E244" t="s">
        <v>955</v>
      </c>
      <c r="F244" t="s">
        <v>4</v>
      </c>
      <c r="G244" t="s">
        <v>5</v>
      </c>
      <c r="H244" s="3">
        <v>1020</v>
      </c>
      <c r="I244" t="s">
        <v>956</v>
      </c>
      <c r="J244" t="s">
        <v>66</v>
      </c>
      <c r="K244" t="s">
        <v>8</v>
      </c>
      <c r="L244" t="s">
        <v>8</v>
      </c>
      <c r="M244" t="s">
        <v>8</v>
      </c>
      <c r="N244" t="s">
        <v>631</v>
      </c>
      <c r="O244" t="s">
        <v>57</v>
      </c>
      <c r="P244" t="s">
        <v>1210</v>
      </c>
    </row>
    <row r="245" spans="1:16" x14ac:dyDescent="0.25">
      <c r="A245" t="s">
        <v>0</v>
      </c>
      <c r="B245" s="2">
        <v>44616</v>
      </c>
      <c r="C245" s="5" t="s">
        <v>12</v>
      </c>
      <c r="D245" t="s">
        <v>514</v>
      </c>
      <c r="E245" t="s">
        <v>515</v>
      </c>
      <c r="F245" t="s">
        <v>4</v>
      </c>
      <c r="G245" t="s">
        <v>5</v>
      </c>
      <c r="H245" s="3">
        <v>973.5</v>
      </c>
      <c r="I245" t="s">
        <v>889</v>
      </c>
      <c r="J245" t="s">
        <v>66</v>
      </c>
      <c r="K245" t="s">
        <v>8</v>
      </c>
      <c r="L245" t="s">
        <v>8</v>
      </c>
      <c r="M245" t="s">
        <v>8</v>
      </c>
      <c r="N245" t="s">
        <v>80</v>
      </c>
      <c r="O245" t="s">
        <v>57</v>
      </c>
      <c r="P245" t="s">
        <v>361</v>
      </c>
    </row>
    <row r="246" spans="1:16" x14ac:dyDescent="0.25">
      <c r="A246" t="s">
        <v>0</v>
      </c>
      <c r="B246" s="2">
        <v>44616</v>
      </c>
      <c r="C246" s="5" t="s">
        <v>12</v>
      </c>
      <c r="D246" t="s">
        <v>951</v>
      </c>
      <c r="E246" t="s">
        <v>952</v>
      </c>
      <c r="F246" t="s">
        <v>4</v>
      </c>
      <c r="G246" t="s">
        <v>5</v>
      </c>
      <c r="H246" s="3">
        <v>836.82</v>
      </c>
      <c r="I246" t="s">
        <v>1178</v>
      </c>
      <c r="J246" t="s">
        <v>66</v>
      </c>
      <c r="K246" t="s">
        <v>8</v>
      </c>
      <c r="L246" t="s">
        <v>8</v>
      </c>
      <c r="M246" t="s">
        <v>8</v>
      </c>
      <c r="N246" t="s">
        <v>631</v>
      </c>
      <c r="O246" t="s">
        <v>57</v>
      </c>
      <c r="P246" t="s">
        <v>1298</v>
      </c>
    </row>
    <row r="247" spans="1:16" x14ac:dyDescent="0.25">
      <c r="A247" t="s">
        <v>0</v>
      </c>
      <c r="B247" s="2">
        <v>44616</v>
      </c>
      <c r="C247" s="5" t="s">
        <v>12</v>
      </c>
      <c r="D247" t="s">
        <v>1184</v>
      </c>
      <c r="E247" t="s">
        <v>1185</v>
      </c>
      <c r="F247" t="s">
        <v>4</v>
      </c>
      <c r="G247" t="s">
        <v>5</v>
      </c>
      <c r="H247" s="3">
        <v>782.49</v>
      </c>
      <c r="I247" t="s">
        <v>1186</v>
      </c>
      <c r="J247" t="s">
        <v>66</v>
      </c>
      <c r="K247" t="s">
        <v>8</v>
      </c>
      <c r="L247" t="s">
        <v>8</v>
      </c>
      <c r="M247" t="s">
        <v>8</v>
      </c>
      <c r="N247" t="s">
        <v>631</v>
      </c>
      <c r="O247" t="s">
        <v>57</v>
      </c>
      <c r="P247" t="s">
        <v>155</v>
      </c>
    </row>
    <row r="248" spans="1:16" x14ac:dyDescent="0.25">
      <c r="A248" t="s">
        <v>0</v>
      </c>
      <c r="B248" s="2">
        <v>44616</v>
      </c>
      <c r="C248" s="5" t="s">
        <v>12</v>
      </c>
      <c r="D248" t="s">
        <v>951</v>
      </c>
      <c r="E248" t="s">
        <v>952</v>
      </c>
      <c r="F248" t="s">
        <v>4</v>
      </c>
      <c r="G248" t="s">
        <v>5</v>
      </c>
      <c r="H248" s="3">
        <v>739.69</v>
      </c>
      <c r="I248" t="s">
        <v>1359</v>
      </c>
      <c r="J248" t="s">
        <v>66</v>
      </c>
      <c r="K248" t="s">
        <v>8</v>
      </c>
      <c r="L248" t="s">
        <v>8</v>
      </c>
      <c r="M248" t="s">
        <v>8</v>
      </c>
      <c r="N248" t="s">
        <v>631</v>
      </c>
      <c r="O248" t="s">
        <v>57</v>
      </c>
      <c r="P248" t="s">
        <v>1360</v>
      </c>
    </row>
    <row r="249" spans="1:16" x14ac:dyDescent="0.25">
      <c r="A249" t="s">
        <v>0</v>
      </c>
      <c r="B249" s="2">
        <v>44616</v>
      </c>
      <c r="C249" s="5" t="s">
        <v>12</v>
      </c>
      <c r="D249" t="s">
        <v>861</v>
      </c>
      <c r="E249" t="s">
        <v>862</v>
      </c>
      <c r="F249" t="s">
        <v>4</v>
      </c>
      <c r="G249" t="s">
        <v>5</v>
      </c>
      <c r="H249" s="3">
        <v>423.8</v>
      </c>
      <c r="I249" t="s">
        <v>1557</v>
      </c>
      <c r="J249" t="s">
        <v>1558</v>
      </c>
      <c r="K249" t="s">
        <v>8</v>
      </c>
      <c r="L249" t="s">
        <v>1559</v>
      </c>
      <c r="M249" t="s">
        <v>8</v>
      </c>
      <c r="N249" t="s">
        <v>1560</v>
      </c>
      <c r="O249" t="s">
        <v>16</v>
      </c>
      <c r="P249" t="s">
        <v>1</v>
      </c>
    </row>
    <row r="250" spans="1:16" x14ac:dyDescent="0.25">
      <c r="A250" t="s">
        <v>0</v>
      </c>
      <c r="B250" s="2">
        <v>44616</v>
      </c>
      <c r="C250" s="5" t="s">
        <v>12</v>
      </c>
      <c r="D250" t="s">
        <v>861</v>
      </c>
      <c r="E250" t="s">
        <v>862</v>
      </c>
      <c r="F250" t="s">
        <v>4</v>
      </c>
      <c r="G250" t="s">
        <v>5</v>
      </c>
      <c r="H250" s="3">
        <v>389.6</v>
      </c>
      <c r="I250" t="s">
        <v>1557</v>
      </c>
      <c r="J250" t="s">
        <v>1558</v>
      </c>
      <c r="K250" t="s">
        <v>8</v>
      </c>
      <c r="L250" t="s">
        <v>1559</v>
      </c>
      <c r="M250" t="s">
        <v>8</v>
      </c>
      <c r="N250" t="s">
        <v>1560</v>
      </c>
      <c r="O250" t="s">
        <v>16</v>
      </c>
      <c r="P250" t="s">
        <v>12</v>
      </c>
    </row>
    <row r="251" spans="1:16" x14ac:dyDescent="0.25">
      <c r="A251" t="s">
        <v>0</v>
      </c>
      <c r="B251" s="2">
        <v>44616</v>
      </c>
      <c r="C251" s="5" t="s">
        <v>12</v>
      </c>
      <c r="D251" t="s">
        <v>514</v>
      </c>
      <c r="E251" t="s">
        <v>515</v>
      </c>
      <c r="F251" t="s">
        <v>4</v>
      </c>
      <c r="G251" t="s">
        <v>5</v>
      </c>
      <c r="H251" s="3">
        <v>375.62</v>
      </c>
      <c r="I251" t="s">
        <v>1220</v>
      </c>
      <c r="J251" t="s">
        <v>66</v>
      </c>
      <c r="K251" t="s">
        <v>8</v>
      </c>
      <c r="L251" t="s">
        <v>8</v>
      </c>
      <c r="M251" t="s">
        <v>8</v>
      </c>
      <c r="N251" t="s">
        <v>80</v>
      </c>
      <c r="O251" t="s">
        <v>57</v>
      </c>
      <c r="P251" t="s">
        <v>1144</v>
      </c>
    </row>
    <row r="252" spans="1:16" x14ac:dyDescent="0.25">
      <c r="A252" t="s">
        <v>0</v>
      </c>
      <c r="B252" s="2">
        <v>44616</v>
      </c>
      <c r="C252" s="5" t="s">
        <v>12</v>
      </c>
      <c r="D252" t="s">
        <v>1506</v>
      </c>
      <c r="E252" t="s">
        <v>1507</v>
      </c>
      <c r="F252" t="s">
        <v>4</v>
      </c>
      <c r="G252" t="s">
        <v>5</v>
      </c>
      <c r="H252" s="3">
        <v>345.19</v>
      </c>
      <c r="I252" t="s">
        <v>1508</v>
      </c>
      <c r="J252" t="s">
        <v>66</v>
      </c>
      <c r="K252" t="s">
        <v>8</v>
      </c>
      <c r="L252" t="s">
        <v>8</v>
      </c>
      <c r="M252" t="s">
        <v>8</v>
      </c>
      <c r="N252" t="s">
        <v>631</v>
      </c>
      <c r="O252" t="s">
        <v>57</v>
      </c>
      <c r="P252" t="s">
        <v>1211</v>
      </c>
    </row>
    <row r="253" spans="1:16" x14ac:dyDescent="0.25">
      <c r="A253" t="s">
        <v>0</v>
      </c>
      <c r="B253" s="2">
        <v>44616</v>
      </c>
      <c r="C253" s="5" t="s">
        <v>12</v>
      </c>
      <c r="D253" t="s">
        <v>380</v>
      </c>
      <c r="E253" t="s">
        <v>381</v>
      </c>
      <c r="F253" t="s">
        <v>4</v>
      </c>
      <c r="G253" t="s">
        <v>5</v>
      </c>
      <c r="H253" s="3">
        <v>309.91000000000003</v>
      </c>
      <c r="I253" t="s">
        <v>1587</v>
      </c>
      <c r="J253" t="s">
        <v>66</v>
      </c>
      <c r="K253" t="s">
        <v>8</v>
      </c>
      <c r="L253" t="s">
        <v>8</v>
      </c>
      <c r="M253" t="s">
        <v>8</v>
      </c>
      <c r="N253" t="s">
        <v>631</v>
      </c>
      <c r="O253" t="s">
        <v>57</v>
      </c>
      <c r="P253" t="s">
        <v>1688</v>
      </c>
    </row>
    <row r="254" spans="1:16" x14ac:dyDescent="0.25">
      <c r="A254" t="s">
        <v>0</v>
      </c>
      <c r="B254" s="2">
        <v>44616</v>
      </c>
      <c r="C254" s="5" t="s">
        <v>12</v>
      </c>
      <c r="D254" t="s">
        <v>1506</v>
      </c>
      <c r="E254" t="s">
        <v>1507</v>
      </c>
      <c r="F254" t="s">
        <v>4</v>
      </c>
      <c r="G254" t="s">
        <v>5</v>
      </c>
      <c r="H254" s="3">
        <v>287.41000000000003</v>
      </c>
      <c r="I254" t="s">
        <v>1601</v>
      </c>
      <c r="J254" t="s">
        <v>66</v>
      </c>
      <c r="K254" t="s">
        <v>8</v>
      </c>
      <c r="L254" t="s">
        <v>8</v>
      </c>
      <c r="M254" t="s">
        <v>8</v>
      </c>
      <c r="N254" t="s">
        <v>631</v>
      </c>
      <c r="O254" t="s">
        <v>57</v>
      </c>
      <c r="P254" t="s">
        <v>180</v>
      </c>
    </row>
    <row r="255" spans="1:16" x14ac:dyDescent="0.25">
      <c r="A255" t="s">
        <v>0</v>
      </c>
      <c r="B255" s="2">
        <v>44616</v>
      </c>
      <c r="C255" s="5" t="s">
        <v>12</v>
      </c>
      <c r="D255" t="s">
        <v>861</v>
      </c>
      <c r="E255" t="s">
        <v>862</v>
      </c>
      <c r="F255" t="s">
        <v>4</v>
      </c>
      <c r="G255" t="s">
        <v>5</v>
      </c>
      <c r="H255" s="3">
        <v>218</v>
      </c>
      <c r="I255" t="s">
        <v>1557</v>
      </c>
      <c r="J255" t="s">
        <v>1558</v>
      </c>
      <c r="K255" t="s">
        <v>8</v>
      </c>
      <c r="L255" t="s">
        <v>1559</v>
      </c>
      <c r="M255" t="s">
        <v>8</v>
      </c>
      <c r="N255" t="s">
        <v>1560</v>
      </c>
      <c r="O255" t="s">
        <v>16</v>
      </c>
      <c r="P255" t="s">
        <v>77</v>
      </c>
    </row>
    <row r="256" spans="1:16" x14ac:dyDescent="0.25">
      <c r="A256" t="s">
        <v>0</v>
      </c>
      <c r="B256" s="2">
        <v>44616</v>
      </c>
      <c r="C256" s="5" t="s">
        <v>12</v>
      </c>
      <c r="D256" t="s">
        <v>861</v>
      </c>
      <c r="E256" t="s">
        <v>862</v>
      </c>
      <c r="F256" t="s">
        <v>4</v>
      </c>
      <c r="G256" t="s">
        <v>5</v>
      </c>
      <c r="H256" s="3">
        <v>201.52</v>
      </c>
      <c r="I256" t="s">
        <v>1557</v>
      </c>
      <c r="J256" t="s">
        <v>1558</v>
      </c>
      <c r="K256" t="s">
        <v>8</v>
      </c>
      <c r="L256" t="s">
        <v>1559</v>
      </c>
      <c r="M256" t="s">
        <v>8</v>
      </c>
      <c r="N256" t="s">
        <v>1560</v>
      </c>
      <c r="O256" t="s">
        <v>16</v>
      </c>
      <c r="P256" t="s">
        <v>43</v>
      </c>
    </row>
    <row r="257" spans="1:16" x14ac:dyDescent="0.25">
      <c r="A257" t="s">
        <v>0</v>
      </c>
      <c r="B257" s="2">
        <v>44616</v>
      </c>
      <c r="C257" s="5" t="s">
        <v>12</v>
      </c>
      <c r="D257" t="s">
        <v>861</v>
      </c>
      <c r="E257" t="s">
        <v>862</v>
      </c>
      <c r="F257" t="s">
        <v>4</v>
      </c>
      <c r="G257" t="s">
        <v>5</v>
      </c>
      <c r="H257" s="3">
        <v>192.24</v>
      </c>
      <c r="I257" t="s">
        <v>1557</v>
      </c>
      <c r="J257" t="s">
        <v>1558</v>
      </c>
      <c r="K257" t="s">
        <v>8</v>
      </c>
      <c r="L257" t="s">
        <v>1559</v>
      </c>
      <c r="M257" t="s">
        <v>8</v>
      </c>
      <c r="N257" t="s">
        <v>1560</v>
      </c>
      <c r="O257" t="s">
        <v>16</v>
      </c>
      <c r="P257" t="s">
        <v>17</v>
      </c>
    </row>
    <row r="258" spans="1:16" x14ac:dyDescent="0.25">
      <c r="A258" t="s">
        <v>0</v>
      </c>
      <c r="B258" s="2">
        <v>44616</v>
      </c>
      <c r="C258" s="5" t="s">
        <v>12</v>
      </c>
      <c r="D258" t="s">
        <v>624</v>
      </c>
      <c r="E258" t="s">
        <v>625</v>
      </c>
      <c r="F258" t="s">
        <v>4</v>
      </c>
      <c r="G258" t="s">
        <v>5</v>
      </c>
      <c r="H258" s="3">
        <v>96.4</v>
      </c>
      <c r="I258" t="s">
        <v>1841</v>
      </c>
      <c r="J258" t="s">
        <v>66</v>
      </c>
      <c r="K258" t="s">
        <v>8</v>
      </c>
      <c r="L258" t="s">
        <v>8</v>
      </c>
      <c r="M258" t="s">
        <v>8</v>
      </c>
      <c r="N258" t="s">
        <v>631</v>
      </c>
      <c r="O258" t="s">
        <v>57</v>
      </c>
      <c r="P258" t="s">
        <v>1647</v>
      </c>
    </row>
    <row r="259" spans="1:16" x14ac:dyDescent="0.25">
      <c r="A259" t="s">
        <v>0</v>
      </c>
      <c r="B259" s="2">
        <v>44616</v>
      </c>
      <c r="C259" s="5" t="s">
        <v>12</v>
      </c>
      <c r="D259" t="s">
        <v>644</v>
      </c>
      <c r="E259" t="s">
        <v>645</v>
      </c>
      <c r="F259" t="s">
        <v>4</v>
      </c>
      <c r="G259" t="s">
        <v>5</v>
      </c>
      <c r="H259" s="3">
        <v>-26.41</v>
      </c>
      <c r="I259" t="s">
        <v>2167</v>
      </c>
      <c r="J259" t="s">
        <v>2165</v>
      </c>
      <c r="K259" t="s">
        <v>8</v>
      </c>
      <c r="L259" t="s">
        <v>8</v>
      </c>
      <c r="M259" t="s">
        <v>8</v>
      </c>
      <c r="N259" t="s">
        <v>631</v>
      </c>
      <c r="O259" t="s">
        <v>57</v>
      </c>
      <c r="P259" t="s">
        <v>873</v>
      </c>
    </row>
    <row r="260" spans="1:16" x14ac:dyDescent="0.25">
      <c r="A260" t="s">
        <v>0</v>
      </c>
      <c r="B260" s="2">
        <v>44616</v>
      </c>
      <c r="C260" s="5" t="s">
        <v>12</v>
      </c>
      <c r="D260" t="s">
        <v>2191</v>
      </c>
      <c r="E260" t="s">
        <v>2192</v>
      </c>
      <c r="F260" t="s">
        <v>4</v>
      </c>
      <c r="G260" t="s">
        <v>5</v>
      </c>
      <c r="H260" s="3">
        <v>-66.61</v>
      </c>
      <c r="I260" t="s">
        <v>2193</v>
      </c>
      <c r="J260" t="s">
        <v>2165</v>
      </c>
      <c r="K260" t="s">
        <v>8</v>
      </c>
      <c r="L260" t="s">
        <v>8</v>
      </c>
      <c r="M260" t="s">
        <v>8</v>
      </c>
      <c r="N260" t="s">
        <v>631</v>
      </c>
      <c r="O260" t="s">
        <v>57</v>
      </c>
      <c r="P260" t="s">
        <v>906</v>
      </c>
    </row>
    <row r="261" spans="1:16" x14ac:dyDescent="0.25">
      <c r="A261" t="s">
        <v>0</v>
      </c>
      <c r="B261" s="2">
        <v>44616</v>
      </c>
      <c r="C261" s="5" t="s">
        <v>12</v>
      </c>
      <c r="D261" t="s">
        <v>108</v>
      </c>
      <c r="E261" t="s">
        <v>109</v>
      </c>
      <c r="F261" t="s">
        <v>4</v>
      </c>
      <c r="G261" t="s">
        <v>5</v>
      </c>
      <c r="H261" s="3">
        <v>-73.97</v>
      </c>
      <c r="I261" t="s">
        <v>2175</v>
      </c>
      <c r="J261" t="s">
        <v>2165</v>
      </c>
      <c r="K261" t="s">
        <v>8</v>
      </c>
      <c r="L261" t="s">
        <v>8</v>
      </c>
      <c r="M261" t="s">
        <v>8</v>
      </c>
      <c r="N261" t="s">
        <v>631</v>
      </c>
      <c r="O261" t="s">
        <v>57</v>
      </c>
      <c r="P261" t="s">
        <v>2181</v>
      </c>
    </row>
    <row r="262" spans="1:16" x14ac:dyDescent="0.25">
      <c r="A262" t="s">
        <v>0</v>
      </c>
      <c r="B262" s="2">
        <v>44616</v>
      </c>
      <c r="C262" s="5" t="s">
        <v>12</v>
      </c>
      <c r="D262" t="s">
        <v>1207</v>
      </c>
      <c r="E262" t="s">
        <v>1208</v>
      </c>
      <c r="F262" t="s">
        <v>4</v>
      </c>
      <c r="G262" t="s">
        <v>5</v>
      </c>
      <c r="H262" s="3">
        <v>-219.27</v>
      </c>
      <c r="I262" t="s">
        <v>2162</v>
      </c>
      <c r="J262" t="s">
        <v>2165</v>
      </c>
      <c r="K262" t="s">
        <v>8</v>
      </c>
      <c r="L262" t="s">
        <v>8</v>
      </c>
      <c r="M262" t="s">
        <v>8</v>
      </c>
      <c r="N262" t="s">
        <v>631</v>
      </c>
      <c r="O262" t="s">
        <v>57</v>
      </c>
      <c r="P262" t="s">
        <v>1625</v>
      </c>
    </row>
    <row r="263" spans="1:16" x14ac:dyDescent="0.25">
      <c r="A263" t="s">
        <v>0</v>
      </c>
      <c r="B263" s="2">
        <v>44616</v>
      </c>
      <c r="C263" s="5" t="s">
        <v>12</v>
      </c>
      <c r="D263" t="s">
        <v>2191</v>
      </c>
      <c r="E263" t="s">
        <v>2192</v>
      </c>
      <c r="F263" t="s">
        <v>4</v>
      </c>
      <c r="G263" t="s">
        <v>5</v>
      </c>
      <c r="H263" s="3">
        <v>-402.84</v>
      </c>
      <c r="I263" t="s">
        <v>2217</v>
      </c>
      <c r="J263" t="s">
        <v>2165</v>
      </c>
      <c r="K263" t="s">
        <v>8</v>
      </c>
      <c r="L263" t="s">
        <v>8</v>
      </c>
      <c r="M263" t="s">
        <v>8</v>
      </c>
      <c r="N263" t="s">
        <v>80</v>
      </c>
      <c r="O263" t="s">
        <v>57</v>
      </c>
      <c r="P263" t="s">
        <v>309</v>
      </c>
    </row>
    <row r="264" spans="1:16" x14ac:dyDescent="0.25">
      <c r="A264" t="s">
        <v>0</v>
      </c>
      <c r="B264" s="2">
        <v>44616</v>
      </c>
      <c r="C264" s="5" t="s">
        <v>12</v>
      </c>
      <c r="D264" t="s">
        <v>108</v>
      </c>
      <c r="E264" t="s">
        <v>109</v>
      </c>
      <c r="F264" t="s">
        <v>4</v>
      </c>
      <c r="G264" t="s">
        <v>5</v>
      </c>
      <c r="H264" s="3">
        <v>-473.46</v>
      </c>
      <c r="I264" t="s">
        <v>2221</v>
      </c>
      <c r="J264" t="s">
        <v>2165</v>
      </c>
      <c r="K264" t="s">
        <v>8</v>
      </c>
      <c r="L264" t="s">
        <v>8</v>
      </c>
      <c r="M264" t="s">
        <v>8</v>
      </c>
      <c r="N264" t="s">
        <v>80</v>
      </c>
      <c r="O264" t="s">
        <v>57</v>
      </c>
      <c r="P264" t="s">
        <v>2223</v>
      </c>
    </row>
    <row r="265" spans="1:16" x14ac:dyDescent="0.25">
      <c r="A265" t="s">
        <v>0</v>
      </c>
      <c r="B265" s="2">
        <v>44616</v>
      </c>
      <c r="C265" s="5" t="s">
        <v>12</v>
      </c>
      <c r="D265" t="s">
        <v>644</v>
      </c>
      <c r="E265" t="s">
        <v>645</v>
      </c>
      <c r="F265" t="s">
        <v>4</v>
      </c>
      <c r="G265" t="s">
        <v>5</v>
      </c>
      <c r="H265" s="3">
        <v>-537.64</v>
      </c>
      <c r="I265" t="s">
        <v>2228</v>
      </c>
      <c r="J265" t="s">
        <v>2165</v>
      </c>
      <c r="K265" t="s">
        <v>8</v>
      </c>
      <c r="L265" t="s">
        <v>8</v>
      </c>
      <c r="M265" t="s">
        <v>8</v>
      </c>
      <c r="N265" t="s">
        <v>80</v>
      </c>
      <c r="O265" t="s">
        <v>57</v>
      </c>
      <c r="P265" t="s">
        <v>313</v>
      </c>
    </row>
    <row r="266" spans="1:16" x14ac:dyDescent="0.25">
      <c r="A266" t="s">
        <v>0</v>
      </c>
      <c r="B266" s="2">
        <v>44616</v>
      </c>
      <c r="C266" s="5" t="s">
        <v>12</v>
      </c>
      <c r="D266" t="s">
        <v>108</v>
      </c>
      <c r="E266" t="s">
        <v>109</v>
      </c>
      <c r="F266" t="s">
        <v>4</v>
      </c>
      <c r="G266" t="s">
        <v>5</v>
      </c>
      <c r="H266" s="3">
        <v>-759.22</v>
      </c>
      <c r="I266" t="s">
        <v>2233</v>
      </c>
      <c r="J266" t="s">
        <v>2165</v>
      </c>
      <c r="K266" t="s">
        <v>8</v>
      </c>
      <c r="L266" t="s">
        <v>8</v>
      </c>
      <c r="M266" t="s">
        <v>8</v>
      </c>
      <c r="N266" t="s">
        <v>80</v>
      </c>
      <c r="O266" t="s">
        <v>57</v>
      </c>
      <c r="P266" t="s">
        <v>2237</v>
      </c>
    </row>
    <row r="267" spans="1:16" x14ac:dyDescent="0.25">
      <c r="A267" t="s">
        <v>0</v>
      </c>
      <c r="B267" s="2">
        <v>44616</v>
      </c>
      <c r="C267" s="5" t="s">
        <v>12</v>
      </c>
      <c r="D267" t="s">
        <v>108</v>
      </c>
      <c r="E267" t="s">
        <v>109</v>
      </c>
      <c r="F267" t="s">
        <v>4</v>
      </c>
      <c r="G267" t="s">
        <v>5</v>
      </c>
      <c r="H267" s="3">
        <v>-890.45</v>
      </c>
      <c r="I267" t="s">
        <v>2218</v>
      </c>
      <c r="J267" t="s">
        <v>2165</v>
      </c>
      <c r="K267" t="s">
        <v>8</v>
      </c>
      <c r="L267" t="s">
        <v>8</v>
      </c>
      <c r="M267" t="s">
        <v>8</v>
      </c>
      <c r="N267" t="s">
        <v>80</v>
      </c>
      <c r="O267" t="s">
        <v>57</v>
      </c>
      <c r="P267" t="s">
        <v>2243</v>
      </c>
    </row>
    <row r="268" spans="1:16" x14ac:dyDescent="0.25">
      <c r="A268" t="s">
        <v>0</v>
      </c>
      <c r="B268" s="2">
        <v>44616</v>
      </c>
      <c r="C268" s="5" t="s">
        <v>12</v>
      </c>
      <c r="D268" t="s">
        <v>1207</v>
      </c>
      <c r="E268" t="s">
        <v>1208</v>
      </c>
      <c r="F268" t="s">
        <v>4</v>
      </c>
      <c r="G268" t="s">
        <v>5</v>
      </c>
      <c r="H268" s="3">
        <v>-1151.7</v>
      </c>
      <c r="I268" t="s">
        <v>2244</v>
      </c>
      <c r="J268" t="s">
        <v>2165</v>
      </c>
      <c r="K268" t="s">
        <v>8</v>
      </c>
      <c r="L268" t="s">
        <v>8</v>
      </c>
      <c r="M268" t="s">
        <v>8</v>
      </c>
      <c r="N268" t="s">
        <v>80</v>
      </c>
      <c r="O268" t="s">
        <v>57</v>
      </c>
      <c r="P268" t="s">
        <v>326</v>
      </c>
    </row>
    <row r="269" spans="1:16" x14ac:dyDescent="0.25">
      <c r="A269" t="s">
        <v>0</v>
      </c>
      <c r="B269" s="2">
        <v>44616</v>
      </c>
      <c r="C269" s="5" t="s">
        <v>12</v>
      </c>
      <c r="D269" t="s">
        <v>316</v>
      </c>
      <c r="E269" t="s">
        <v>317</v>
      </c>
      <c r="F269" t="s">
        <v>4</v>
      </c>
      <c r="G269" t="s">
        <v>5</v>
      </c>
      <c r="H269" s="3">
        <v>-1500</v>
      </c>
      <c r="I269" t="s">
        <v>2229</v>
      </c>
      <c r="J269" t="s">
        <v>2165</v>
      </c>
      <c r="K269" t="s">
        <v>8</v>
      </c>
      <c r="L269" t="s">
        <v>8</v>
      </c>
      <c r="M269" t="s">
        <v>8</v>
      </c>
      <c r="N269" t="s">
        <v>80</v>
      </c>
      <c r="O269" t="s">
        <v>57</v>
      </c>
      <c r="P269" t="s">
        <v>178</v>
      </c>
    </row>
    <row r="270" spans="1:16" x14ac:dyDescent="0.25">
      <c r="A270" t="s">
        <v>0</v>
      </c>
      <c r="B270" s="2">
        <v>44616</v>
      </c>
      <c r="C270" s="5" t="s">
        <v>12</v>
      </c>
      <c r="D270" t="s">
        <v>403</v>
      </c>
      <c r="E270" t="s">
        <v>404</v>
      </c>
      <c r="F270" t="s">
        <v>4</v>
      </c>
      <c r="G270" t="s">
        <v>5</v>
      </c>
      <c r="H270" s="3">
        <v>-5952.15</v>
      </c>
      <c r="I270" t="s">
        <v>2258</v>
      </c>
      <c r="J270" t="s">
        <v>406</v>
      </c>
      <c r="K270" t="s">
        <v>8</v>
      </c>
      <c r="L270" t="s">
        <v>8</v>
      </c>
      <c r="M270" t="s">
        <v>8</v>
      </c>
      <c r="N270" t="s">
        <v>2259</v>
      </c>
      <c r="O270" t="s">
        <v>2257</v>
      </c>
      <c r="P270" t="s">
        <v>342</v>
      </c>
    </row>
    <row r="271" spans="1:16" x14ac:dyDescent="0.25">
      <c r="A271" t="s">
        <v>0</v>
      </c>
      <c r="B271" s="2">
        <v>44617</v>
      </c>
      <c r="C271" t="s">
        <v>12</v>
      </c>
      <c r="D271" t="s">
        <v>90</v>
      </c>
      <c r="E271" t="s">
        <v>91</v>
      </c>
      <c r="F271" t="s">
        <v>4</v>
      </c>
      <c r="G271" t="s">
        <v>5</v>
      </c>
      <c r="H271" s="3">
        <v>50980.19</v>
      </c>
      <c r="I271" t="s">
        <v>156</v>
      </c>
      <c r="J271" t="s">
        <v>93</v>
      </c>
      <c r="K271" t="s">
        <v>8</v>
      </c>
      <c r="L271" t="s">
        <v>8</v>
      </c>
      <c r="M271" t="s">
        <v>8</v>
      </c>
      <c r="N271" t="s">
        <v>157</v>
      </c>
      <c r="O271" t="s">
        <v>95</v>
      </c>
      <c r="P271" t="s">
        <v>82</v>
      </c>
    </row>
    <row r="272" spans="1:16" x14ac:dyDescent="0.25">
      <c r="A272" t="s">
        <v>0</v>
      </c>
      <c r="B272" s="2">
        <v>44617</v>
      </c>
      <c r="C272" t="s">
        <v>12</v>
      </c>
      <c r="D272" t="s">
        <v>185</v>
      </c>
      <c r="E272" t="s">
        <v>186</v>
      </c>
      <c r="F272" t="s">
        <v>4</v>
      </c>
      <c r="G272" t="s">
        <v>5</v>
      </c>
      <c r="H272" s="3">
        <v>28230.47</v>
      </c>
      <c r="I272" t="s">
        <v>205</v>
      </c>
      <c r="J272" t="s">
        <v>188</v>
      </c>
      <c r="K272" t="s">
        <v>8</v>
      </c>
      <c r="L272" t="s">
        <v>8</v>
      </c>
      <c r="M272" t="s">
        <v>8</v>
      </c>
      <c r="N272" t="s">
        <v>206</v>
      </c>
      <c r="O272" t="s">
        <v>95</v>
      </c>
      <c r="P272" t="s">
        <v>190</v>
      </c>
    </row>
    <row r="273" spans="1:16" x14ac:dyDescent="0.25">
      <c r="A273" t="s">
        <v>0</v>
      </c>
      <c r="B273" s="2">
        <v>44617</v>
      </c>
      <c r="C273" t="s">
        <v>12</v>
      </c>
      <c r="D273" t="s">
        <v>333</v>
      </c>
      <c r="E273" t="s">
        <v>334</v>
      </c>
      <c r="F273" t="s">
        <v>4</v>
      </c>
      <c r="G273" t="s">
        <v>5</v>
      </c>
      <c r="H273" s="3">
        <v>14459.14</v>
      </c>
      <c r="I273" t="s">
        <v>335</v>
      </c>
      <c r="J273" t="s">
        <v>248</v>
      </c>
      <c r="K273" t="s">
        <v>8</v>
      </c>
      <c r="L273" t="s">
        <v>8</v>
      </c>
      <c r="M273" t="s">
        <v>8</v>
      </c>
      <c r="N273" t="s">
        <v>336</v>
      </c>
      <c r="O273" t="s">
        <v>95</v>
      </c>
      <c r="P273" t="s">
        <v>337</v>
      </c>
    </row>
    <row r="274" spans="1:16" x14ac:dyDescent="0.25">
      <c r="A274" t="s">
        <v>0</v>
      </c>
      <c r="B274" s="2">
        <v>44617</v>
      </c>
      <c r="C274" t="s">
        <v>12</v>
      </c>
      <c r="D274" t="s">
        <v>241</v>
      </c>
      <c r="E274" t="s">
        <v>242</v>
      </c>
      <c r="F274" t="s">
        <v>4</v>
      </c>
      <c r="G274" t="s">
        <v>5</v>
      </c>
      <c r="H274" s="3">
        <v>13363.2</v>
      </c>
      <c r="I274" t="s">
        <v>368</v>
      </c>
      <c r="J274" t="s">
        <v>244</v>
      </c>
      <c r="K274" t="s">
        <v>8</v>
      </c>
      <c r="L274" t="s">
        <v>8</v>
      </c>
      <c r="M274" t="s">
        <v>8</v>
      </c>
      <c r="N274" t="s">
        <v>369</v>
      </c>
      <c r="O274" t="s">
        <v>95</v>
      </c>
      <c r="P274" t="s">
        <v>370</v>
      </c>
    </row>
    <row r="275" spans="1:16" x14ac:dyDescent="0.25">
      <c r="A275" t="s">
        <v>0</v>
      </c>
      <c r="B275" s="2">
        <v>44617</v>
      </c>
      <c r="C275" s="5" t="s">
        <v>12</v>
      </c>
      <c r="D275" t="s">
        <v>410</v>
      </c>
      <c r="E275" t="s">
        <v>411</v>
      </c>
      <c r="F275" t="s">
        <v>4</v>
      </c>
      <c r="G275" t="s">
        <v>5</v>
      </c>
      <c r="H275" s="3">
        <v>934.31</v>
      </c>
      <c r="I275" t="s">
        <v>1232</v>
      </c>
      <c r="J275" t="s">
        <v>413</v>
      </c>
      <c r="K275" t="s">
        <v>8</v>
      </c>
      <c r="L275" t="s">
        <v>1233</v>
      </c>
      <c r="M275" t="s">
        <v>8</v>
      </c>
      <c r="N275" t="s">
        <v>1234</v>
      </c>
      <c r="O275" t="s">
        <v>16</v>
      </c>
      <c r="P275" t="s">
        <v>1</v>
      </c>
    </row>
    <row r="276" spans="1:16" x14ac:dyDescent="0.25">
      <c r="A276" t="s">
        <v>0</v>
      </c>
      <c r="B276" s="2">
        <v>44617</v>
      </c>
      <c r="C276" s="5" t="s">
        <v>12</v>
      </c>
      <c r="D276" t="s">
        <v>410</v>
      </c>
      <c r="E276" t="s">
        <v>411</v>
      </c>
      <c r="F276" t="s">
        <v>4</v>
      </c>
      <c r="G276" t="s">
        <v>5</v>
      </c>
      <c r="H276" s="3">
        <v>391.3</v>
      </c>
      <c r="I276" t="s">
        <v>1612</v>
      </c>
      <c r="J276" t="s">
        <v>413</v>
      </c>
      <c r="K276" t="s">
        <v>8</v>
      </c>
      <c r="L276" t="s">
        <v>1613</v>
      </c>
      <c r="M276" t="s">
        <v>8</v>
      </c>
      <c r="N276" t="s">
        <v>1614</v>
      </c>
      <c r="O276" t="s">
        <v>29</v>
      </c>
      <c r="P276" t="s">
        <v>1</v>
      </c>
    </row>
    <row r="277" spans="1:16" x14ac:dyDescent="0.25">
      <c r="A277" t="s">
        <v>0</v>
      </c>
      <c r="B277" s="2">
        <v>44617</v>
      </c>
      <c r="C277" s="5" t="s">
        <v>12</v>
      </c>
      <c r="D277" t="s">
        <v>410</v>
      </c>
      <c r="E277" t="s">
        <v>411</v>
      </c>
      <c r="F277" t="s">
        <v>4</v>
      </c>
      <c r="G277" t="s">
        <v>5</v>
      </c>
      <c r="H277" s="3">
        <v>120.35</v>
      </c>
      <c r="I277" t="s">
        <v>1899</v>
      </c>
      <c r="J277" t="s">
        <v>413</v>
      </c>
      <c r="K277" t="s">
        <v>8</v>
      </c>
      <c r="L277" t="s">
        <v>1613</v>
      </c>
      <c r="M277" t="s">
        <v>8</v>
      </c>
      <c r="N277" t="s">
        <v>1614</v>
      </c>
      <c r="O277" t="s">
        <v>29</v>
      </c>
      <c r="P277" t="s">
        <v>12</v>
      </c>
    </row>
    <row r="278" spans="1:16" x14ac:dyDescent="0.25">
      <c r="A278" t="s">
        <v>0</v>
      </c>
      <c r="B278" s="2">
        <v>44617</v>
      </c>
      <c r="C278" s="5" t="s">
        <v>12</v>
      </c>
      <c r="D278" t="s">
        <v>915</v>
      </c>
      <c r="E278" t="s">
        <v>916</v>
      </c>
      <c r="F278" t="s">
        <v>4</v>
      </c>
      <c r="G278" t="s">
        <v>5</v>
      </c>
      <c r="H278" s="3">
        <v>2326.25</v>
      </c>
      <c r="I278" t="s">
        <v>917</v>
      </c>
      <c r="J278" t="s">
        <v>809</v>
      </c>
      <c r="K278" t="s">
        <v>8</v>
      </c>
      <c r="L278" t="s">
        <v>918</v>
      </c>
      <c r="M278" t="s">
        <v>8</v>
      </c>
      <c r="N278" t="s">
        <v>919</v>
      </c>
      <c r="O278" t="s">
        <v>524</v>
      </c>
      <c r="P278" t="s">
        <v>1</v>
      </c>
    </row>
    <row r="279" spans="1:16" x14ac:dyDescent="0.25">
      <c r="A279" t="s">
        <v>0</v>
      </c>
      <c r="B279" s="2">
        <v>44617</v>
      </c>
      <c r="C279" s="5" t="s">
        <v>12</v>
      </c>
      <c r="D279" t="s">
        <v>915</v>
      </c>
      <c r="E279" t="s">
        <v>916</v>
      </c>
      <c r="F279" t="s">
        <v>4</v>
      </c>
      <c r="G279" t="s">
        <v>5</v>
      </c>
      <c r="H279" s="3">
        <v>2326.25</v>
      </c>
      <c r="I279" t="s">
        <v>917</v>
      </c>
      <c r="J279" t="s">
        <v>809</v>
      </c>
      <c r="K279" t="s">
        <v>8</v>
      </c>
      <c r="L279" t="s">
        <v>920</v>
      </c>
      <c r="M279" t="s">
        <v>8</v>
      </c>
      <c r="N279" t="s">
        <v>921</v>
      </c>
      <c r="O279" t="s">
        <v>524</v>
      </c>
      <c r="P279" t="s">
        <v>1</v>
      </c>
    </row>
    <row r="280" spans="1:16" x14ac:dyDescent="0.25">
      <c r="A280" t="s">
        <v>0</v>
      </c>
      <c r="B280" s="2">
        <v>44617</v>
      </c>
      <c r="C280" s="5" t="s">
        <v>12</v>
      </c>
      <c r="D280" t="s">
        <v>1003</v>
      </c>
      <c r="E280" t="s">
        <v>1004</v>
      </c>
      <c r="F280" t="s">
        <v>4</v>
      </c>
      <c r="G280" t="s">
        <v>5</v>
      </c>
      <c r="H280" s="3">
        <v>1793.56</v>
      </c>
      <c r="I280" t="s">
        <v>156</v>
      </c>
      <c r="J280" t="s">
        <v>93</v>
      </c>
      <c r="K280" t="s">
        <v>8</v>
      </c>
      <c r="L280" t="s">
        <v>8</v>
      </c>
      <c r="M280" t="s">
        <v>8</v>
      </c>
      <c r="N280" t="s">
        <v>157</v>
      </c>
      <c r="O280" t="s">
        <v>95</v>
      </c>
      <c r="P280" t="s">
        <v>1005</v>
      </c>
    </row>
    <row r="281" spans="1:16" x14ac:dyDescent="0.25">
      <c r="A281" t="s">
        <v>0</v>
      </c>
      <c r="B281" s="2">
        <v>44617</v>
      </c>
      <c r="C281" s="5" t="s">
        <v>12</v>
      </c>
      <c r="D281" t="s">
        <v>301</v>
      </c>
      <c r="E281" t="s">
        <v>302</v>
      </c>
      <c r="F281" t="s">
        <v>4</v>
      </c>
      <c r="G281" t="s">
        <v>5</v>
      </c>
      <c r="H281" s="3">
        <v>1425.37</v>
      </c>
      <c r="I281" t="s">
        <v>268</v>
      </c>
      <c r="J281" t="s">
        <v>8</v>
      </c>
      <c r="K281" t="s">
        <v>269</v>
      </c>
      <c r="L281" t="s">
        <v>8</v>
      </c>
      <c r="M281" t="s">
        <v>270</v>
      </c>
      <c r="N281" t="s">
        <v>1102</v>
      </c>
      <c r="O281" t="s">
        <v>95</v>
      </c>
      <c r="P281" t="s">
        <v>12</v>
      </c>
    </row>
    <row r="282" spans="1:16" x14ac:dyDescent="0.25">
      <c r="A282" t="s">
        <v>0</v>
      </c>
      <c r="B282" s="2">
        <v>44617</v>
      </c>
      <c r="C282" s="5" t="s">
        <v>12</v>
      </c>
      <c r="D282" t="s">
        <v>301</v>
      </c>
      <c r="E282" t="s">
        <v>302</v>
      </c>
      <c r="F282" t="s">
        <v>4</v>
      </c>
      <c r="G282" t="s">
        <v>5</v>
      </c>
      <c r="H282" s="3">
        <v>1136.57</v>
      </c>
      <c r="I282" t="s">
        <v>268</v>
      </c>
      <c r="J282" t="s">
        <v>8</v>
      </c>
      <c r="K282" t="s">
        <v>1167</v>
      </c>
      <c r="L282" t="s">
        <v>8</v>
      </c>
      <c r="M282" t="s">
        <v>270</v>
      </c>
      <c r="N282" t="s">
        <v>1176</v>
      </c>
      <c r="O282" t="s">
        <v>272</v>
      </c>
      <c r="P282" t="s">
        <v>30</v>
      </c>
    </row>
    <row r="283" spans="1:16" x14ac:dyDescent="0.25">
      <c r="A283" t="s">
        <v>0</v>
      </c>
      <c r="B283" s="2">
        <v>44617</v>
      </c>
      <c r="C283" s="5" t="s">
        <v>12</v>
      </c>
      <c r="D283" t="s">
        <v>152</v>
      </c>
      <c r="E283" t="s">
        <v>153</v>
      </c>
      <c r="F283" t="s">
        <v>4</v>
      </c>
      <c r="G283" t="s">
        <v>5</v>
      </c>
      <c r="H283" s="3">
        <v>950.82</v>
      </c>
      <c r="I283" t="s">
        <v>1225</v>
      </c>
      <c r="J283" t="s">
        <v>153</v>
      </c>
      <c r="K283" t="s">
        <v>8</v>
      </c>
      <c r="L283" t="s">
        <v>8</v>
      </c>
      <c r="M283" t="s">
        <v>8</v>
      </c>
      <c r="N283" t="s">
        <v>1226</v>
      </c>
      <c r="O283" t="s">
        <v>121</v>
      </c>
      <c r="P283" t="s">
        <v>800</v>
      </c>
    </row>
    <row r="284" spans="1:16" x14ac:dyDescent="0.25">
      <c r="A284" t="s">
        <v>0</v>
      </c>
      <c r="B284" s="2">
        <v>44617</v>
      </c>
      <c r="C284" s="5" t="s">
        <v>12</v>
      </c>
      <c r="D284" t="s">
        <v>266</v>
      </c>
      <c r="E284" t="s">
        <v>267</v>
      </c>
      <c r="F284" t="s">
        <v>4</v>
      </c>
      <c r="G284" t="s">
        <v>5</v>
      </c>
      <c r="H284" s="3">
        <v>784.95</v>
      </c>
      <c r="I284" t="s">
        <v>268</v>
      </c>
      <c r="J284" t="s">
        <v>8</v>
      </c>
      <c r="K284" t="s">
        <v>1240</v>
      </c>
      <c r="L284" t="s">
        <v>8</v>
      </c>
      <c r="M284" t="s">
        <v>270</v>
      </c>
      <c r="N284" t="s">
        <v>1350</v>
      </c>
      <c r="O284" t="s">
        <v>272</v>
      </c>
      <c r="P284" t="s">
        <v>1351</v>
      </c>
    </row>
    <row r="285" spans="1:16" x14ac:dyDescent="0.25">
      <c r="A285" t="s">
        <v>0</v>
      </c>
      <c r="B285" s="2">
        <v>44617</v>
      </c>
      <c r="C285" s="5" t="s">
        <v>12</v>
      </c>
      <c r="D285" t="s">
        <v>1839</v>
      </c>
      <c r="E285" t="s">
        <v>1840</v>
      </c>
      <c r="F285" t="s">
        <v>4</v>
      </c>
      <c r="G285" t="s">
        <v>5</v>
      </c>
      <c r="H285" s="3">
        <v>152.91</v>
      </c>
      <c r="I285" t="s">
        <v>335</v>
      </c>
      <c r="J285" t="s">
        <v>248</v>
      </c>
      <c r="K285" t="s">
        <v>8</v>
      </c>
      <c r="L285" t="s">
        <v>8</v>
      </c>
      <c r="M285" t="s">
        <v>8</v>
      </c>
      <c r="N285" t="s">
        <v>336</v>
      </c>
      <c r="O285" t="s">
        <v>95</v>
      </c>
      <c r="P285" t="s">
        <v>82</v>
      </c>
    </row>
    <row r="286" spans="1:16" x14ac:dyDescent="0.25">
      <c r="A286" t="s">
        <v>0</v>
      </c>
      <c r="B286" s="2">
        <v>44618</v>
      </c>
      <c r="C286" t="s">
        <v>12</v>
      </c>
      <c r="D286" t="s">
        <v>229</v>
      </c>
      <c r="E286" t="s">
        <v>230</v>
      </c>
      <c r="F286" t="s">
        <v>4</v>
      </c>
      <c r="G286" t="s">
        <v>5</v>
      </c>
      <c r="H286" s="3">
        <v>22214.06</v>
      </c>
      <c r="I286" t="s">
        <v>231</v>
      </c>
      <c r="J286" t="s">
        <v>232</v>
      </c>
      <c r="K286" t="s">
        <v>8</v>
      </c>
      <c r="L286" t="s">
        <v>8</v>
      </c>
      <c r="M286" t="s">
        <v>8</v>
      </c>
      <c r="N286" t="s">
        <v>278</v>
      </c>
      <c r="O286" t="s">
        <v>234</v>
      </c>
      <c r="P286" t="s">
        <v>279</v>
      </c>
    </row>
    <row r="287" spans="1:16" x14ac:dyDescent="0.25">
      <c r="A287" t="s">
        <v>0</v>
      </c>
      <c r="B287" s="2">
        <v>44618</v>
      </c>
      <c r="C287" s="5" t="s">
        <v>12</v>
      </c>
      <c r="D287" t="s">
        <v>794</v>
      </c>
      <c r="E287" t="s">
        <v>795</v>
      </c>
      <c r="F287" t="s">
        <v>4</v>
      </c>
      <c r="G287" t="s">
        <v>5</v>
      </c>
      <c r="H287" s="3">
        <v>3396.14</v>
      </c>
      <c r="I287" t="s">
        <v>796</v>
      </c>
      <c r="J287" t="s">
        <v>232</v>
      </c>
      <c r="K287" t="s">
        <v>8</v>
      </c>
      <c r="L287" t="s">
        <v>8</v>
      </c>
      <c r="M287" t="s">
        <v>8</v>
      </c>
      <c r="N287" t="s">
        <v>278</v>
      </c>
      <c r="O287" t="s">
        <v>234</v>
      </c>
      <c r="P287" t="s">
        <v>346</v>
      </c>
    </row>
    <row r="288" spans="1:16" x14ac:dyDescent="0.25">
      <c r="A288" t="s">
        <v>0</v>
      </c>
      <c r="B288" s="2">
        <v>44618</v>
      </c>
      <c r="C288" s="5" t="s">
        <v>12</v>
      </c>
      <c r="D288" t="s">
        <v>969</v>
      </c>
      <c r="E288" t="s">
        <v>970</v>
      </c>
      <c r="F288" t="s">
        <v>4</v>
      </c>
      <c r="G288" t="s">
        <v>5</v>
      </c>
      <c r="H288" s="3">
        <v>1903.49</v>
      </c>
      <c r="I288" t="s">
        <v>975</v>
      </c>
      <c r="J288" t="s">
        <v>972</v>
      </c>
      <c r="K288" t="s">
        <v>8</v>
      </c>
      <c r="L288" t="s">
        <v>8</v>
      </c>
      <c r="M288" t="s">
        <v>8</v>
      </c>
      <c r="N288" t="s">
        <v>976</v>
      </c>
      <c r="O288" t="s">
        <v>974</v>
      </c>
      <c r="P288" t="s">
        <v>361</v>
      </c>
    </row>
    <row r="289" spans="1:16" x14ac:dyDescent="0.25">
      <c r="A289" t="s">
        <v>0</v>
      </c>
      <c r="B289" s="2">
        <v>44618</v>
      </c>
      <c r="C289" s="5" t="s">
        <v>12</v>
      </c>
      <c r="D289" t="s">
        <v>969</v>
      </c>
      <c r="E289" t="s">
        <v>970</v>
      </c>
      <c r="F289" t="s">
        <v>4</v>
      </c>
      <c r="G289" t="s">
        <v>5</v>
      </c>
      <c r="H289" s="3">
        <v>420.36</v>
      </c>
      <c r="I289" t="s">
        <v>1572</v>
      </c>
      <c r="J289" t="s">
        <v>1483</v>
      </c>
      <c r="K289" t="s">
        <v>8</v>
      </c>
      <c r="L289" t="s">
        <v>8</v>
      </c>
      <c r="M289" t="s">
        <v>8</v>
      </c>
      <c r="N289" t="s">
        <v>1573</v>
      </c>
      <c r="O289" t="s">
        <v>974</v>
      </c>
      <c r="P289" t="s">
        <v>1574</v>
      </c>
    </row>
    <row r="290" spans="1:16" x14ac:dyDescent="0.25">
      <c r="A290" t="s">
        <v>0</v>
      </c>
      <c r="B290" s="2">
        <v>44620</v>
      </c>
      <c r="C290" t="s">
        <v>12</v>
      </c>
      <c r="D290" t="s">
        <v>108</v>
      </c>
      <c r="E290" t="s">
        <v>109</v>
      </c>
      <c r="F290" t="s">
        <v>4</v>
      </c>
      <c r="G290" t="s">
        <v>5</v>
      </c>
      <c r="H290" s="3">
        <v>66361.919999999998</v>
      </c>
      <c r="I290" t="s">
        <v>137</v>
      </c>
      <c r="J290" t="s">
        <v>109</v>
      </c>
      <c r="K290" t="s">
        <v>8</v>
      </c>
      <c r="L290" t="s">
        <v>8</v>
      </c>
      <c r="M290" t="s">
        <v>8</v>
      </c>
      <c r="N290" t="s">
        <v>138</v>
      </c>
      <c r="O290" t="s">
        <v>136</v>
      </c>
      <c r="P290" t="s">
        <v>118</v>
      </c>
    </row>
    <row r="291" spans="1:16" x14ac:dyDescent="0.25">
      <c r="A291" t="s">
        <v>0</v>
      </c>
      <c r="B291" s="2">
        <v>44620</v>
      </c>
      <c r="C291" t="s">
        <v>12</v>
      </c>
      <c r="D291" t="s">
        <v>152</v>
      </c>
      <c r="E291" t="s">
        <v>153</v>
      </c>
      <c r="F291" t="s">
        <v>4</v>
      </c>
      <c r="G291" t="s">
        <v>5</v>
      </c>
      <c r="H291" s="3">
        <v>28632.27</v>
      </c>
      <c r="I291" t="s">
        <v>182</v>
      </c>
      <c r="J291" t="s">
        <v>109</v>
      </c>
      <c r="K291" t="s">
        <v>8</v>
      </c>
      <c r="L291" t="s">
        <v>8</v>
      </c>
      <c r="M291" t="s">
        <v>8</v>
      </c>
      <c r="N291" t="s">
        <v>138</v>
      </c>
      <c r="O291" t="s">
        <v>136</v>
      </c>
      <c r="P291" t="s">
        <v>155</v>
      </c>
    </row>
    <row r="292" spans="1:16" x14ac:dyDescent="0.25">
      <c r="A292" t="s">
        <v>0</v>
      </c>
      <c r="B292" s="2">
        <v>44620</v>
      </c>
      <c r="C292" s="5" t="s">
        <v>12</v>
      </c>
      <c r="D292" t="s">
        <v>644</v>
      </c>
      <c r="E292" t="s">
        <v>645</v>
      </c>
      <c r="F292" t="s">
        <v>4</v>
      </c>
      <c r="G292" t="s">
        <v>5</v>
      </c>
      <c r="H292" s="3">
        <v>2405.1799999999998</v>
      </c>
      <c r="I292" t="s">
        <v>900</v>
      </c>
      <c r="J292" t="s">
        <v>109</v>
      </c>
      <c r="K292" t="s">
        <v>8</v>
      </c>
      <c r="L292" t="s">
        <v>8</v>
      </c>
      <c r="M292" t="s">
        <v>8</v>
      </c>
      <c r="N292" t="s">
        <v>138</v>
      </c>
      <c r="O292" t="s">
        <v>136</v>
      </c>
      <c r="P292" t="s">
        <v>215</v>
      </c>
    </row>
    <row r="293" spans="1:16" x14ac:dyDescent="0.25">
      <c r="A293" t="s">
        <v>0</v>
      </c>
      <c r="B293" s="2">
        <v>44620</v>
      </c>
      <c r="C293" s="5" t="s">
        <v>12</v>
      </c>
      <c r="D293" t="s">
        <v>881</v>
      </c>
      <c r="E293" t="s">
        <v>882</v>
      </c>
      <c r="F293" t="s">
        <v>4</v>
      </c>
      <c r="G293" t="s">
        <v>5</v>
      </c>
      <c r="H293" s="3">
        <v>1628.37</v>
      </c>
      <c r="I293" t="s">
        <v>1058</v>
      </c>
      <c r="J293" t="s">
        <v>109</v>
      </c>
      <c r="K293" t="s">
        <v>8</v>
      </c>
      <c r="L293" t="s">
        <v>8</v>
      </c>
      <c r="M293" t="s">
        <v>8</v>
      </c>
      <c r="N293" t="s">
        <v>138</v>
      </c>
      <c r="O293" t="s">
        <v>136</v>
      </c>
      <c r="P293" t="s">
        <v>911</v>
      </c>
    </row>
    <row r="294" spans="1:16" x14ac:dyDescent="0.25">
      <c r="A294" t="s">
        <v>0</v>
      </c>
      <c r="B294" s="2">
        <v>44620</v>
      </c>
      <c r="C294" s="5" t="s">
        <v>12</v>
      </c>
      <c r="D294" t="s">
        <v>108</v>
      </c>
      <c r="E294" t="s">
        <v>109</v>
      </c>
      <c r="F294" t="s">
        <v>4</v>
      </c>
      <c r="G294" t="s">
        <v>5</v>
      </c>
      <c r="H294" s="3">
        <v>1306.51</v>
      </c>
      <c r="I294" t="s">
        <v>1127</v>
      </c>
      <c r="J294" t="s">
        <v>109</v>
      </c>
      <c r="K294" t="s">
        <v>8</v>
      </c>
      <c r="L294" t="s">
        <v>8</v>
      </c>
      <c r="M294" t="s">
        <v>8</v>
      </c>
      <c r="N294" t="s">
        <v>138</v>
      </c>
      <c r="O294" t="s">
        <v>136</v>
      </c>
      <c r="P294" t="s">
        <v>1122</v>
      </c>
    </row>
    <row r="295" spans="1:16" x14ac:dyDescent="0.25">
      <c r="A295" t="s">
        <v>0</v>
      </c>
      <c r="B295" s="2">
        <v>44620</v>
      </c>
      <c r="C295" s="5" t="s">
        <v>12</v>
      </c>
      <c r="D295" t="s">
        <v>1050</v>
      </c>
      <c r="E295" t="s">
        <v>1051</v>
      </c>
      <c r="F295" t="s">
        <v>4</v>
      </c>
      <c r="G295" t="s">
        <v>5</v>
      </c>
      <c r="H295" s="3">
        <v>465.75</v>
      </c>
      <c r="I295" t="s">
        <v>1501</v>
      </c>
      <c r="J295" t="s">
        <v>1051</v>
      </c>
      <c r="K295" t="s">
        <v>8</v>
      </c>
      <c r="L295" t="s">
        <v>8</v>
      </c>
      <c r="M295" t="s">
        <v>8</v>
      </c>
      <c r="N295" t="s">
        <v>1502</v>
      </c>
      <c r="O295" t="s">
        <v>121</v>
      </c>
      <c r="P295" t="s">
        <v>1503</v>
      </c>
    </row>
    <row r="296" spans="1:16" x14ac:dyDescent="0.25">
      <c r="A296" t="s">
        <v>0</v>
      </c>
      <c r="B296" s="2">
        <v>44620</v>
      </c>
      <c r="C296" s="5" t="s">
        <v>12</v>
      </c>
      <c r="D296" t="s">
        <v>1050</v>
      </c>
      <c r="E296" t="s">
        <v>1051</v>
      </c>
      <c r="F296" t="s">
        <v>4</v>
      </c>
      <c r="G296" t="s">
        <v>5</v>
      </c>
      <c r="H296" s="3">
        <v>414</v>
      </c>
      <c r="I296" t="s">
        <v>1589</v>
      </c>
      <c r="J296" t="s">
        <v>1051</v>
      </c>
      <c r="K296" t="s">
        <v>8</v>
      </c>
      <c r="L296" t="s">
        <v>8</v>
      </c>
      <c r="M296" t="s">
        <v>8</v>
      </c>
      <c r="N296" t="s">
        <v>1590</v>
      </c>
      <c r="O296" t="s">
        <v>121</v>
      </c>
      <c r="P296" t="s">
        <v>1591</v>
      </c>
    </row>
    <row r="297" spans="1:16" x14ac:dyDescent="0.25">
      <c r="A297" t="s">
        <v>0</v>
      </c>
      <c r="B297" s="2">
        <v>44620</v>
      </c>
      <c r="C297" s="5" t="s">
        <v>12</v>
      </c>
      <c r="D297" t="s">
        <v>1050</v>
      </c>
      <c r="E297" t="s">
        <v>1051</v>
      </c>
      <c r="F297" t="s">
        <v>4</v>
      </c>
      <c r="G297" t="s">
        <v>5</v>
      </c>
      <c r="H297" s="3">
        <v>374.08</v>
      </c>
      <c r="I297" t="s">
        <v>1627</v>
      </c>
      <c r="J297" t="s">
        <v>1051</v>
      </c>
      <c r="K297" t="s">
        <v>8</v>
      </c>
      <c r="L297" t="s">
        <v>8</v>
      </c>
      <c r="M297" t="s">
        <v>8</v>
      </c>
      <c r="N297" t="s">
        <v>1628</v>
      </c>
      <c r="O297" t="s">
        <v>121</v>
      </c>
      <c r="P297" t="s">
        <v>257</v>
      </c>
    </row>
    <row r="298" spans="1:16" x14ac:dyDescent="0.25">
      <c r="A298" t="s">
        <v>0</v>
      </c>
      <c r="B298" s="2">
        <v>44621</v>
      </c>
      <c r="C298" t="s">
        <v>12</v>
      </c>
      <c r="D298" t="s">
        <v>216</v>
      </c>
      <c r="E298" t="s">
        <v>217</v>
      </c>
      <c r="F298" t="s">
        <v>4</v>
      </c>
      <c r="G298" t="s">
        <v>5</v>
      </c>
      <c r="H298" s="3">
        <v>22669.64</v>
      </c>
      <c r="I298" t="s">
        <v>218</v>
      </c>
      <c r="J298" t="s">
        <v>8</v>
      </c>
      <c r="K298" t="s">
        <v>219</v>
      </c>
      <c r="L298" t="s">
        <v>8</v>
      </c>
      <c r="M298" t="s">
        <v>220</v>
      </c>
      <c r="N298" t="s">
        <v>258</v>
      </c>
      <c r="O298" t="s">
        <v>95</v>
      </c>
      <c r="P298" t="s">
        <v>259</v>
      </c>
    </row>
    <row r="299" spans="1:16" x14ac:dyDescent="0.25">
      <c r="A299" t="s">
        <v>0</v>
      </c>
      <c r="B299" s="2">
        <v>44621</v>
      </c>
      <c r="C299" s="5" t="s">
        <v>12</v>
      </c>
      <c r="D299" t="s">
        <v>753</v>
      </c>
      <c r="E299" t="s">
        <v>754</v>
      </c>
      <c r="F299" t="s">
        <v>4</v>
      </c>
      <c r="G299" t="s">
        <v>5</v>
      </c>
      <c r="H299" s="3">
        <v>3909.03</v>
      </c>
      <c r="I299" t="s">
        <v>755</v>
      </c>
      <c r="J299" t="s">
        <v>8</v>
      </c>
      <c r="K299" t="s">
        <v>219</v>
      </c>
      <c r="L299" t="s">
        <v>8</v>
      </c>
      <c r="M299" t="s">
        <v>220</v>
      </c>
      <c r="N299" t="s">
        <v>258</v>
      </c>
      <c r="O299" t="s">
        <v>95</v>
      </c>
      <c r="P299" t="s">
        <v>756</v>
      </c>
    </row>
    <row r="300" spans="1:16" x14ac:dyDescent="0.25">
      <c r="A300" t="s">
        <v>0</v>
      </c>
      <c r="B300" s="2">
        <v>44621</v>
      </c>
      <c r="C300" s="5" t="s">
        <v>12</v>
      </c>
      <c r="D300" t="s">
        <v>651</v>
      </c>
      <c r="E300" t="s">
        <v>652</v>
      </c>
      <c r="F300" t="s">
        <v>4</v>
      </c>
      <c r="G300" t="s">
        <v>5</v>
      </c>
      <c r="H300" s="3">
        <v>3731.22</v>
      </c>
      <c r="I300" t="s">
        <v>653</v>
      </c>
      <c r="J300" t="s">
        <v>8</v>
      </c>
      <c r="K300" t="s">
        <v>219</v>
      </c>
      <c r="L300" t="s">
        <v>8</v>
      </c>
      <c r="M300" t="s">
        <v>220</v>
      </c>
      <c r="N300" t="s">
        <v>258</v>
      </c>
      <c r="O300" t="s">
        <v>95</v>
      </c>
      <c r="P300" t="s">
        <v>747</v>
      </c>
    </row>
    <row r="301" spans="1:16" x14ac:dyDescent="0.25">
      <c r="A301" t="s">
        <v>0</v>
      </c>
      <c r="B301" s="2">
        <v>44621</v>
      </c>
      <c r="C301" s="5" t="s">
        <v>12</v>
      </c>
      <c r="D301" t="s">
        <v>398</v>
      </c>
      <c r="E301" t="s">
        <v>399</v>
      </c>
      <c r="F301" t="s">
        <v>4</v>
      </c>
      <c r="G301" t="s">
        <v>5</v>
      </c>
      <c r="H301" s="3">
        <v>3583.55</v>
      </c>
      <c r="I301" t="s">
        <v>400</v>
      </c>
      <c r="J301" t="s">
        <v>8</v>
      </c>
      <c r="K301" t="s">
        <v>219</v>
      </c>
      <c r="L301" t="s">
        <v>8</v>
      </c>
      <c r="M301" t="s">
        <v>220</v>
      </c>
      <c r="N301" t="s">
        <v>258</v>
      </c>
      <c r="O301" t="s">
        <v>95</v>
      </c>
      <c r="P301" t="s">
        <v>402</v>
      </c>
    </row>
    <row r="302" spans="1:16" x14ac:dyDescent="0.25">
      <c r="A302" t="s">
        <v>0</v>
      </c>
      <c r="B302" s="2">
        <v>44621</v>
      </c>
      <c r="C302" s="5" t="s">
        <v>12</v>
      </c>
      <c r="D302" t="s">
        <v>885</v>
      </c>
      <c r="E302" t="s">
        <v>886</v>
      </c>
      <c r="F302" t="s">
        <v>4</v>
      </c>
      <c r="G302" t="s">
        <v>5</v>
      </c>
      <c r="H302" s="3">
        <v>2475.2199999999998</v>
      </c>
      <c r="I302" t="s">
        <v>887</v>
      </c>
      <c r="J302" t="s">
        <v>8</v>
      </c>
      <c r="K302" t="s">
        <v>219</v>
      </c>
      <c r="L302" t="s">
        <v>8</v>
      </c>
      <c r="M302" t="s">
        <v>220</v>
      </c>
      <c r="N302" t="s">
        <v>258</v>
      </c>
      <c r="O302" t="s">
        <v>95</v>
      </c>
      <c r="P302" t="s">
        <v>888</v>
      </c>
    </row>
    <row r="303" spans="1:16" x14ac:dyDescent="0.25">
      <c r="A303" t="s">
        <v>0</v>
      </c>
      <c r="B303" s="2">
        <v>44621</v>
      </c>
      <c r="C303" s="5" t="s">
        <v>12</v>
      </c>
      <c r="D303" t="s">
        <v>2289</v>
      </c>
      <c r="E303" t="s">
        <v>2290</v>
      </c>
      <c r="F303" t="s">
        <v>4</v>
      </c>
      <c r="G303" t="s">
        <v>5</v>
      </c>
      <c r="H303" s="3">
        <v>-1055381.95</v>
      </c>
      <c r="I303" t="s">
        <v>2291</v>
      </c>
      <c r="J303" t="s">
        <v>8</v>
      </c>
      <c r="K303" t="s">
        <v>2292</v>
      </c>
      <c r="L303" t="s">
        <v>8</v>
      </c>
      <c r="M303" t="s">
        <v>220</v>
      </c>
      <c r="N303" t="s">
        <v>2299</v>
      </c>
      <c r="O303" t="s">
        <v>95</v>
      </c>
      <c r="P303" t="s">
        <v>2294</v>
      </c>
    </row>
    <row r="304" spans="1:16" x14ac:dyDescent="0.25">
      <c r="A304" t="s">
        <v>0</v>
      </c>
      <c r="B304" s="2">
        <v>44623</v>
      </c>
      <c r="C304" s="5" t="s">
        <v>17</v>
      </c>
      <c r="D304" t="s">
        <v>410</v>
      </c>
      <c r="E304" t="s">
        <v>411</v>
      </c>
      <c r="F304" t="s">
        <v>4</v>
      </c>
      <c r="G304" t="s">
        <v>5</v>
      </c>
      <c r="H304" s="3">
        <v>7825.28</v>
      </c>
      <c r="I304" t="s">
        <v>563</v>
      </c>
      <c r="J304" t="s">
        <v>393</v>
      </c>
      <c r="K304" t="s">
        <v>8</v>
      </c>
      <c r="L304" t="s">
        <v>564</v>
      </c>
      <c r="M304" t="s">
        <v>8</v>
      </c>
      <c r="N304" t="s">
        <v>565</v>
      </c>
      <c r="O304" t="s">
        <v>566</v>
      </c>
      <c r="P304" t="s">
        <v>1</v>
      </c>
    </row>
    <row r="305" spans="1:16" x14ac:dyDescent="0.25">
      <c r="A305" t="s">
        <v>0</v>
      </c>
      <c r="B305" s="2">
        <v>44624</v>
      </c>
      <c r="C305" s="5" t="s">
        <v>17</v>
      </c>
      <c r="D305" t="s">
        <v>294</v>
      </c>
      <c r="E305" t="s">
        <v>295</v>
      </c>
      <c r="F305" t="s">
        <v>4</v>
      </c>
      <c r="G305" t="s">
        <v>5</v>
      </c>
      <c r="H305" s="3">
        <v>8444.93</v>
      </c>
      <c r="I305" t="s">
        <v>530</v>
      </c>
      <c r="J305" t="s">
        <v>297</v>
      </c>
      <c r="K305" t="s">
        <v>8</v>
      </c>
      <c r="L305" t="s">
        <v>531</v>
      </c>
      <c r="M305" t="s">
        <v>8</v>
      </c>
      <c r="N305" t="s">
        <v>532</v>
      </c>
      <c r="O305" t="s">
        <v>300</v>
      </c>
      <c r="P305" t="s">
        <v>17</v>
      </c>
    </row>
    <row r="306" spans="1:16" x14ac:dyDescent="0.25">
      <c r="A306" t="s">
        <v>0</v>
      </c>
      <c r="B306" s="2">
        <v>44625</v>
      </c>
      <c r="C306" s="5" t="s">
        <v>17</v>
      </c>
      <c r="D306" t="s">
        <v>1201</v>
      </c>
      <c r="E306" t="s">
        <v>1202</v>
      </c>
      <c r="F306" t="s">
        <v>4</v>
      </c>
      <c r="G306" t="s">
        <v>5</v>
      </c>
      <c r="H306" s="3">
        <v>100.8</v>
      </c>
      <c r="I306" t="s">
        <v>1932</v>
      </c>
      <c r="J306" t="s">
        <v>1490</v>
      </c>
      <c r="K306" t="s">
        <v>8</v>
      </c>
      <c r="L306" t="s">
        <v>8</v>
      </c>
      <c r="M306" t="s">
        <v>8</v>
      </c>
      <c r="N306" t="s">
        <v>1933</v>
      </c>
      <c r="O306" t="s">
        <v>389</v>
      </c>
      <c r="P306" t="s">
        <v>1</v>
      </c>
    </row>
    <row r="307" spans="1:16" x14ac:dyDescent="0.25">
      <c r="A307" t="s">
        <v>0</v>
      </c>
      <c r="B307" s="2">
        <v>44629</v>
      </c>
      <c r="C307" s="5" t="s">
        <v>17</v>
      </c>
      <c r="D307" t="s">
        <v>539</v>
      </c>
      <c r="E307" t="s">
        <v>540</v>
      </c>
      <c r="F307" t="s">
        <v>4</v>
      </c>
      <c r="G307" t="s">
        <v>5</v>
      </c>
      <c r="H307" s="3">
        <v>3000</v>
      </c>
      <c r="I307" t="s">
        <v>781</v>
      </c>
      <c r="J307" t="s">
        <v>542</v>
      </c>
      <c r="K307" t="s">
        <v>8</v>
      </c>
      <c r="L307" t="s">
        <v>834</v>
      </c>
      <c r="M307" t="s">
        <v>8</v>
      </c>
      <c r="N307" t="s">
        <v>836</v>
      </c>
      <c r="O307" t="s">
        <v>16</v>
      </c>
      <c r="P307" t="s">
        <v>12</v>
      </c>
    </row>
    <row r="308" spans="1:16" x14ac:dyDescent="0.25">
      <c r="A308" t="s">
        <v>0</v>
      </c>
      <c r="B308" s="2">
        <v>44629</v>
      </c>
      <c r="C308" s="5" t="s">
        <v>17</v>
      </c>
      <c r="D308" t="s">
        <v>539</v>
      </c>
      <c r="E308" t="s">
        <v>540</v>
      </c>
      <c r="F308" t="s">
        <v>4</v>
      </c>
      <c r="G308" t="s">
        <v>5</v>
      </c>
      <c r="H308" s="3">
        <v>3000</v>
      </c>
      <c r="I308" t="s">
        <v>837</v>
      </c>
      <c r="J308" t="s">
        <v>542</v>
      </c>
      <c r="K308" t="s">
        <v>8</v>
      </c>
      <c r="L308" t="s">
        <v>834</v>
      </c>
      <c r="M308" t="s">
        <v>8</v>
      </c>
      <c r="N308" t="s">
        <v>838</v>
      </c>
      <c r="O308" t="s">
        <v>16</v>
      </c>
      <c r="P308" t="s">
        <v>12</v>
      </c>
    </row>
    <row r="309" spans="1:16" x14ac:dyDescent="0.25">
      <c r="A309" t="s">
        <v>0</v>
      </c>
      <c r="B309" s="2">
        <v>44629</v>
      </c>
      <c r="C309" s="5" t="s">
        <v>17</v>
      </c>
      <c r="D309" t="s">
        <v>539</v>
      </c>
      <c r="E309" t="s">
        <v>540</v>
      </c>
      <c r="F309" t="s">
        <v>4</v>
      </c>
      <c r="G309" t="s">
        <v>5</v>
      </c>
      <c r="H309" s="3">
        <v>-3000</v>
      </c>
      <c r="I309" t="s">
        <v>781</v>
      </c>
      <c r="J309" t="s">
        <v>542</v>
      </c>
      <c r="K309" t="s">
        <v>8</v>
      </c>
      <c r="L309" t="s">
        <v>834</v>
      </c>
      <c r="M309" t="s">
        <v>8</v>
      </c>
      <c r="N309" t="s">
        <v>2253</v>
      </c>
      <c r="O309" t="s">
        <v>16</v>
      </c>
      <c r="P309" t="s">
        <v>12</v>
      </c>
    </row>
    <row r="310" spans="1:16" x14ac:dyDescent="0.25">
      <c r="A310" t="s">
        <v>0</v>
      </c>
      <c r="B310" s="2">
        <v>44629</v>
      </c>
      <c r="C310" s="5" t="s">
        <v>17</v>
      </c>
      <c r="D310" t="s">
        <v>539</v>
      </c>
      <c r="E310" t="s">
        <v>540</v>
      </c>
      <c r="F310" t="s">
        <v>4</v>
      </c>
      <c r="G310" t="s">
        <v>5</v>
      </c>
      <c r="H310" s="3">
        <v>-3000</v>
      </c>
      <c r="I310" t="s">
        <v>781</v>
      </c>
      <c r="J310" t="s">
        <v>542</v>
      </c>
      <c r="K310" t="s">
        <v>8</v>
      </c>
      <c r="L310" t="s">
        <v>834</v>
      </c>
      <c r="M310" t="s">
        <v>8</v>
      </c>
      <c r="N310" t="s">
        <v>2254</v>
      </c>
      <c r="O310" t="s">
        <v>16</v>
      </c>
      <c r="P310" t="s">
        <v>12</v>
      </c>
    </row>
    <row r="311" spans="1:16" x14ac:dyDescent="0.25">
      <c r="A311" t="s">
        <v>0</v>
      </c>
      <c r="B311" s="2">
        <v>44630</v>
      </c>
      <c r="C311" s="5" t="s">
        <v>17</v>
      </c>
      <c r="D311" t="s">
        <v>892</v>
      </c>
      <c r="E311" t="s">
        <v>893</v>
      </c>
      <c r="F311" t="s">
        <v>4</v>
      </c>
      <c r="G311" t="s">
        <v>5</v>
      </c>
      <c r="H311" s="3">
        <v>2406.4699999999998</v>
      </c>
      <c r="I311" t="s">
        <v>894</v>
      </c>
      <c r="J311" t="s">
        <v>322</v>
      </c>
      <c r="K311" t="s">
        <v>8</v>
      </c>
      <c r="L311" t="s">
        <v>8</v>
      </c>
      <c r="M311" t="s">
        <v>8</v>
      </c>
      <c r="N311" t="s">
        <v>895</v>
      </c>
      <c r="O311" t="s">
        <v>121</v>
      </c>
      <c r="P311" t="s">
        <v>613</v>
      </c>
    </row>
    <row r="312" spans="1:16" x14ac:dyDescent="0.25">
      <c r="A312" t="s">
        <v>0</v>
      </c>
      <c r="B312" s="2">
        <v>44630</v>
      </c>
      <c r="C312" s="5" t="s">
        <v>17</v>
      </c>
      <c r="D312" t="s">
        <v>892</v>
      </c>
      <c r="E312" t="s">
        <v>893</v>
      </c>
      <c r="F312" t="s">
        <v>4</v>
      </c>
      <c r="G312" t="s">
        <v>5</v>
      </c>
      <c r="H312" s="3">
        <v>2406.4699999999998</v>
      </c>
      <c r="I312" t="s">
        <v>896</v>
      </c>
      <c r="J312" t="s">
        <v>322</v>
      </c>
      <c r="K312" t="s">
        <v>8</v>
      </c>
      <c r="L312" t="s">
        <v>8</v>
      </c>
      <c r="M312" t="s">
        <v>8</v>
      </c>
      <c r="N312" t="s">
        <v>897</v>
      </c>
      <c r="O312" t="s">
        <v>121</v>
      </c>
      <c r="P312" t="s">
        <v>613</v>
      </c>
    </row>
    <row r="313" spans="1:16" x14ac:dyDescent="0.25">
      <c r="A313" t="s">
        <v>0</v>
      </c>
      <c r="B313" s="2">
        <v>44632</v>
      </c>
      <c r="C313" s="5" t="s">
        <v>17</v>
      </c>
      <c r="D313" t="s">
        <v>1201</v>
      </c>
      <c r="E313" t="s">
        <v>1202</v>
      </c>
      <c r="F313" t="s">
        <v>4</v>
      </c>
      <c r="G313" t="s">
        <v>5</v>
      </c>
      <c r="H313" s="3">
        <v>81</v>
      </c>
      <c r="I313" t="s">
        <v>1964</v>
      </c>
      <c r="J313" t="s">
        <v>1620</v>
      </c>
      <c r="K313" t="s">
        <v>8</v>
      </c>
      <c r="L313" t="s">
        <v>8</v>
      </c>
      <c r="M313" t="s">
        <v>8</v>
      </c>
      <c r="N313" t="s">
        <v>1965</v>
      </c>
      <c r="O313" t="s">
        <v>389</v>
      </c>
      <c r="P313" t="s">
        <v>1</v>
      </c>
    </row>
    <row r="314" spans="1:16" x14ac:dyDescent="0.25">
      <c r="A314" t="s">
        <v>0</v>
      </c>
      <c r="B314" s="2">
        <v>44633</v>
      </c>
      <c r="C314" s="5" t="s">
        <v>17</v>
      </c>
      <c r="D314" t="s">
        <v>384</v>
      </c>
      <c r="E314" t="s">
        <v>385</v>
      </c>
      <c r="F314" t="s">
        <v>4</v>
      </c>
      <c r="G314" t="s">
        <v>5</v>
      </c>
      <c r="H314" s="3">
        <v>653.16999999999996</v>
      </c>
      <c r="I314" t="s">
        <v>871</v>
      </c>
      <c r="J314" t="s">
        <v>680</v>
      </c>
      <c r="K314" t="s">
        <v>8</v>
      </c>
      <c r="L314" t="s">
        <v>8</v>
      </c>
      <c r="M314" t="s">
        <v>8</v>
      </c>
      <c r="N314" t="s">
        <v>1399</v>
      </c>
      <c r="O314" t="s">
        <v>389</v>
      </c>
      <c r="P314" t="s">
        <v>12</v>
      </c>
    </row>
    <row r="315" spans="1:16" x14ac:dyDescent="0.25">
      <c r="A315" t="s">
        <v>0</v>
      </c>
      <c r="B315" s="2">
        <v>44633</v>
      </c>
      <c r="C315" s="5" t="s">
        <v>17</v>
      </c>
      <c r="D315" t="s">
        <v>384</v>
      </c>
      <c r="E315" t="s">
        <v>385</v>
      </c>
      <c r="F315" t="s">
        <v>4</v>
      </c>
      <c r="G315" t="s">
        <v>5</v>
      </c>
      <c r="H315" s="3">
        <v>621.63</v>
      </c>
      <c r="I315" t="s">
        <v>871</v>
      </c>
      <c r="J315" t="s">
        <v>1104</v>
      </c>
      <c r="K315" t="s">
        <v>8</v>
      </c>
      <c r="L315" t="s">
        <v>8</v>
      </c>
      <c r="M315" t="s">
        <v>8</v>
      </c>
      <c r="N315" t="s">
        <v>1411</v>
      </c>
      <c r="O315" t="s">
        <v>389</v>
      </c>
      <c r="P315" t="s">
        <v>1</v>
      </c>
    </row>
    <row r="316" spans="1:16" x14ac:dyDescent="0.25">
      <c r="A316" t="s">
        <v>0</v>
      </c>
      <c r="B316" s="2">
        <v>44633</v>
      </c>
      <c r="C316" s="5" t="s">
        <v>17</v>
      </c>
      <c r="D316" t="s">
        <v>384</v>
      </c>
      <c r="E316" t="s">
        <v>385</v>
      </c>
      <c r="F316" t="s">
        <v>4</v>
      </c>
      <c r="G316" t="s">
        <v>5</v>
      </c>
      <c r="H316" s="3">
        <v>208.99</v>
      </c>
      <c r="I316" t="s">
        <v>1770</v>
      </c>
      <c r="J316" t="s">
        <v>680</v>
      </c>
      <c r="K316" t="s">
        <v>8</v>
      </c>
      <c r="L316" t="s">
        <v>8</v>
      </c>
      <c r="M316" t="s">
        <v>8</v>
      </c>
      <c r="N316" t="s">
        <v>1399</v>
      </c>
      <c r="O316" t="s">
        <v>389</v>
      </c>
      <c r="P316" t="s">
        <v>43</v>
      </c>
    </row>
    <row r="317" spans="1:16" x14ac:dyDescent="0.25">
      <c r="A317" t="s">
        <v>0</v>
      </c>
      <c r="B317" s="2">
        <v>44633</v>
      </c>
      <c r="C317" s="5" t="s">
        <v>17</v>
      </c>
      <c r="D317" t="s">
        <v>1201</v>
      </c>
      <c r="E317" t="s">
        <v>1202</v>
      </c>
      <c r="F317" t="s">
        <v>4</v>
      </c>
      <c r="G317" t="s">
        <v>5</v>
      </c>
      <c r="H317" s="3">
        <v>180</v>
      </c>
      <c r="I317" t="s">
        <v>1796</v>
      </c>
      <c r="J317" t="s">
        <v>680</v>
      </c>
      <c r="K317" t="s">
        <v>8</v>
      </c>
      <c r="L317" t="s">
        <v>8</v>
      </c>
      <c r="M317" t="s">
        <v>8</v>
      </c>
      <c r="N317" t="s">
        <v>1399</v>
      </c>
      <c r="O317" t="s">
        <v>389</v>
      </c>
      <c r="P317" t="s">
        <v>87</v>
      </c>
    </row>
    <row r="318" spans="1:16" x14ac:dyDescent="0.25">
      <c r="A318" t="s">
        <v>0</v>
      </c>
      <c r="B318" s="2">
        <v>44633</v>
      </c>
      <c r="C318" s="5" t="s">
        <v>17</v>
      </c>
      <c r="D318" t="s">
        <v>384</v>
      </c>
      <c r="E318" t="s">
        <v>385</v>
      </c>
      <c r="F318" t="s">
        <v>4</v>
      </c>
      <c r="G318" t="s">
        <v>5</v>
      </c>
      <c r="H318" s="3">
        <v>135.38999999999999</v>
      </c>
      <c r="I318" t="s">
        <v>935</v>
      </c>
      <c r="J318" t="s">
        <v>680</v>
      </c>
      <c r="K318" t="s">
        <v>8</v>
      </c>
      <c r="L318" t="s">
        <v>8</v>
      </c>
      <c r="M318" t="s">
        <v>8</v>
      </c>
      <c r="N318" t="s">
        <v>1399</v>
      </c>
      <c r="O318" t="s">
        <v>389</v>
      </c>
      <c r="P318" t="s">
        <v>17</v>
      </c>
    </row>
    <row r="319" spans="1:16" x14ac:dyDescent="0.25">
      <c r="A319" t="s">
        <v>0</v>
      </c>
      <c r="B319" s="2">
        <v>44633</v>
      </c>
      <c r="C319" s="5" t="s">
        <v>17</v>
      </c>
      <c r="D319" t="s">
        <v>384</v>
      </c>
      <c r="E319" t="s">
        <v>385</v>
      </c>
      <c r="F319" t="s">
        <v>4</v>
      </c>
      <c r="G319" t="s">
        <v>5</v>
      </c>
      <c r="H319" s="3">
        <v>110.4</v>
      </c>
      <c r="I319" t="s">
        <v>1757</v>
      </c>
      <c r="J319" t="s">
        <v>1104</v>
      </c>
      <c r="K319" t="s">
        <v>8</v>
      </c>
      <c r="L319" t="s">
        <v>8</v>
      </c>
      <c r="M319" t="s">
        <v>8</v>
      </c>
      <c r="N319" t="s">
        <v>1411</v>
      </c>
      <c r="O319" t="s">
        <v>389</v>
      </c>
      <c r="P319" t="s">
        <v>12</v>
      </c>
    </row>
    <row r="320" spans="1:16" x14ac:dyDescent="0.25">
      <c r="A320" t="s">
        <v>0</v>
      </c>
      <c r="B320" s="2">
        <v>44633</v>
      </c>
      <c r="C320" s="5" t="s">
        <v>17</v>
      </c>
      <c r="D320" t="s">
        <v>384</v>
      </c>
      <c r="E320" t="s">
        <v>385</v>
      </c>
      <c r="F320" t="s">
        <v>4</v>
      </c>
      <c r="G320" t="s">
        <v>5</v>
      </c>
      <c r="H320" s="3">
        <v>87.8</v>
      </c>
      <c r="I320" t="s">
        <v>1877</v>
      </c>
      <c r="J320" t="s">
        <v>680</v>
      </c>
      <c r="K320" t="s">
        <v>8</v>
      </c>
      <c r="L320" t="s">
        <v>8</v>
      </c>
      <c r="M320" t="s">
        <v>8</v>
      </c>
      <c r="N320" t="s">
        <v>1399</v>
      </c>
      <c r="O320" t="s">
        <v>389</v>
      </c>
      <c r="P320" t="s">
        <v>82</v>
      </c>
    </row>
    <row r="321" spans="1:16" x14ac:dyDescent="0.25">
      <c r="A321" t="s">
        <v>0</v>
      </c>
      <c r="B321" s="2">
        <v>44633</v>
      </c>
      <c r="C321" s="5" t="s">
        <v>17</v>
      </c>
      <c r="D321" t="s">
        <v>1201</v>
      </c>
      <c r="E321" t="s">
        <v>1202</v>
      </c>
      <c r="F321" t="s">
        <v>4</v>
      </c>
      <c r="G321" t="s">
        <v>5</v>
      </c>
      <c r="H321" s="3">
        <v>50.4</v>
      </c>
      <c r="I321" t="s">
        <v>2048</v>
      </c>
      <c r="J321" t="s">
        <v>1490</v>
      </c>
      <c r="K321" t="s">
        <v>8</v>
      </c>
      <c r="L321" t="s">
        <v>8</v>
      </c>
      <c r="M321" t="s">
        <v>8</v>
      </c>
      <c r="N321" t="s">
        <v>2049</v>
      </c>
      <c r="O321" t="s">
        <v>389</v>
      </c>
      <c r="P321" t="s">
        <v>1</v>
      </c>
    </row>
    <row r="322" spans="1:16" x14ac:dyDescent="0.25">
      <c r="A322" t="s">
        <v>0</v>
      </c>
      <c r="B322" s="2">
        <v>44633</v>
      </c>
      <c r="C322" s="5" t="s">
        <v>17</v>
      </c>
      <c r="D322" t="s">
        <v>384</v>
      </c>
      <c r="E322" t="s">
        <v>385</v>
      </c>
      <c r="F322" t="s">
        <v>4</v>
      </c>
      <c r="G322" t="s">
        <v>5</v>
      </c>
      <c r="H322" s="3">
        <v>42</v>
      </c>
      <c r="I322" t="s">
        <v>2067</v>
      </c>
      <c r="J322" t="s">
        <v>680</v>
      </c>
      <c r="K322" t="s">
        <v>8</v>
      </c>
      <c r="L322" t="s">
        <v>8</v>
      </c>
      <c r="M322" t="s">
        <v>8</v>
      </c>
      <c r="N322" t="s">
        <v>1399</v>
      </c>
      <c r="O322" t="s">
        <v>389</v>
      </c>
      <c r="P322" t="s">
        <v>22</v>
      </c>
    </row>
    <row r="323" spans="1:16" x14ac:dyDescent="0.25">
      <c r="A323" t="s">
        <v>0</v>
      </c>
      <c r="B323" s="2">
        <v>44633</v>
      </c>
      <c r="C323" s="5" t="s">
        <v>17</v>
      </c>
      <c r="D323" t="s">
        <v>384</v>
      </c>
      <c r="E323" t="s">
        <v>385</v>
      </c>
      <c r="F323" t="s">
        <v>4</v>
      </c>
      <c r="G323" t="s">
        <v>5</v>
      </c>
      <c r="H323" s="3">
        <v>23.98</v>
      </c>
      <c r="I323" t="s">
        <v>1786</v>
      </c>
      <c r="J323" t="s">
        <v>680</v>
      </c>
      <c r="K323" t="s">
        <v>8</v>
      </c>
      <c r="L323" t="s">
        <v>8</v>
      </c>
      <c r="M323" t="s">
        <v>8</v>
      </c>
      <c r="N323" t="s">
        <v>1399</v>
      </c>
      <c r="O323" t="s">
        <v>389</v>
      </c>
      <c r="P323" t="s">
        <v>77</v>
      </c>
    </row>
    <row r="324" spans="1:16" x14ac:dyDescent="0.25">
      <c r="A324" t="s">
        <v>0</v>
      </c>
      <c r="B324" s="2">
        <v>44633</v>
      </c>
      <c r="C324" s="5" t="s">
        <v>17</v>
      </c>
      <c r="D324" t="s">
        <v>1201</v>
      </c>
      <c r="E324" t="s">
        <v>1202</v>
      </c>
      <c r="F324" t="s">
        <v>4</v>
      </c>
      <c r="G324" t="s">
        <v>5</v>
      </c>
      <c r="H324" s="3">
        <v>23.4</v>
      </c>
      <c r="I324" t="s">
        <v>2115</v>
      </c>
      <c r="J324" t="s">
        <v>1985</v>
      </c>
      <c r="K324" t="s">
        <v>8</v>
      </c>
      <c r="L324" t="s">
        <v>8</v>
      </c>
      <c r="M324" t="s">
        <v>8</v>
      </c>
      <c r="N324" t="s">
        <v>2116</v>
      </c>
      <c r="O324" t="s">
        <v>389</v>
      </c>
      <c r="P324" t="s">
        <v>1</v>
      </c>
    </row>
    <row r="325" spans="1:16" x14ac:dyDescent="0.25">
      <c r="A325" t="s">
        <v>0</v>
      </c>
      <c r="B325" s="2">
        <v>44635</v>
      </c>
      <c r="C325" s="5" t="s">
        <v>17</v>
      </c>
      <c r="D325" t="s">
        <v>410</v>
      </c>
      <c r="E325" t="s">
        <v>411</v>
      </c>
      <c r="F325" t="s">
        <v>4</v>
      </c>
      <c r="G325" t="s">
        <v>5</v>
      </c>
      <c r="H325" s="3">
        <v>10193.99</v>
      </c>
      <c r="I325" t="s">
        <v>419</v>
      </c>
      <c r="J325" t="s">
        <v>413</v>
      </c>
      <c r="K325" t="s">
        <v>8</v>
      </c>
      <c r="L325" t="s">
        <v>420</v>
      </c>
      <c r="M325" t="s">
        <v>8</v>
      </c>
      <c r="N325" t="s">
        <v>421</v>
      </c>
      <c r="O325" t="s">
        <v>16</v>
      </c>
      <c r="P325" t="s">
        <v>1</v>
      </c>
    </row>
    <row r="326" spans="1:16" x14ac:dyDescent="0.25">
      <c r="A326" t="s">
        <v>0</v>
      </c>
      <c r="B326" s="2">
        <v>44635</v>
      </c>
      <c r="C326" s="5" t="s">
        <v>17</v>
      </c>
      <c r="D326" t="s">
        <v>390</v>
      </c>
      <c r="E326" t="s">
        <v>391</v>
      </c>
      <c r="F326" t="s">
        <v>4</v>
      </c>
      <c r="G326" t="s">
        <v>5</v>
      </c>
      <c r="H326" s="3">
        <v>3380.59</v>
      </c>
      <c r="I326" t="s">
        <v>802</v>
      </c>
      <c r="J326" t="s">
        <v>803</v>
      </c>
      <c r="K326" t="s">
        <v>8</v>
      </c>
      <c r="L326" t="s">
        <v>804</v>
      </c>
      <c r="M326" t="s">
        <v>8</v>
      </c>
      <c r="N326" t="s">
        <v>805</v>
      </c>
      <c r="O326" t="s">
        <v>806</v>
      </c>
      <c r="P326" t="s">
        <v>1</v>
      </c>
    </row>
    <row r="327" spans="1:16" x14ac:dyDescent="0.25">
      <c r="A327" t="s">
        <v>0</v>
      </c>
      <c r="B327" s="2">
        <v>44635</v>
      </c>
      <c r="C327" s="5" t="s">
        <v>17</v>
      </c>
      <c r="D327" t="s">
        <v>390</v>
      </c>
      <c r="E327" t="s">
        <v>391</v>
      </c>
      <c r="F327" t="s">
        <v>4</v>
      </c>
      <c r="G327" t="s">
        <v>5</v>
      </c>
      <c r="H327" s="3">
        <v>3074.07</v>
      </c>
      <c r="I327" t="s">
        <v>802</v>
      </c>
      <c r="J327" t="s">
        <v>803</v>
      </c>
      <c r="K327" t="s">
        <v>8</v>
      </c>
      <c r="L327" t="s">
        <v>804</v>
      </c>
      <c r="M327" t="s">
        <v>8</v>
      </c>
      <c r="N327" t="s">
        <v>805</v>
      </c>
      <c r="O327" t="s">
        <v>806</v>
      </c>
      <c r="P327" t="s">
        <v>17</v>
      </c>
    </row>
    <row r="328" spans="1:16" x14ac:dyDescent="0.25">
      <c r="A328" t="s">
        <v>0</v>
      </c>
      <c r="B328" s="2">
        <v>44635</v>
      </c>
      <c r="C328" s="5" t="s">
        <v>17</v>
      </c>
      <c r="D328" t="s">
        <v>390</v>
      </c>
      <c r="E328" t="s">
        <v>391</v>
      </c>
      <c r="F328" t="s">
        <v>4</v>
      </c>
      <c r="G328" t="s">
        <v>5</v>
      </c>
      <c r="H328" s="3">
        <v>1954.69</v>
      </c>
      <c r="I328" t="s">
        <v>802</v>
      </c>
      <c r="J328" t="s">
        <v>803</v>
      </c>
      <c r="K328" t="s">
        <v>8</v>
      </c>
      <c r="L328" t="s">
        <v>804</v>
      </c>
      <c r="M328" t="s">
        <v>8</v>
      </c>
      <c r="N328" t="s">
        <v>805</v>
      </c>
      <c r="O328" t="s">
        <v>806</v>
      </c>
      <c r="P328" t="s">
        <v>12</v>
      </c>
    </row>
    <row r="329" spans="1:16" x14ac:dyDescent="0.25">
      <c r="A329" t="s">
        <v>0</v>
      </c>
      <c r="B329" s="2">
        <v>44635</v>
      </c>
      <c r="C329" s="5" t="s">
        <v>17</v>
      </c>
      <c r="D329" t="s">
        <v>1517</v>
      </c>
      <c r="E329" t="s">
        <v>1518</v>
      </c>
      <c r="F329" t="s">
        <v>4</v>
      </c>
      <c r="G329" t="s">
        <v>5</v>
      </c>
      <c r="H329" s="3">
        <v>438.9</v>
      </c>
      <c r="I329" t="s">
        <v>1526</v>
      </c>
      <c r="J329" t="s">
        <v>1520</v>
      </c>
      <c r="K329" t="s">
        <v>8</v>
      </c>
      <c r="L329" t="s">
        <v>1527</v>
      </c>
      <c r="M329" t="s">
        <v>8</v>
      </c>
      <c r="N329" t="s">
        <v>1528</v>
      </c>
      <c r="O329" t="s">
        <v>16</v>
      </c>
      <c r="P329" t="s">
        <v>1</v>
      </c>
    </row>
    <row r="330" spans="1:16" x14ac:dyDescent="0.25">
      <c r="A330" t="s">
        <v>0</v>
      </c>
      <c r="B330" s="2">
        <v>44636</v>
      </c>
      <c r="C330" s="5" t="s">
        <v>17</v>
      </c>
      <c r="D330" t="s">
        <v>384</v>
      </c>
      <c r="E330" t="s">
        <v>385</v>
      </c>
      <c r="F330" t="s">
        <v>4</v>
      </c>
      <c r="G330" t="s">
        <v>5</v>
      </c>
      <c r="H330" s="3">
        <v>852.13</v>
      </c>
      <c r="I330" t="s">
        <v>871</v>
      </c>
      <c r="J330" t="s">
        <v>912</v>
      </c>
      <c r="K330" t="s">
        <v>8</v>
      </c>
      <c r="L330" t="s">
        <v>8</v>
      </c>
      <c r="M330" t="s">
        <v>8</v>
      </c>
      <c r="N330" t="s">
        <v>1291</v>
      </c>
      <c r="O330" t="s">
        <v>389</v>
      </c>
      <c r="P330" t="s">
        <v>1</v>
      </c>
    </row>
    <row r="331" spans="1:16" x14ac:dyDescent="0.25">
      <c r="A331" t="s">
        <v>0</v>
      </c>
      <c r="B331" s="2">
        <v>44636</v>
      </c>
      <c r="C331" s="5" t="s">
        <v>17</v>
      </c>
      <c r="D331" t="s">
        <v>384</v>
      </c>
      <c r="E331" t="s">
        <v>385</v>
      </c>
      <c r="F331" t="s">
        <v>4</v>
      </c>
      <c r="G331" t="s">
        <v>5</v>
      </c>
      <c r="H331" s="3">
        <v>700</v>
      </c>
      <c r="I331" t="s">
        <v>1371</v>
      </c>
      <c r="J331" t="s">
        <v>1242</v>
      </c>
      <c r="K331" t="s">
        <v>8</v>
      </c>
      <c r="L331" t="s">
        <v>8</v>
      </c>
      <c r="M331" t="s">
        <v>8</v>
      </c>
      <c r="N331" t="s">
        <v>1372</v>
      </c>
      <c r="O331" t="s">
        <v>389</v>
      </c>
      <c r="P331" t="s">
        <v>17</v>
      </c>
    </row>
    <row r="332" spans="1:16" x14ac:dyDescent="0.25">
      <c r="A332" t="s">
        <v>0</v>
      </c>
      <c r="B332" s="2">
        <v>44636</v>
      </c>
      <c r="C332" s="5" t="s">
        <v>17</v>
      </c>
      <c r="D332" t="s">
        <v>384</v>
      </c>
      <c r="E332" t="s">
        <v>385</v>
      </c>
      <c r="F332" t="s">
        <v>4</v>
      </c>
      <c r="G332" t="s">
        <v>5</v>
      </c>
      <c r="H332" s="3">
        <v>616.30999999999995</v>
      </c>
      <c r="I332" t="s">
        <v>935</v>
      </c>
      <c r="J332" t="s">
        <v>1242</v>
      </c>
      <c r="K332" t="s">
        <v>8</v>
      </c>
      <c r="L332" t="s">
        <v>8</v>
      </c>
      <c r="M332" t="s">
        <v>8</v>
      </c>
      <c r="N332" t="s">
        <v>1372</v>
      </c>
      <c r="O332" t="s">
        <v>389</v>
      </c>
      <c r="P332" t="s">
        <v>12</v>
      </c>
    </row>
    <row r="333" spans="1:16" x14ac:dyDescent="0.25">
      <c r="A333" t="s">
        <v>0</v>
      </c>
      <c r="B333" s="2">
        <v>44636</v>
      </c>
      <c r="C333" s="5" t="s">
        <v>17</v>
      </c>
      <c r="D333" t="s">
        <v>384</v>
      </c>
      <c r="E333" t="s">
        <v>385</v>
      </c>
      <c r="F333" t="s">
        <v>4</v>
      </c>
      <c r="G333" t="s">
        <v>5</v>
      </c>
      <c r="H333" s="3">
        <v>559</v>
      </c>
      <c r="I333" t="s">
        <v>871</v>
      </c>
      <c r="J333" t="s">
        <v>1242</v>
      </c>
      <c r="K333" t="s">
        <v>8</v>
      </c>
      <c r="L333" t="s">
        <v>8</v>
      </c>
      <c r="M333" t="s">
        <v>8</v>
      </c>
      <c r="N333" t="s">
        <v>1372</v>
      </c>
      <c r="O333" t="s">
        <v>389</v>
      </c>
      <c r="P333" t="s">
        <v>1</v>
      </c>
    </row>
    <row r="334" spans="1:16" x14ac:dyDescent="0.25">
      <c r="A334" t="s">
        <v>0</v>
      </c>
      <c r="B334" s="2">
        <v>44636</v>
      </c>
      <c r="C334" s="5" t="s">
        <v>17</v>
      </c>
      <c r="D334" t="s">
        <v>384</v>
      </c>
      <c r="E334" t="s">
        <v>385</v>
      </c>
      <c r="F334" t="s">
        <v>4</v>
      </c>
      <c r="G334" t="s">
        <v>5</v>
      </c>
      <c r="H334" s="3">
        <v>508</v>
      </c>
      <c r="I334" t="s">
        <v>1473</v>
      </c>
      <c r="J334" t="s">
        <v>912</v>
      </c>
      <c r="K334" t="s">
        <v>8</v>
      </c>
      <c r="L334" t="s">
        <v>8</v>
      </c>
      <c r="M334" t="s">
        <v>8</v>
      </c>
      <c r="N334" t="s">
        <v>1291</v>
      </c>
      <c r="O334" t="s">
        <v>389</v>
      </c>
      <c r="P334" t="s">
        <v>77</v>
      </c>
    </row>
    <row r="335" spans="1:16" x14ac:dyDescent="0.25">
      <c r="A335" t="s">
        <v>0</v>
      </c>
      <c r="B335" s="2">
        <v>44636</v>
      </c>
      <c r="C335" s="5" t="s">
        <v>17</v>
      </c>
      <c r="D335" t="s">
        <v>384</v>
      </c>
      <c r="E335" t="s">
        <v>385</v>
      </c>
      <c r="F335" t="s">
        <v>4</v>
      </c>
      <c r="G335" t="s">
        <v>5</v>
      </c>
      <c r="H335" s="3">
        <v>358.66</v>
      </c>
      <c r="I335" t="s">
        <v>935</v>
      </c>
      <c r="J335" t="s">
        <v>912</v>
      </c>
      <c r="K335" t="s">
        <v>8</v>
      </c>
      <c r="L335" t="s">
        <v>8</v>
      </c>
      <c r="M335" t="s">
        <v>8</v>
      </c>
      <c r="N335" t="s">
        <v>1291</v>
      </c>
      <c r="O335" t="s">
        <v>389</v>
      </c>
      <c r="P335" t="s">
        <v>12</v>
      </c>
    </row>
    <row r="336" spans="1:16" x14ac:dyDescent="0.25">
      <c r="A336" t="s">
        <v>0</v>
      </c>
      <c r="B336" s="2">
        <v>44636</v>
      </c>
      <c r="C336" s="5" t="s">
        <v>17</v>
      </c>
      <c r="D336" t="s">
        <v>1201</v>
      </c>
      <c r="E336" t="s">
        <v>1202</v>
      </c>
      <c r="F336" t="s">
        <v>4</v>
      </c>
      <c r="G336" t="s">
        <v>5</v>
      </c>
      <c r="H336" s="3">
        <v>259.2</v>
      </c>
      <c r="I336" t="s">
        <v>1727</v>
      </c>
      <c r="J336" t="s">
        <v>912</v>
      </c>
      <c r="K336" t="s">
        <v>8</v>
      </c>
      <c r="L336" t="s">
        <v>8</v>
      </c>
      <c r="M336" t="s">
        <v>8</v>
      </c>
      <c r="N336" t="s">
        <v>1291</v>
      </c>
      <c r="O336" t="s">
        <v>389</v>
      </c>
      <c r="P336" t="s">
        <v>82</v>
      </c>
    </row>
    <row r="337" spans="1:16" x14ac:dyDescent="0.25">
      <c r="A337" t="s">
        <v>0</v>
      </c>
      <c r="B337" s="2">
        <v>44636</v>
      </c>
      <c r="C337" s="5" t="s">
        <v>17</v>
      </c>
      <c r="D337" t="s">
        <v>384</v>
      </c>
      <c r="E337" t="s">
        <v>385</v>
      </c>
      <c r="F337" t="s">
        <v>4</v>
      </c>
      <c r="G337" t="s">
        <v>5</v>
      </c>
      <c r="H337" s="3">
        <v>79.989999999999995</v>
      </c>
      <c r="I337" t="s">
        <v>1969</v>
      </c>
      <c r="J337" t="s">
        <v>912</v>
      </c>
      <c r="K337" t="s">
        <v>8</v>
      </c>
      <c r="L337" t="s">
        <v>8</v>
      </c>
      <c r="M337" t="s">
        <v>8</v>
      </c>
      <c r="N337" t="s">
        <v>1291</v>
      </c>
      <c r="O337" t="s">
        <v>389</v>
      </c>
      <c r="P337" t="s">
        <v>43</v>
      </c>
    </row>
    <row r="338" spans="1:16" x14ac:dyDescent="0.25">
      <c r="A338" t="s">
        <v>0</v>
      </c>
      <c r="B338" s="2">
        <v>44636</v>
      </c>
      <c r="C338" s="5" t="s">
        <v>17</v>
      </c>
      <c r="D338" t="s">
        <v>384</v>
      </c>
      <c r="E338" t="s">
        <v>385</v>
      </c>
      <c r="F338" t="s">
        <v>4</v>
      </c>
      <c r="G338" t="s">
        <v>5</v>
      </c>
      <c r="H338" s="3">
        <v>42.2</v>
      </c>
      <c r="I338" t="s">
        <v>1757</v>
      </c>
      <c r="J338" t="s">
        <v>912</v>
      </c>
      <c r="K338" t="s">
        <v>8</v>
      </c>
      <c r="L338" t="s">
        <v>8</v>
      </c>
      <c r="M338" t="s">
        <v>8</v>
      </c>
      <c r="N338" t="s">
        <v>1291</v>
      </c>
      <c r="O338" t="s">
        <v>389</v>
      </c>
      <c r="P338" t="s">
        <v>72</v>
      </c>
    </row>
    <row r="339" spans="1:16" x14ac:dyDescent="0.25">
      <c r="A339" t="s">
        <v>0</v>
      </c>
      <c r="B339" s="2">
        <v>44636</v>
      </c>
      <c r="C339" s="5" t="s">
        <v>17</v>
      </c>
      <c r="D339" t="s">
        <v>384</v>
      </c>
      <c r="E339" t="s">
        <v>385</v>
      </c>
      <c r="F339" t="s">
        <v>4</v>
      </c>
      <c r="G339" t="s">
        <v>5</v>
      </c>
      <c r="H339" s="3">
        <v>40</v>
      </c>
      <c r="I339" t="s">
        <v>1142</v>
      </c>
      <c r="J339" t="s">
        <v>912</v>
      </c>
      <c r="K339" t="s">
        <v>8</v>
      </c>
      <c r="L339" t="s">
        <v>8</v>
      </c>
      <c r="M339" t="s">
        <v>8</v>
      </c>
      <c r="N339" t="s">
        <v>1291</v>
      </c>
      <c r="O339" t="s">
        <v>389</v>
      </c>
      <c r="P339" t="s">
        <v>17</v>
      </c>
    </row>
    <row r="340" spans="1:16" x14ac:dyDescent="0.25">
      <c r="A340" t="s">
        <v>0</v>
      </c>
      <c r="B340" s="2">
        <v>44636</v>
      </c>
      <c r="C340" s="5" t="s">
        <v>17</v>
      </c>
      <c r="D340" t="s">
        <v>384</v>
      </c>
      <c r="E340" t="s">
        <v>385</v>
      </c>
      <c r="F340" t="s">
        <v>4</v>
      </c>
      <c r="G340" t="s">
        <v>5</v>
      </c>
      <c r="H340" s="3">
        <v>32</v>
      </c>
      <c r="I340" t="s">
        <v>2086</v>
      </c>
      <c r="J340" t="s">
        <v>912</v>
      </c>
      <c r="K340" t="s">
        <v>8</v>
      </c>
      <c r="L340" t="s">
        <v>8</v>
      </c>
      <c r="M340" t="s">
        <v>8</v>
      </c>
      <c r="N340" t="s">
        <v>1291</v>
      </c>
      <c r="O340" t="s">
        <v>389</v>
      </c>
      <c r="P340" t="s">
        <v>22</v>
      </c>
    </row>
    <row r="341" spans="1:16" x14ac:dyDescent="0.25">
      <c r="A341" t="s">
        <v>0</v>
      </c>
      <c r="B341" s="2">
        <v>44637</v>
      </c>
      <c r="C341" t="s">
        <v>17</v>
      </c>
      <c r="D341" t="s">
        <v>384</v>
      </c>
      <c r="E341" t="s">
        <v>385</v>
      </c>
      <c r="F341" t="s">
        <v>4</v>
      </c>
      <c r="G341" t="s">
        <v>5</v>
      </c>
      <c r="H341" s="3">
        <v>10689</v>
      </c>
      <c r="I341" t="s">
        <v>386</v>
      </c>
      <c r="J341" t="s">
        <v>387</v>
      </c>
      <c r="K341" t="s">
        <v>8</v>
      </c>
      <c r="L341" t="s">
        <v>8</v>
      </c>
      <c r="M341" t="s">
        <v>8</v>
      </c>
      <c r="N341" t="s">
        <v>388</v>
      </c>
      <c r="O341" t="s">
        <v>389</v>
      </c>
      <c r="P341" t="s">
        <v>12</v>
      </c>
    </row>
    <row r="342" spans="1:16" x14ac:dyDescent="0.25">
      <c r="A342" t="s">
        <v>0</v>
      </c>
      <c r="B342" s="2">
        <v>44637</v>
      </c>
      <c r="C342" s="5" t="s">
        <v>17</v>
      </c>
      <c r="D342" t="s">
        <v>539</v>
      </c>
      <c r="E342" t="s">
        <v>540</v>
      </c>
      <c r="F342" t="s">
        <v>4</v>
      </c>
      <c r="G342" t="s">
        <v>5</v>
      </c>
      <c r="H342" s="3">
        <v>7006.45</v>
      </c>
      <c r="I342" t="s">
        <v>541</v>
      </c>
      <c r="J342" t="s">
        <v>542</v>
      </c>
      <c r="K342" t="s">
        <v>8</v>
      </c>
      <c r="L342" t="s">
        <v>586</v>
      </c>
      <c r="M342" t="s">
        <v>8</v>
      </c>
      <c r="N342" t="s">
        <v>587</v>
      </c>
      <c r="O342" t="s">
        <v>16</v>
      </c>
      <c r="P342" t="s">
        <v>12</v>
      </c>
    </row>
    <row r="343" spans="1:16" x14ac:dyDescent="0.25">
      <c r="A343" t="s">
        <v>0</v>
      </c>
      <c r="B343" s="2">
        <v>44637</v>
      </c>
      <c r="C343" s="5" t="s">
        <v>17</v>
      </c>
      <c r="D343" t="s">
        <v>697</v>
      </c>
      <c r="E343" t="s">
        <v>698</v>
      </c>
      <c r="F343" t="s">
        <v>4</v>
      </c>
      <c r="G343" t="s">
        <v>5</v>
      </c>
      <c r="H343" s="3">
        <v>4780.07</v>
      </c>
      <c r="I343" t="s">
        <v>699</v>
      </c>
      <c r="J343" t="s">
        <v>700</v>
      </c>
      <c r="K343" t="s">
        <v>8</v>
      </c>
      <c r="L343" t="s">
        <v>701</v>
      </c>
      <c r="M343" t="s">
        <v>8</v>
      </c>
      <c r="N343" t="s">
        <v>702</v>
      </c>
      <c r="O343" t="s">
        <v>16</v>
      </c>
      <c r="P343" t="s">
        <v>1</v>
      </c>
    </row>
    <row r="344" spans="1:16" x14ac:dyDescent="0.25">
      <c r="A344" t="s">
        <v>0</v>
      </c>
      <c r="B344" s="2">
        <v>44637</v>
      </c>
      <c r="C344" s="5" t="s">
        <v>17</v>
      </c>
      <c r="D344" t="s">
        <v>697</v>
      </c>
      <c r="E344" t="s">
        <v>698</v>
      </c>
      <c r="F344" t="s">
        <v>4</v>
      </c>
      <c r="G344" t="s">
        <v>5</v>
      </c>
      <c r="H344" s="3">
        <v>4780.07</v>
      </c>
      <c r="I344" t="s">
        <v>703</v>
      </c>
      <c r="J344" t="s">
        <v>700</v>
      </c>
      <c r="K344" t="s">
        <v>8</v>
      </c>
      <c r="L344" t="s">
        <v>704</v>
      </c>
      <c r="M344" t="s">
        <v>8</v>
      </c>
      <c r="N344" t="s">
        <v>705</v>
      </c>
      <c r="O344" t="s">
        <v>16</v>
      </c>
      <c r="P344" t="s">
        <v>1</v>
      </c>
    </row>
    <row r="345" spans="1:16" x14ac:dyDescent="0.25">
      <c r="A345" t="s">
        <v>0</v>
      </c>
      <c r="B345" s="2">
        <v>44637</v>
      </c>
      <c r="C345" s="5" t="s">
        <v>17</v>
      </c>
      <c r="D345" t="s">
        <v>539</v>
      </c>
      <c r="E345" t="s">
        <v>540</v>
      </c>
      <c r="F345" t="s">
        <v>4</v>
      </c>
      <c r="G345" t="s">
        <v>5</v>
      </c>
      <c r="H345" s="3">
        <v>3000</v>
      </c>
      <c r="I345" t="s">
        <v>839</v>
      </c>
      <c r="J345" t="s">
        <v>542</v>
      </c>
      <c r="K345" t="s">
        <v>8</v>
      </c>
      <c r="L345" t="s">
        <v>840</v>
      </c>
      <c r="M345" t="s">
        <v>8</v>
      </c>
      <c r="N345" t="s">
        <v>841</v>
      </c>
      <c r="O345" t="s">
        <v>29</v>
      </c>
      <c r="P345" t="s">
        <v>12</v>
      </c>
    </row>
    <row r="346" spans="1:16" x14ac:dyDescent="0.25">
      <c r="A346" t="s">
        <v>0</v>
      </c>
      <c r="B346" s="2">
        <v>44637</v>
      </c>
      <c r="C346" s="5" t="s">
        <v>17</v>
      </c>
      <c r="D346" t="s">
        <v>384</v>
      </c>
      <c r="E346" t="s">
        <v>385</v>
      </c>
      <c r="F346" t="s">
        <v>4</v>
      </c>
      <c r="G346" t="s">
        <v>5</v>
      </c>
      <c r="H346" s="3">
        <v>2077.77</v>
      </c>
      <c r="I346" t="s">
        <v>949</v>
      </c>
      <c r="J346" t="s">
        <v>387</v>
      </c>
      <c r="K346" t="s">
        <v>8</v>
      </c>
      <c r="L346" t="s">
        <v>8</v>
      </c>
      <c r="M346" t="s">
        <v>8</v>
      </c>
      <c r="N346" t="s">
        <v>388</v>
      </c>
      <c r="O346" t="s">
        <v>389</v>
      </c>
      <c r="P346" t="s">
        <v>1</v>
      </c>
    </row>
    <row r="347" spans="1:16" x14ac:dyDescent="0.25">
      <c r="A347" t="s">
        <v>0</v>
      </c>
      <c r="B347" s="2">
        <v>44637</v>
      </c>
      <c r="C347" s="5" t="s">
        <v>17</v>
      </c>
      <c r="D347" t="s">
        <v>1244</v>
      </c>
      <c r="E347" t="s">
        <v>1245</v>
      </c>
      <c r="F347" t="s">
        <v>4</v>
      </c>
      <c r="G347" t="s">
        <v>5</v>
      </c>
      <c r="H347" s="3">
        <v>900</v>
      </c>
      <c r="I347" t="s">
        <v>1253</v>
      </c>
      <c r="J347" t="s">
        <v>1247</v>
      </c>
      <c r="K347" t="s">
        <v>8</v>
      </c>
      <c r="L347" t="s">
        <v>1254</v>
      </c>
      <c r="M347" t="s">
        <v>8</v>
      </c>
      <c r="N347" t="s">
        <v>1255</v>
      </c>
      <c r="O347" t="s">
        <v>29</v>
      </c>
      <c r="P347" t="s">
        <v>1</v>
      </c>
    </row>
    <row r="348" spans="1:16" x14ac:dyDescent="0.25">
      <c r="A348" t="s">
        <v>0</v>
      </c>
      <c r="B348" s="2">
        <v>44637</v>
      </c>
      <c r="C348" s="5" t="s">
        <v>17</v>
      </c>
      <c r="D348" t="s">
        <v>384</v>
      </c>
      <c r="E348" t="s">
        <v>385</v>
      </c>
      <c r="F348" t="s">
        <v>4</v>
      </c>
      <c r="G348" t="s">
        <v>5</v>
      </c>
      <c r="H348" s="3">
        <v>161.02000000000001</v>
      </c>
      <c r="I348" t="s">
        <v>1823</v>
      </c>
      <c r="J348" t="s">
        <v>387</v>
      </c>
      <c r="K348" t="s">
        <v>8</v>
      </c>
      <c r="L348" t="s">
        <v>8</v>
      </c>
      <c r="M348" t="s">
        <v>8</v>
      </c>
      <c r="N348" t="s">
        <v>388</v>
      </c>
      <c r="O348" t="s">
        <v>389</v>
      </c>
      <c r="P348" t="s">
        <v>43</v>
      </c>
    </row>
    <row r="349" spans="1:16" x14ac:dyDescent="0.25">
      <c r="A349" t="s">
        <v>0</v>
      </c>
      <c r="B349" s="2">
        <v>44637</v>
      </c>
      <c r="C349" s="5" t="s">
        <v>17</v>
      </c>
      <c r="D349" t="s">
        <v>384</v>
      </c>
      <c r="E349" t="s">
        <v>385</v>
      </c>
      <c r="F349" t="s">
        <v>4</v>
      </c>
      <c r="G349" t="s">
        <v>5</v>
      </c>
      <c r="H349" s="3">
        <v>145.80000000000001</v>
      </c>
      <c r="I349" t="s">
        <v>1856</v>
      </c>
      <c r="J349" t="s">
        <v>387</v>
      </c>
      <c r="K349" t="s">
        <v>8</v>
      </c>
      <c r="L349" t="s">
        <v>8</v>
      </c>
      <c r="M349" t="s">
        <v>8</v>
      </c>
      <c r="N349" t="s">
        <v>388</v>
      </c>
      <c r="O349" t="s">
        <v>389</v>
      </c>
      <c r="P349" t="s">
        <v>77</v>
      </c>
    </row>
    <row r="350" spans="1:16" x14ac:dyDescent="0.25">
      <c r="A350" t="s">
        <v>0</v>
      </c>
      <c r="B350" s="2">
        <v>44637</v>
      </c>
      <c r="C350" s="5" t="s">
        <v>17</v>
      </c>
      <c r="D350" t="s">
        <v>1597</v>
      </c>
      <c r="E350" t="s">
        <v>1598</v>
      </c>
      <c r="F350" t="s">
        <v>4</v>
      </c>
      <c r="G350" t="s">
        <v>5</v>
      </c>
      <c r="H350" s="3">
        <v>67.48</v>
      </c>
      <c r="I350" t="s">
        <v>1999</v>
      </c>
      <c r="J350" t="s">
        <v>387</v>
      </c>
      <c r="K350" t="s">
        <v>8</v>
      </c>
      <c r="L350" t="s">
        <v>8</v>
      </c>
      <c r="M350" t="s">
        <v>8</v>
      </c>
      <c r="N350" t="s">
        <v>388</v>
      </c>
      <c r="O350" t="s">
        <v>389</v>
      </c>
      <c r="P350" t="s">
        <v>22</v>
      </c>
    </row>
    <row r="351" spans="1:16" x14ac:dyDescent="0.25">
      <c r="A351" t="s">
        <v>0</v>
      </c>
      <c r="B351" s="2">
        <v>44637</v>
      </c>
      <c r="C351" s="5" t="s">
        <v>17</v>
      </c>
      <c r="D351" t="s">
        <v>1207</v>
      </c>
      <c r="E351" t="s">
        <v>1208</v>
      </c>
      <c r="F351" t="s">
        <v>4</v>
      </c>
      <c r="G351" t="s">
        <v>5</v>
      </c>
      <c r="H351" s="3">
        <v>60.4</v>
      </c>
      <c r="I351" t="s">
        <v>2019</v>
      </c>
      <c r="J351" t="s">
        <v>1569</v>
      </c>
      <c r="K351" t="s">
        <v>8</v>
      </c>
      <c r="L351" t="s">
        <v>2020</v>
      </c>
      <c r="M351" t="s">
        <v>8</v>
      </c>
      <c r="N351" t="s">
        <v>2021</v>
      </c>
      <c r="O351" t="s">
        <v>16</v>
      </c>
      <c r="P351" t="s">
        <v>82</v>
      </c>
    </row>
    <row r="352" spans="1:16" x14ac:dyDescent="0.25">
      <c r="A352" t="s">
        <v>0</v>
      </c>
      <c r="B352" s="2">
        <v>44637</v>
      </c>
      <c r="C352" s="5" t="s">
        <v>17</v>
      </c>
      <c r="D352" t="s">
        <v>384</v>
      </c>
      <c r="E352" t="s">
        <v>385</v>
      </c>
      <c r="F352" t="s">
        <v>4</v>
      </c>
      <c r="G352" t="s">
        <v>5</v>
      </c>
      <c r="H352" s="3">
        <v>12</v>
      </c>
      <c r="I352" t="s">
        <v>2143</v>
      </c>
      <c r="J352" t="s">
        <v>387</v>
      </c>
      <c r="K352" t="s">
        <v>8</v>
      </c>
      <c r="L352" t="s">
        <v>8</v>
      </c>
      <c r="M352" t="s">
        <v>8</v>
      </c>
      <c r="N352" t="s">
        <v>388</v>
      </c>
      <c r="O352" t="s">
        <v>389</v>
      </c>
      <c r="P352" t="s">
        <v>17</v>
      </c>
    </row>
    <row r="353" spans="1:16" x14ac:dyDescent="0.25">
      <c r="A353" t="s">
        <v>0</v>
      </c>
      <c r="B353" s="2">
        <v>44637</v>
      </c>
      <c r="C353" s="5" t="s">
        <v>17</v>
      </c>
      <c r="D353" t="s">
        <v>539</v>
      </c>
      <c r="E353" t="s">
        <v>540</v>
      </c>
      <c r="F353" t="s">
        <v>4</v>
      </c>
      <c r="G353" t="s">
        <v>5</v>
      </c>
      <c r="H353" s="3">
        <v>-7006.45</v>
      </c>
      <c r="I353" t="s">
        <v>541</v>
      </c>
      <c r="J353" t="s">
        <v>542</v>
      </c>
      <c r="K353" t="s">
        <v>8</v>
      </c>
      <c r="L353" t="s">
        <v>586</v>
      </c>
      <c r="M353" t="s">
        <v>8</v>
      </c>
      <c r="N353" t="s">
        <v>2264</v>
      </c>
      <c r="O353" t="s">
        <v>16</v>
      </c>
      <c r="P353" t="s">
        <v>12</v>
      </c>
    </row>
    <row r="354" spans="1:16" x14ac:dyDescent="0.25">
      <c r="A354" t="s">
        <v>0</v>
      </c>
      <c r="B354" s="2">
        <v>44638</v>
      </c>
      <c r="C354" s="5" t="s">
        <v>17</v>
      </c>
      <c r="D354" t="s">
        <v>1454</v>
      </c>
      <c r="E354" t="s">
        <v>1455</v>
      </c>
      <c r="F354" t="s">
        <v>4</v>
      </c>
      <c r="G354" t="s">
        <v>5</v>
      </c>
      <c r="H354" s="3">
        <v>526.27</v>
      </c>
      <c r="I354" t="s">
        <v>1461</v>
      </c>
      <c r="J354" t="s">
        <v>322</v>
      </c>
      <c r="K354" t="s">
        <v>8</v>
      </c>
      <c r="L354" t="s">
        <v>8</v>
      </c>
      <c r="M354" t="s">
        <v>8</v>
      </c>
      <c r="N354" t="s">
        <v>1462</v>
      </c>
      <c r="O354" t="s">
        <v>121</v>
      </c>
      <c r="P354" t="s">
        <v>1458</v>
      </c>
    </row>
    <row r="355" spans="1:16" x14ac:dyDescent="0.25">
      <c r="A355" t="s">
        <v>0</v>
      </c>
      <c r="B355" s="2">
        <v>44641</v>
      </c>
      <c r="C355" s="5" t="s">
        <v>17</v>
      </c>
      <c r="D355" t="s">
        <v>2</v>
      </c>
      <c r="E355" t="s">
        <v>3</v>
      </c>
      <c r="F355" t="s">
        <v>4</v>
      </c>
      <c r="G355" t="s">
        <v>5</v>
      </c>
      <c r="H355" s="3">
        <v>9380.1299999999992</v>
      </c>
      <c r="I355" t="s">
        <v>490</v>
      </c>
      <c r="J355" t="s">
        <v>487</v>
      </c>
      <c r="K355" t="s">
        <v>8</v>
      </c>
      <c r="L355" t="s">
        <v>491</v>
      </c>
      <c r="M355" t="s">
        <v>8</v>
      </c>
      <c r="N355" t="s">
        <v>492</v>
      </c>
      <c r="O355" t="s">
        <v>16</v>
      </c>
      <c r="P355" t="s">
        <v>1</v>
      </c>
    </row>
    <row r="356" spans="1:16" x14ac:dyDescent="0.25">
      <c r="A356" t="s">
        <v>0</v>
      </c>
      <c r="B356" s="2">
        <v>44641</v>
      </c>
      <c r="C356" s="5" t="s">
        <v>17</v>
      </c>
      <c r="D356" t="s">
        <v>539</v>
      </c>
      <c r="E356" t="s">
        <v>540</v>
      </c>
      <c r="F356" t="s">
        <v>4</v>
      </c>
      <c r="G356" t="s">
        <v>5</v>
      </c>
      <c r="H356" s="3">
        <v>7006.45</v>
      </c>
      <c r="I356" t="s">
        <v>541</v>
      </c>
      <c r="J356" t="s">
        <v>542</v>
      </c>
      <c r="K356" t="s">
        <v>8</v>
      </c>
      <c r="L356" t="s">
        <v>586</v>
      </c>
      <c r="M356" t="s">
        <v>8</v>
      </c>
      <c r="N356" t="s">
        <v>588</v>
      </c>
      <c r="O356" t="s">
        <v>16</v>
      </c>
      <c r="P356" t="s">
        <v>12</v>
      </c>
    </row>
    <row r="357" spans="1:16" x14ac:dyDescent="0.25">
      <c r="A357" t="s">
        <v>0</v>
      </c>
      <c r="B357" s="2">
        <v>44641</v>
      </c>
      <c r="C357" s="5" t="s">
        <v>17</v>
      </c>
      <c r="D357" t="s">
        <v>1207</v>
      </c>
      <c r="E357" t="s">
        <v>1208</v>
      </c>
      <c r="F357" t="s">
        <v>4</v>
      </c>
      <c r="G357" t="s">
        <v>5</v>
      </c>
      <c r="H357" s="3">
        <v>661.83</v>
      </c>
      <c r="I357" t="s">
        <v>1394</v>
      </c>
      <c r="J357" t="s">
        <v>1208</v>
      </c>
      <c r="K357" t="s">
        <v>8</v>
      </c>
      <c r="L357" t="s">
        <v>8</v>
      </c>
      <c r="M357" t="s">
        <v>8</v>
      </c>
      <c r="N357" t="s">
        <v>1395</v>
      </c>
      <c r="O357" t="s">
        <v>121</v>
      </c>
      <c r="P357" t="s">
        <v>282</v>
      </c>
    </row>
    <row r="358" spans="1:16" x14ac:dyDescent="0.25">
      <c r="A358" t="s">
        <v>0</v>
      </c>
      <c r="B358" s="2">
        <v>44641</v>
      </c>
      <c r="C358" s="5" t="s">
        <v>17</v>
      </c>
      <c r="D358" t="s">
        <v>152</v>
      </c>
      <c r="E358" t="s">
        <v>153</v>
      </c>
      <c r="F358" t="s">
        <v>4</v>
      </c>
      <c r="G358" t="s">
        <v>5</v>
      </c>
      <c r="H358" s="3">
        <v>469.45</v>
      </c>
      <c r="I358" t="s">
        <v>1497</v>
      </c>
      <c r="J358" t="s">
        <v>1208</v>
      </c>
      <c r="K358" t="s">
        <v>8</v>
      </c>
      <c r="L358" t="s">
        <v>8</v>
      </c>
      <c r="M358" t="s">
        <v>8</v>
      </c>
      <c r="N358" t="s">
        <v>1395</v>
      </c>
      <c r="O358" t="s">
        <v>121</v>
      </c>
      <c r="P358" t="s">
        <v>1113</v>
      </c>
    </row>
    <row r="359" spans="1:16" x14ac:dyDescent="0.25">
      <c r="A359" t="s">
        <v>0</v>
      </c>
      <c r="B359" s="2">
        <v>44643</v>
      </c>
      <c r="C359" s="5" t="s">
        <v>17</v>
      </c>
      <c r="D359" t="s">
        <v>1373</v>
      </c>
      <c r="E359" t="s">
        <v>1374</v>
      </c>
      <c r="F359" t="s">
        <v>4</v>
      </c>
      <c r="G359" t="s">
        <v>5</v>
      </c>
      <c r="H359" s="3">
        <v>287.91000000000003</v>
      </c>
      <c r="I359" t="s">
        <v>1707</v>
      </c>
      <c r="J359" t="s">
        <v>1708</v>
      </c>
      <c r="K359" t="s">
        <v>8</v>
      </c>
      <c r="L359" t="s">
        <v>8</v>
      </c>
      <c r="M359" t="s">
        <v>8</v>
      </c>
      <c r="N359" t="s">
        <v>1709</v>
      </c>
      <c r="O359" t="s">
        <v>389</v>
      </c>
      <c r="P359" t="s">
        <v>1</v>
      </c>
    </row>
    <row r="360" spans="1:16" x14ac:dyDescent="0.25">
      <c r="A360" t="s">
        <v>0</v>
      </c>
      <c r="B360" s="2">
        <v>44643</v>
      </c>
      <c r="C360" s="5" t="s">
        <v>17</v>
      </c>
      <c r="D360" t="s">
        <v>1597</v>
      </c>
      <c r="E360" t="s">
        <v>1598</v>
      </c>
      <c r="F360" t="s">
        <v>4</v>
      </c>
      <c r="G360" t="s">
        <v>5</v>
      </c>
      <c r="H360" s="3">
        <v>107.64</v>
      </c>
      <c r="I360" t="s">
        <v>1707</v>
      </c>
      <c r="J360" t="s">
        <v>1708</v>
      </c>
      <c r="K360" t="s">
        <v>8</v>
      </c>
      <c r="L360" t="s">
        <v>8</v>
      </c>
      <c r="M360" t="s">
        <v>8</v>
      </c>
      <c r="N360" t="s">
        <v>1709</v>
      </c>
      <c r="O360" t="s">
        <v>389</v>
      </c>
      <c r="P360" t="s">
        <v>12</v>
      </c>
    </row>
    <row r="361" spans="1:16" x14ac:dyDescent="0.25">
      <c r="A361" t="s">
        <v>0</v>
      </c>
      <c r="B361" s="2">
        <v>44643</v>
      </c>
      <c r="C361" s="5" t="s">
        <v>17</v>
      </c>
      <c r="D361" t="s">
        <v>384</v>
      </c>
      <c r="E361" t="s">
        <v>385</v>
      </c>
      <c r="F361" t="s">
        <v>4</v>
      </c>
      <c r="G361" t="s">
        <v>5</v>
      </c>
      <c r="H361" s="3">
        <v>20</v>
      </c>
      <c r="I361" t="s">
        <v>2127</v>
      </c>
      <c r="J361" t="s">
        <v>1806</v>
      </c>
      <c r="K361" t="s">
        <v>8</v>
      </c>
      <c r="L361" t="s">
        <v>8</v>
      </c>
      <c r="M361" t="s">
        <v>8</v>
      </c>
      <c r="N361" t="s">
        <v>2128</v>
      </c>
      <c r="O361" t="s">
        <v>389</v>
      </c>
      <c r="P361" t="s">
        <v>1</v>
      </c>
    </row>
    <row r="362" spans="1:16" x14ac:dyDescent="0.25">
      <c r="A362" t="s">
        <v>0</v>
      </c>
      <c r="B362" s="2">
        <v>44648</v>
      </c>
      <c r="C362" s="5" t="s">
        <v>17</v>
      </c>
      <c r="D362" t="s">
        <v>294</v>
      </c>
      <c r="E362" t="s">
        <v>295</v>
      </c>
      <c r="F362" t="s">
        <v>4</v>
      </c>
      <c r="G362" t="s">
        <v>5</v>
      </c>
      <c r="H362" s="3">
        <v>2747.95</v>
      </c>
      <c r="I362" t="s">
        <v>853</v>
      </c>
      <c r="J362" t="s">
        <v>297</v>
      </c>
      <c r="K362" t="s">
        <v>8</v>
      </c>
      <c r="L362" t="s">
        <v>854</v>
      </c>
      <c r="M362" t="s">
        <v>8</v>
      </c>
      <c r="N362" t="s">
        <v>855</v>
      </c>
      <c r="O362" t="s">
        <v>300</v>
      </c>
      <c r="P362" t="s">
        <v>17</v>
      </c>
    </row>
    <row r="363" spans="1:16" x14ac:dyDescent="0.25">
      <c r="A363" t="s">
        <v>0</v>
      </c>
      <c r="B363" s="2">
        <v>44649</v>
      </c>
      <c r="C363" t="s">
        <v>17</v>
      </c>
      <c r="D363" t="s">
        <v>2</v>
      </c>
      <c r="E363" t="s">
        <v>3</v>
      </c>
      <c r="F363" t="s">
        <v>4</v>
      </c>
      <c r="G363" t="s">
        <v>5</v>
      </c>
      <c r="H363" s="3">
        <v>322580.15000000002</v>
      </c>
      <c r="I363" t="s">
        <v>18</v>
      </c>
      <c r="J363" t="s">
        <v>7</v>
      </c>
      <c r="K363" t="s">
        <v>8</v>
      </c>
      <c r="L363" t="s">
        <v>19</v>
      </c>
      <c r="M363" t="s">
        <v>8</v>
      </c>
      <c r="N363" t="s">
        <v>20</v>
      </c>
      <c r="O363" t="s">
        <v>21</v>
      </c>
      <c r="P363" t="s">
        <v>1</v>
      </c>
    </row>
    <row r="364" spans="1:16" x14ac:dyDescent="0.25">
      <c r="A364" t="s">
        <v>0</v>
      </c>
      <c r="B364" s="2">
        <v>44649</v>
      </c>
      <c r="C364" t="s">
        <v>17</v>
      </c>
      <c r="D364" t="s">
        <v>63</v>
      </c>
      <c r="E364" t="s">
        <v>64</v>
      </c>
      <c r="F364" t="s">
        <v>4</v>
      </c>
      <c r="G364" t="s">
        <v>5</v>
      </c>
      <c r="H364" s="3">
        <v>108839.84</v>
      </c>
      <c r="I364" t="s">
        <v>65</v>
      </c>
      <c r="J364" t="s">
        <v>66</v>
      </c>
      <c r="K364" t="s">
        <v>8</v>
      </c>
      <c r="L364" t="s">
        <v>8</v>
      </c>
      <c r="M364" t="s">
        <v>8</v>
      </c>
      <c r="N364" t="s">
        <v>75</v>
      </c>
      <c r="O364" t="s">
        <v>57</v>
      </c>
      <c r="P364" t="s">
        <v>76</v>
      </c>
    </row>
    <row r="365" spans="1:16" x14ac:dyDescent="0.25">
      <c r="A365" t="s">
        <v>0</v>
      </c>
      <c r="B365" s="2">
        <v>44649</v>
      </c>
      <c r="C365" t="s">
        <v>17</v>
      </c>
      <c r="D365" t="s">
        <v>63</v>
      </c>
      <c r="E365" t="s">
        <v>64</v>
      </c>
      <c r="F365" t="s">
        <v>4</v>
      </c>
      <c r="G365" t="s">
        <v>5</v>
      </c>
      <c r="H365" s="3">
        <v>58622.92</v>
      </c>
      <c r="I365" t="s">
        <v>114</v>
      </c>
      <c r="J365" t="s">
        <v>66</v>
      </c>
      <c r="K365" t="s">
        <v>8</v>
      </c>
      <c r="L365" t="s">
        <v>8</v>
      </c>
      <c r="M365" t="s">
        <v>8</v>
      </c>
      <c r="N365" t="s">
        <v>75</v>
      </c>
      <c r="O365" t="s">
        <v>57</v>
      </c>
      <c r="P365" t="s">
        <v>149</v>
      </c>
    </row>
    <row r="366" spans="1:16" x14ac:dyDescent="0.25">
      <c r="A366" t="s">
        <v>0</v>
      </c>
      <c r="B366" s="2">
        <v>44649</v>
      </c>
      <c r="C366" t="s">
        <v>17</v>
      </c>
      <c r="D366" t="s">
        <v>122</v>
      </c>
      <c r="E366" t="s">
        <v>123</v>
      </c>
      <c r="F366" t="s">
        <v>4</v>
      </c>
      <c r="G366" t="s">
        <v>5</v>
      </c>
      <c r="H366" s="3">
        <v>46665.96</v>
      </c>
      <c r="I366" t="s">
        <v>124</v>
      </c>
      <c r="J366" t="s">
        <v>66</v>
      </c>
      <c r="K366" t="s">
        <v>8</v>
      </c>
      <c r="L366" t="s">
        <v>8</v>
      </c>
      <c r="M366" t="s">
        <v>8</v>
      </c>
      <c r="N366" t="s">
        <v>75</v>
      </c>
      <c r="O366" t="s">
        <v>57</v>
      </c>
      <c r="P366" t="s">
        <v>165</v>
      </c>
    </row>
    <row r="367" spans="1:16" x14ac:dyDescent="0.25">
      <c r="A367" t="s">
        <v>0</v>
      </c>
      <c r="B367" s="2">
        <v>44649</v>
      </c>
      <c r="C367" t="s">
        <v>17</v>
      </c>
      <c r="D367" t="s">
        <v>173</v>
      </c>
      <c r="E367" t="s">
        <v>174</v>
      </c>
      <c r="F367" t="s">
        <v>4</v>
      </c>
      <c r="G367" t="s">
        <v>5</v>
      </c>
      <c r="H367" s="3">
        <v>27000.97</v>
      </c>
      <c r="I367" t="s">
        <v>175</v>
      </c>
      <c r="J367" t="s">
        <v>66</v>
      </c>
      <c r="K367" t="s">
        <v>8</v>
      </c>
      <c r="L367" t="s">
        <v>8</v>
      </c>
      <c r="M367" t="s">
        <v>8</v>
      </c>
      <c r="N367" t="s">
        <v>75</v>
      </c>
      <c r="O367" t="s">
        <v>57</v>
      </c>
      <c r="P367" t="s">
        <v>125</v>
      </c>
    </row>
    <row r="368" spans="1:16" x14ac:dyDescent="0.25">
      <c r="A368" t="s">
        <v>0</v>
      </c>
      <c r="B368" s="2">
        <v>44649</v>
      </c>
      <c r="C368" t="s">
        <v>17</v>
      </c>
      <c r="D368" t="s">
        <v>169</v>
      </c>
      <c r="E368" t="s">
        <v>170</v>
      </c>
      <c r="F368" t="s">
        <v>4</v>
      </c>
      <c r="G368" t="s">
        <v>5</v>
      </c>
      <c r="H368" s="3">
        <v>24893.62</v>
      </c>
      <c r="I368" t="s">
        <v>171</v>
      </c>
      <c r="J368" t="s">
        <v>66</v>
      </c>
      <c r="K368" t="s">
        <v>8</v>
      </c>
      <c r="L368" t="s">
        <v>8</v>
      </c>
      <c r="M368" t="s">
        <v>8</v>
      </c>
      <c r="N368" t="s">
        <v>75</v>
      </c>
      <c r="O368" t="s">
        <v>57</v>
      </c>
      <c r="P368" t="s">
        <v>228</v>
      </c>
    </row>
    <row r="369" spans="1:16" x14ac:dyDescent="0.25">
      <c r="A369" t="s">
        <v>0</v>
      </c>
      <c r="B369" s="2">
        <v>44649</v>
      </c>
      <c r="C369" t="s">
        <v>17</v>
      </c>
      <c r="D369" t="s">
        <v>229</v>
      </c>
      <c r="E369" t="s">
        <v>230</v>
      </c>
      <c r="F369" t="s">
        <v>4</v>
      </c>
      <c r="G369" t="s">
        <v>5</v>
      </c>
      <c r="H369" s="3">
        <v>23576.52</v>
      </c>
      <c r="I369" t="s">
        <v>231</v>
      </c>
      <c r="J369" t="s">
        <v>232</v>
      </c>
      <c r="K369" t="s">
        <v>8</v>
      </c>
      <c r="L369" t="s">
        <v>8</v>
      </c>
      <c r="M369" t="s">
        <v>8</v>
      </c>
      <c r="N369" t="s">
        <v>237</v>
      </c>
      <c r="O369" t="s">
        <v>234</v>
      </c>
      <c r="P369" t="s">
        <v>238</v>
      </c>
    </row>
    <row r="370" spans="1:16" x14ac:dyDescent="0.25">
      <c r="A370" t="s">
        <v>0</v>
      </c>
      <c r="B370" s="2">
        <v>44649</v>
      </c>
      <c r="C370" t="s">
        <v>17</v>
      </c>
      <c r="D370" t="s">
        <v>59</v>
      </c>
      <c r="E370" t="s">
        <v>60</v>
      </c>
      <c r="F370" t="s">
        <v>4</v>
      </c>
      <c r="G370" t="s">
        <v>5</v>
      </c>
      <c r="H370" s="3">
        <v>16446.150000000001</v>
      </c>
      <c r="I370" t="s">
        <v>61</v>
      </c>
      <c r="J370" t="s">
        <v>66</v>
      </c>
      <c r="K370" t="s">
        <v>8</v>
      </c>
      <c r="L370" t="s">
        <v>8</v>
      </c>
      <c r="M370" t="s">
        <v>8</v>
      </c>
      <c r="N370" t="s">
        <v>75</v>
      </c>
      <c r="O370" t="s">
        <v>57</v>
      </c>
      <c r="P370" t="s">
        <v>326</v>
      </c>
    </row>
    <row r="371" spans="1:16" x14ac:dyDescent="0.25">
      <c r="A371" t="s">
        <v>0</v>
      </c>
      <c r="B371" s="2">
        <v>44649</v>
      </c>
      <c r="C371" t="s">
        <v>17</v>
      </c>
      <c r="D371" t="s">
        <v>273</v>
      </c>
      <c r="E371" t="s">
        <v>274</v>
      </c>
      <c r="F371" t="s">
        <v>4</v>
      </c>
      <c r="G371" t="s">
        <v>5</v>
      </c>
      <c r="H371" s="3">
        <v>15428.7</v>
      </c>
      <c r="I371" t="s">
        <v>275</v>
      </c>
      <c r="J371" t="s">
        <v>66</v>
      </c>
      <c r="K371" t="s">
        <v>8</v>
      </c>
      <c r="L371" t="s">
        <v>8</v>
      </c>
      <c r="M371" t="s">
        <v>8</v>
      </c>
      <c r="N371" t="s">
        <v>75</v>
      </c>
      <c r="O371" t="s">
        <v>57</v>
      </c>
      <c r="P371" t="s">
        <v>167</v>
      </c>
    </row>
    <row r="372" spans="1:16" x14ac:dyDescent="0.25">
      <c r="A372" t="s">
        <v>0</v>
      </c>
      <c r="B372" s="2">
        <v>44649</v>
      </c>
      <c r="C372" s="5" t="s">
        <v>17</v>
      </c>
      <c r="D372" t="s">
        <v>507</v>
      </c>
      <c r="E372" t="s">
        <v>508</v>
      </c>
      <c r="F372" t="s">
        <v>4</v>
      </c>
      <c r="G372" t="s">
        <v>5</v>
      </c>
      <c r="H372" s="3">
        <v>9033.7800000000007</v>
      </c>
      <c r="I372" t="s">
        <v>509</v>
      </c>
      <c r="J372" t="s">
        <v>66</v>
      </c>
      <c r="K372" t="s">
        <v>8</v>
      </c>
      <c r="L372" t="s">
        <v>8</v>
      </c>
      <c r="M372" t="s">
        <v>8</v>
      </c>
      <c r="N372" t="s">
        <v>75</v>
      </c>
      <c r="O372" t="s">
        <v>57</v>
      </c>
      <c r="P372" t="s">
        <v>307</v>
      </c>
    </row>
    <row r="373" spans="1:16" x14ac:dyDescent="0.25">
      <c r="A373" t="s">
        <v>0</v>
      </c>
      <c r="B373" s="2">
        <v>44649</v>
      </c>
      <c r="C373" s="5" t="s">
        <v>17</v>
      </c>
      <c r="D373" t="s">
        <v>169</v>
      </c>
      <c r="E373" t="s">
        <v>170</v>
      </c>
      <c r="F373" t="s">
        <v>4</v>
      </c>
      <c r="G373" t="s">
        <v>5</v>
      </c>
      <c r="H373" s="3">
        <v>8415.69</v>
      </c>
      <c r="I373" t="s">
        <v>213</v>
      </c>
      <c r="J373" t="s">
        <v>66</v>
      </c>
      <c r="K373" t="s">
        <v>8</v>
      </c>
      <c r="L373" t="s">
        <v>8</v>
      </c>
      <c r="M373" t="s">
        <v>8</v>
      </c>
      <c r="N373" t="s">
        <v>75</v>
      </c>
      <c r="O373" t="s">
        <v>57</v>
      </c>
      <c r="P373" t="s">
        <v>84</v>
      </c>
    </row>
    <row r="374" spans="1:16" x14ac:dyDescent="0.25">
      <c r="A374" t="s">
        <v>0</v>
      </c>
      <c r="B374" s="2">
        <v>44649</v>
      </c>
      <c r="C374" s="5" t="s">
        <v>17</v>
      </c>
      <c r="D374" t="s">
        <v>380</v>
      </c>
      <c r="E374" t="s">
        <v>381</v>
      </c>
      <c r="F374" t="s">
        <v>4</v>
      </c>
      <c r="G374" t="s">
        <v>5</v>
      </c>
      <c r="H374" s="3">
        <v>7711.68</v>
      </c>
      <c r="I374" t="s">
        <v>382</v>
      </c>
      <c r="J374" t="s">
        <v>66</v>
      </c>
      <c r="K374" t="s">
        <v>8</v>
      </c>
      <c r="L374" t="s">
        <v>8</v>
      </c>
      <c r="M374" t="s">
        <v>8</v>
      </c>
      <c r="N374" t="s">
        <v>75</v>
      </c>
      <c r="O374" t="s">
        <v>57</v>
      </c>
      <c r="P374" t="s">
        <v>62</v>
      </c>
    </row>
    <row r="375" spans="1:16" x14ac:dyDescent="0.25">
      <c r="A375" t="s">
        <v>0</v>
      </c>
      <c r="B375" s="2">
        <v>44649</v>
      </c>
      <c r="C375" s="5" t="s">
        <v>17</v>
      </c>
      <c r="D375" t="s">
        <v>122</v>
      </c>
      <c r="E375" t="s">
        <v>123</v>
      </c>
      <c r="F375" t="s">
        <v>4</v>
      </c>
      <c r="G375" t="s">
        <v>5</v>
      </c>
      <c r="H375" s="3">
        <v>6784.06</v>
      </c>
      <c r="I375" t="s">
        <v>397</v>
      </c>
      <c r="J375" t="s">
        <v>66</v>
      </c>
      <c r="K375" t="s">
        <v>8</v>
      </c>
      <c r="L375" t="s">
        <v>8</v>
      </c>
      <c r="M375" t="s">
        <v>8</v>
      </c>
      <c r="N375" t="s">
        <v>75</v>
      </c>
      <c r="O375" t="s">
        <v>57</v>
      </c>
      <c r="P375" t="s">
        <v>183</v>
      </c>
    </row>
    <row r="376" spans="1:16" x14ac:dyDescent="0.25">
      <c r="A376" t="s">
        <v>0</v>
      </c>
      <c r="B376" s="2">
        <v>44649</v>
      </c>
      <c r="C376" s="5" t="s">
        <v>17</v>
      </c>
      <c r="D376" t="s">
        <v>316</v>
      </c>
      <c r="E376" t="s">
        <v>317</v>
      </c>
      <c r="F376" t="s">
        <v>4</v>
      </c>
      <c r="G376" t="s">
        <v>5</v>
      </c>
      <c r="H376" s="3">
        <v>6374.08</v>
      </c>
      <c r="I376" t="s">
        <v>318</v>
      </c>
      <c r="J376" t="s">
        <v>66</v>
      </c>
      <c r="K376" t="s">
        <v>8</v>
      </c>
      <c r="L376" t="s">
        <v>8</v>
      </c>
      <c r="M376" t="s">
        <v>8</v>
      </c>
      <c r="N376" t="s">
        <v>75</v>
      </c>
      <c r="O376" t="s">
        <v>57</v>
      </c>
      <c r="P376" t="s">
        <v>615</v>
      </c>
    </row>
    <row r="377" spans="1:16" x14ac:dyDescent="0.25">
      <c r="A377" t="s">
        <v>0</v>
      </c>
      <c r="B377" s="2">
        <v>44649</v>
      </c>
      <c r="C377" s="5" t="s">
        <v>17</v>
      </c>
      <c r="D377" t="s">
        <v>514</v>
      </c>
      <c r="E377" t="s">
        <v>515</v>
      </c>
      <c r="F377" t="s">
        <v>4</v>
      </c>
      <c r="G377" t="s">
        <v>5</v>
      </c>
      <c r="H377" s="3">
        <v>6361.36</v>
      </c>
      <c r="I377" t="s">
        <v>516</v>
      </c>
      <c r="J377" t="s">
        <v>66</v>
      </c>
      <c r="K377" t="s">
        <v>8</v>
      </c>
      <c r="L377" t="s">
        <v>8</v>
      </c>
      <c r="M377" t="s">
        <v>8</v>
      </c>
      <c r="N377" t="s">
        <v>616</v>
      </c>
      <c r="O377" t="s">
        <v>57</v>
      </c>
      <c r="P377" t="s">
        <v>617</v>
      </c>
    </row>
    <row r="378" spans="1:16" x14ac:dyDescent="0.25">
      <c r="A378" t="s">
        <v>0</v>
      </c>
      <c r="B378" s="2">
        <v>44649</v>
      </c>
      <c r="C378" s="5" t="s">
        <v>17</v>
      </c>
      <c r="D378" t="s">
        <v>534</v>
      </c>
      <c r="E378" t="s">
        <v>535</v>
      </c>
      <c r="F378" t="s">
        <v>4</v>
      </c>
      <c r="G378" t="s">
        <v>5</v>
      </c>
      <c r="H378" s="3">
        <v>6001.62</v>
      </c>
      <c r="I378" t="s">
        <v>536</v>
      </c>
      <c r="J378" t="s">
        <v>66</v>
      </c>
      <c r="K378" t="s">
        <v>8</v>
      </c>
      <c r="L378" t="s">
        <v>8</v>
      </c>
      <c r="M378" t="s">
        <v>8</v>
      </c>
      <c r="N378" t="s">
        <v>75</v>
      </c>
      <c r="O378" t="s">
        <v>57</v>
      </c>
      <c r="P378" t="s">
        <v>581</v>
      </c>
    </row>
    <row r="379" spans="1:16" x14ac:dyDescent="0.25">
      <c r="A379" t="s">
        <v>0</v>
      </c>
      <c r="B379" s="2">
        <v>44649</v>
      </c>
      <c r="C379" s="5" t="s">
        <v>17</v>
      </c>
      <c r="D379" t="s">
        <v>624</v>
      </c>
      <c r="E379" t="s">
        <v>625</v>
      </c>
      <c r="F379" t="s">
        <v>4</v>
      </c>
      <c r="G379" t="s">
        <v>5</v>
      </c>
      <c r="H379" s="3">
        <v>5969.74</v>
      </c>
      <c r="I379" t="s">
        <v>626</v>
      </c>
      <c r="J379" t="s">
        <v>66</v>
      </c>
      <c r="K379" t="s">
        <v>8</v>
      </c>
      <c r="L379" t="s">
        <v>8</v>
      </c>
      <c r="M379" t="s">
        <v>8</v>
      </c>
      <c r="N379" t="s">
        <v>75</v>
      </c>
      <c r="O379" t="s">
        <v>57</v>
      </c>
      <c r="P379" t="s">
        <v>329</v>
      </c>
    </row>
    <row r="380" spans="1:16" x14ac:dyDescent="0.25">
      <c r="A380" t="s">
        <v>0</v>
      </c>
      <c r="B380" s="2">
        <v>44649</v>
      </c>
      <c r="C380" s="5" t="s">
        <v>17</v>
      </c>
      <c r="D380" t="s">
        <v>591</v>
      </c>
      <c r="E380" t="s">
        <v>592</v>
      </c>
      <c r="F380" t="s">
        <v>4</v>
      </c>
      <c r="G380" t="s">
        <v>5</v>
      </c>
      <c r="H380" s="3">
        <v>5279.22</v>
      </c>
      <c r="I380" t="s">
        <v>682</v>
      </c>
      <c r="J380" t="s">
        <v>594</v>
      </c>
      <c r="K380" t="s">
        <v>8</v>
      </c>
      <c r="L380" t="s">
        <v>8</v>
      </c>
      <c r="M380" t="s">
        <v>8</v>
      </c>
      <c r="N380" t="s">
        <v>683</v>
      </c>
      <c r="O380" t="s">
        <v>34</v>
      </c>
      <c r="P380" t="s">
        <v>1</v>
      </c>
    </row>
    <row r="381" spans="1:16" x14ac:dyDescent="0.25">
      <c r="A381" t="s">
        <v>0</v>
      </c>
      <c r="B381" s="2">
        <v>44649</v>
      </c>
      <c r="C381" s="5" t="s">
        <v>17</v>
      </c>
      <c r="D381" t="s">
        <v>794</v>
      </c>
      <c r="E381" t="s">
        <v>795</v>
      </c>
      <c r="F381" t="s">
        <v>4</v>
      </c>
      <c r="G381" t="s">
        <v>5</v>
      </c>
      <c r="H381" s="3">
        <v>3396.12</v>
      </c>
      <c r="I381" t="s">
        <v>796</v>
      </c>
      <c r="J381" t="s">
        <v>232</v>
      </c>
      <c r="K381" t="s">
        <v>8</v>
      </c>
      <c r="L381" t="s">
        <v>8</v>
      </c>
      <c r="M381" t="s">
        <v>8</v>
      </c>
      <c r="N381" t="s">
        <v>237</v>
      </c>
      <c r="O381" t="s">
        <v>234</v>
      </c>
      <c r="P381" t="s">
        <v>798</v>
      </c>
    </row>
    <row r="382" spans="1:16" x14ac:dyDescent="0.25">
      <c r="A382" t="s">
        <v>0</v>
      </c>
      <c r="B382" s="2">
        <v>44649</v>
      </c>
      <c r="C382" s="5" t="s">
        <v>17</v>
      </c>
      <c r="D382" t="s">
        <v>769</v>
      </c>
      <c r="E382" t="s">
        <v>770</v>
      </c>
      <c r="F382" t="s">
        <v>4</v>
      </c>
      <c r="G382" t="s">
        <v>5</v>
      </c>
      <c r="H382" s="3">
        <v>2993.63</v>
      </c>
      <c r="I382" t="s">
        <v>771</v>
      </c>
      <c r="J382" t="s">
        <v>66</v>
      </c>
      <c r="K382" t="s">
        <v>8</v>
      </c>
      <c r="L382" t="s">
        <v>8</v>
      </c>
      <c r="M382" t="s">
        <v>8</v>
      </c>
      <c r="N382" t="s">
        <v>616</v>
      </c>
      <c r="O382" t="s">
        <v>57</v>
      </c>
      <c r="P382" t="s">
        <v>180</v>
      </c>
    </row>
    <row r="383" spans="1:16" x14ac:dyDescent="0.25">
      <c r="A383" t="s">
        <v>0</v>
      </c>
      <c r="B383" s="2">
        <v>44649</v>
      </c>
      <c r="C383" s="5" t="s">
        <v>17</v>
      </c>
      <c r="D383" t="s">
        <v>822</v>
      </c>
      <c r="E383" t="s">
        <v>823</v>
      </c>
      <c r="F383" t="s">
        <v>4</v>
      </c>
      <c r="G383" t="s">
        <v>5</v>
      </c>
      <c r="H383" s="3">
        <v>2581.65</v>
      </c>
      <c r="I383" t="s">
        <v>824</v>
      </c>
      <c r="J383" t="s">
        <v>66</v>
      </c>
      <c r="K383" t="s">
        <v>8</v>
      </c>
      <c r="L383" t="s">
        <v>8</v>
      </c>
      <c r="M383" t="s">
        <v>8</v>
      </c>
      <c r="N383" t="s">
        <v>616</v>
      </c>
      <c r="O383" t="s">
        <v>57</v>
      </c>
      <c r="P383" t="s">
        <v>873</v>
      </c>
    </row>
    <row r="384" spans="1:16" x14ac:dyDescent="0.25">
      <c r="A384" t="s">
        <v>0</v>
      </c>
      <c r="B384" s="2">
        <v>44649</v>
      </c>
      <c r="C384" s="5" t="s">
        <v>17</v>
      </c>
      <c r="D384" t="s">
        <v>954</v>
      </c>
      <c r="E384" t="s">
        <v>955</v>
      </c>
      <c r="F384" t="s">
        <v>4</v>
      </c>
      <c r="G384" t="s">
        <v>5</v>
      </c>
      <c r="H384" s="3">
        <v>2000</v>
      </c>
      <c r="I384" t="s">
        <v>956</v>
      </c>
      <c r="J384" t="s">
        <v>66</v>
      </c>
      <c r="K384" t="s">
        <v>8</v>
      </c>
      <c r="L384" t="s">
        <v>8</v>
      </c>
      <c r="M384" t="s">
        <v>8</v>
      </c>
      <c r="N384" t="s">
        <v>616</v>
      </c>
      <c r="O384" t="s">
        <v>57</v>
      </c>
      <c r="P384" t="s">
        <v>957</v>
      </c>
    </row>
    <row r="385" spans="1:16" x14ac:dyDescent="0.25">
      <c r="A385" t="s">
        <v>0</v>
      </c>
      <c r="B385" s="2">
        <v>44649</v>
      </c>
      <c r="C385" s="5" t="s">
        <v>17</v>
      </c>
      <c r="D385" t="s">
        <v>514</v>
      </c>
      <c r="E385" t="s">
        <v>515</v>
      </c>
      <c r="F385" t="s">
        <v>4</v>
      </c>
      <c r="G385" t="s">
        <v>5</v>
      </c>
      <c r="H385" s="3">
        <v>1642.22</v>
      </c>
      <c r="I385" t="s">
        <v>889</v>
      </c>
      <c r="J385" t="s">
        <v>66</v>
      </c>
      <c r="K385" t="s">
        <v>8</v>
      </c>
      <c r="L385" t="s">
        <v>8</v>
      </c>
      <c r="M385" t="s">
        <v>8</v>
      </c>
      <c r="N385" t="s">
        <v>75</v>
      </c>
      <c r="O385" t="s">
        <v>57</v>
      </c>
      <c r="P385" t="s">
        <v>798</v>
      </c>
    </row>
    <row r="386" spans="1:16" x14ac:dyDescent="0.25">
      <c r="A386" t="s">
        <v>0</v>
      </c>
      <c r="B386" s="2">
        <v>44649</v>
      </c>
      <c r="C386" s="5" t="s">
        <v>17</v>
      </c>
      <c r="D386" t="s">
        <v>881</v>
      </c>
      <c r="E386" t="s">
        <v>882</v>
      </c>
      <c r="F386" t="s">
        <v>4</v>
      </c>
      <c r="G386" t="s">
        <v>5</v>
      </c>
      <c r="H386" s="3">
        <v>1341</v>
      </c>
      <c r="I386" t="s">
        <v>1065</v>
      </c>
      <c r="J386" t="s">
        <v>66</v>
      </c>
      <c r="K386" t="s">
        <v>8</v>
      </c>
      <c r="L386" t="s">
        <v>8</v>
      </c>
      <c r="M386" t="s">
        <v>8</v>
      </c>
      <c r="N386" t="s">
        <v>75</v>
      </c>
      <c r="O386" t="s">
        <v>57</v>
      </c>
      <c r="P386" t="s">
        <v>166</v>
      </c>
    </row>
    <row r="387" spans="1:16" x14ac:dyDescent="0.25">
      <c r="A387" t="s">
        <v>0</v>
      </c>
      <c r="B387" s="2">
        <v>44649</v>
      </c>
      <c r="C387" s="5" t="s">
        <v>17</v>
      </c>
      <c r="D387" t="s">
        <v>951</v>
      </c>
      <c r="E387" t="s">
        <v>952</v>
      </c>
      <c r="F387" t="s">
        <v>4</v>
      </c>
      <c r="G387" t="s">
        <v>5</v>
      </c>
      <c r="H387" s="3">
        <v>1011.79</v>
      </c>
      <c r="I387" t="s">
        <v>953</v>
      </c>
      <c r="J387" t="s">
        <v>66</v>
      </c>
      <c r="K387" t="s">
        <v>8</v>
      </c>
      <c r="L387" t="s">
        <v>8</v>
      </c>
      <c r="M387" t="s">
        <v>8</v>
      </c>
      <c r="N387" t="s">
        <v>616</v>
      </c>
      <c r="O387" t="s">
        <v>57</v>
      </c>
      <c r="P387" t="s">
        <v>1211</v>
      </c>
    </row>
    <row r="388" spans="1:16" x14ac:dyDescent="0.25">
      <c r="A388" t="s">
        <v>0</v>
      </c>
      <c r="B388" s="2">
        <v>44649</v>
      </c>
      <c r="C388" s="5" t="s">
        <v>17</v>
      </c>
      <c r="D388" t="s">
        <v>951</v>
      </c>
      <c r="E388" t="s">
        <v>952</v>
      </c>
      <c r="F388" t="s">
        <v>4</v>
      </c>
      <c r="G388" t="s">
        <v>5</v>
      </c>
      <c r="H388" s="3">
        <v>909.82</v>
      </c>
      <c r="I388" t="s">
        <v>1178</v>
      </c>
      <c r="J388" t="s">
        <v>66</v>
      </c>
      <c r="K388" t="s">
        <v>8</v>
      </c>
      <c r="L388" t="s">
        <v>8</v>
      </c>
      <c r="M388" t="s">
        <v>8</v>
      </c>
      <c r="N388" t="s">
        <v>616</v>
      </c>
      <c r="O388" t="s">
        <v>57</v>
      </c>
      <c r="P388" t="s">
        <v>1238</v>
      </c>
    </row>
    <row r="389" spans="1:16" x14ac:dyDescent="0.25">
      <c r="A389" t="s">
        <v>0</v>
      </c>
      <c r="B389" s="2">
        <v>44649</v>
      </c>
      <c r="C389" s="5" t="s">
        <v>17</v>
      </c>
      <c r="D389" t="s">
        <v>1184</v>
      </c>
      <c r="E389" t="s">
        <v>1185</v>
      </c>
      <c r="F389" t="s">
        <v>4</v>
      </c>
      <c r="G389" t="s">
        <v>5</v>
      </c>
      <c r="H389" s="3">
        <v>784.71</v>
      </c>
      <c r="I389" t="s">
        <v>1186</v>
      </c>
      <c r="J389" t="s">
        <v>66</v>
      </c>
      <c r="K389" t="s">
        <v>8</v>
      </c>
      <c r="L389" t="s">
        <v>8</v>
      </c>
      <c r="M389" t="s">
        <v>8</v>
      </c>
      <c r="N389" t="s">
        <v>616</v>
      </c>
      <c r="O389" t="s">
        <v>57</v>
      </c>
      <c r="P389" t="s">
        <v>907</v>
      </c>
    </row>
    <row r="390" spans="1:16" x14ac:dyDescent="0.25">
      <c r="A390" t="s">
        <v>0</v>
      </c>
      <c r="B390" s="2">
        <v>44649</v>
      </c>
      <c r="C390" s="5" t="s">
        <v>17</v>
      </c>
      <c r="D390" t="s">
        <v>514</v>
      </c>
      <c r="E390" t="s">
        <v>515</v>
      </c>
      <c r="F390" t="s">
        <v>4</v>
      </c>
      <c r="G390" t="s">
        <v>5</v>
      </c>
      <c r="H390" s="3">
        <v>375.62</v>
      </c>
      <c r="I390" t="s">
        <v>1220</v>
      </c>
      <c r="J390" t="s">
        <v>66</v>
      </c>
      <c r="K390" t="s">
        <v>8</v>
      </c>
      <c r="L390" t="s">
        <v>8</v>
      </c>
      <c r="M390" t="s">
        <v>8</v>
      </c>
      <c r="N390" t="s">
        <v>75</v>
      </c>
      <c r="O390" t="s">
        <v>57</v>
      </c>
      <c r="P390" t="s">
        <v>240</v>
      </c>
    </row>
    <row r="391" spans="1:16" x14ac:dyDescent="0.25">
      <c r="A391" t="s">
        <v>0</v>
      </c>
      <c r="B391" s="2">
        <v>44649</v>
      </c>
      <c r="C391" s="5" t="s">
        <v>17</v>
      </c>
      <c r="D391" t="s">
        <v>1506</v>
      </c>
      <c r="E391" t="s">
        <v>1507</v>
      </c>
      <c r="F391" t="s">
        <v>4</v>
      </c>
      <c r="G391" t="s">
        <v>5</v>
      </c>
      <c r="H391" s="3">
        <v>375.3</v>
      </c>
      <c r="I391" t="s">
        <v>1508</v>
      </c>
      <c r="J391" t="s">
        <v>66</v>
      </c>
      <c r="K391" t="s">
        <v>8</v>
      </c>
      <c r="L391" t="s">
        <v>8</v>
      </c>
      <c r="M391" t="s">
        <v>8</v>
      </c>
      <c r="N391" t="s">
        <v>616</v>
      </c>
      <c r="O391" t="s">
        <v>57</v>
      </c>
      <c r="P391" t="s">
        <v>1625</v>
      </c>
    </row>
    <row r="392" spans="1:16" x14ac:dyDescent="0.25">
      <c r="A392" t="s">
        <v>0</v>
      </c>
      <c r="B392" s="2">
        <v>44649</v>
      </c>
      <c r="C392" s="5" t="s">
        <v>17</v>
      </c>
      <c r="D392" t="s">
        <v>951</v>
      </c>
      <c r="E392" t="s">
        <v>952</v>
      </c>
      <c r="F392" t="s">
        <v>4</v>
      </c>
      <c r="G392" t="s">
        <v>5</v>
      </c>
      <c r="H392" s="3">
        <v>371.66</v>
      </c>
      <c r="I392" t="s">
        <v>1359</v>
      </c>
      <c r="J392" t="s">
        <v>66</v>
      </c>
      <c r="K392" t="s">
        <v>8</v>
      </c>
      <c r="L392" t="s">
        <v>8</v>
      </c>
      <c r="M392" t="s">
        <v>8</v>
      </c>
      <c r="N392" t="s">
        <v>616</v>
      </c>
      <c r="O392" t="s">
        <v>57</v>
      </c>
      <c r="P392" t="s">
        <v>155</v>
      </c>
    </row>
    <row r="393" spans="1:16" x14ac:dyDescent="0.25">
      <c r="A393" t="s">
        <v>0</v>
      </c>
      <c r="B393" s="2">
        <v>44649</v>
      </c>
      <c r="C393" s="5" t="s">
        <v>17</v>
      </c>
      <c r="D393" t="s">
        <v>380</v>
      </c>
      <c r="E393" t="s">
        <v>381</v>
      </c>
      <c r="F393" t="s">
        <v>4</v>
      </c>
      <c r="G393" t="s">
        <v>5</v>
      </c>
      <c r="H393" s="3">
        <v>336.96</v>
      </c>
      <c r="I393" t="s">
        <v>1587</v>
      </c>
      <c r="J393" t="s">
        <v>66</v>
      </c>
      <c r="K393" t="s">
        <v>8</v>
      </c>
      <c r="L393" t="s">
        <v>8</v>
      </c>
      <c r="M393" t="s">
        <v>8</v>
      </c>
      <c r="N393" t="s">
        <v>616</v>
      </c>
      <c r="O393" t="s">
        <v>57</v>
      </c>
      <c r="P393" t="s">
        <v>1647</v>
      </c>
    </row>
    <row r="394" spans="1:16" x14ac:dyDescent="0.25">
      <c r="A394" t="s">
        <v>0</v>
      </c>
      <c r="B394" s="2">
        <v>44649</v>
      </c>
      <c r="C394" s="5" t="s">
        <v>17</v>
      </c>
      <c r="D394" t="s">
        <v>1506</v>
      </c>
      <c r="E394" t="s">
        <v>1507</v>
      </c>
      <c r="F394" t="s">
        <v>4</v>
      </c>
      <c r="G394" t="s">
        <v>5</v>
      </c>
      <c r="H394" s="3">
        <v>288.23</v>
      </c>
      <c r="I394" t="s">
        <v>1601</v>
      </c>
      <c r="J394" t="s">
        <v>66</v>
      </c>
      <c r="K394" t="s">
        <v>8</v>
      </c>
      <c r="L394" t="s">
        <v>8</v>
      </c>
      <c r="M394" t="s">
        <v>8</v>
      </c>
      <c r="N394" t="s">
        <v>616</v>
      </c>
      <c r="O394" t="s">
        <v>57</v>
      </c>
      <c r="P394" t="s">
        <v>1688</v>
      </c>
    </row>
    <row r="395" spans="1:16" x14ac:dyDescent="0.25">
      <c r="A395" t="s">
        <v>0</v>
      </c>
      <c r="B395" s="2">
        <v>44649</v>
      </c>
      <c r="C395" s="5" t="s">
        <v>17</v>
      </c>
      <c r="D395" t="s">
        <v>624</v>
      </c>
      <c r="E395" t="s">
        <v>625</v>
      </c>
      <c r="F395" t="s">
        <v>4</v>
      </c>
      <c r="G395" t="s">
        <v>5</v>
      </c>
      <c r="H395" s="3">
        <v>96.4</v>
      </c>
      <c r="I395" t="s">
        <v>1841</v>
      </c>
      <c r="J395" t="s">
        <v>66</v>
      </c>
      <c r="K395" t="s">
        <v>8</v>
      </c>
      <c r="L395" t="s">
        <v>8</v>
      </c>
      <c r="M395" t="s">
        <v>8</v>
      </c>
      <c r="N395" t="s">
        <v>616</v>
      </c>
      <c r="O395" t="s">
        <v>57</v>
      </c>
      <c r="P395" t="s">
        <v>1946</v>
      </c>
    </row>
    <row r="396" spans="1:16" x14ac:dyDescent="0.25">
      <c r="A396" t="s">
        <v>0</v>
      </c>
      <c r="B396" s="2">
        <v>44649</v>
      </c>
      <c r="C396" s="5" t="s">
        <v>17</v>
      </c>
      <c r="D396" t="s">
        <v>644</v>
      </c>
      <c r="E396" t="s">
        <v>645</v>
      </c>
      <c r="F396" t="s">
        <v>4</v>
      </c>
      <c r="G396" t="s">
        <v>5</v>
      </c>
      <c r="H396" s="3">
        <v>-26.35</v>
      </c>
      <c r="I396" t="s">
        <v>2167</v>
      </c>
      <c r="J396" t="s">
        <v>2165</v>
      </c>
      <c r="K396" t="s">
        <v>8</v>
      </c>
      <c r="L396" t="s">
        <v>8</v>
      </c>
      <c r="M396" t="s">
        <v>8</v>
      </c>
      <c r="N396" t="s">
        <v>616</v>
      </c>
      <c r="O396" t="s">
        <v>57</v>
      </c>
      <c r="P396" t="s">
        <v>2177</v>
      </c>
    </row>
    <row r="397" spans="1:16" x14ac:dyDescent="0.25">
      <c r="A397" t="s">
        <v>0</v>
      </c>
      <c r="B397" s="2">
        <v>44649</v>
      </c>
      <c r="C397" s="5" t="s">
        <v>17</v>
      </c>
      <c r="D397" t="s">
        <v>108</v>
      </c>
      <c r="E397" t="s">
        <v>109</v>
      </c>
      <c r="F397" t="s">
        <v>4</v>
      </c>
      <c r="G397" t="s">
        <v>5</v>
      </c>
      <c r="H397" s="3">
        <v>-62.58</v>
      </c>
      <c r="I397" t="s">
        <v>2175</v>
      </c>
      <c r="J397" t="s">
        <v>2165</v>
      </c>
      <c r="K397" t="s">
        <v>8</v>
      </c>
      <c r="L397" t="s">
        <v>8</v>
      </c>
      <c r="M397" t="s">
        <v>8</v>
      </c>
      <c r="N397" t="s">
        <v>75</v>
      </c>
      <c r="O397" t="s">
        <v>57</v>
      </c>
      <c r="P397" t="s">
        <v>2176</v>
      </c>
    </row>
    <row r="398" spans="1:16" x14ac:dyDescent="0.25">
      <c r="A398" t="s">
        <v>0</v>
      </c>
      <c r="B398" s="2">
        <v>44649</v>
      </c>
      <c r="C398" s="5" t="s">
        <v>17</v>
      </c>
      <c r="D398" t="s">
        <v>2191</v>
      </c>
      <c r="E398" t="s">
        <v>2192</v>
      </c>
      <c r="F398" t="s">
        <v>4</v>
      </c>
      <c r="G398" t="s">
        <v>5</v>
      </c>
      <c r="H398" s="3">
        <v>-77.099999999999994</v>
      </c>
      <c r="I398" t="s">
        <v>2193</v>
      </c>
      <c r="J398" t="s">
        <v>2165</v>
      </c>
      <c r="K398" t="s">
        <v>8</v>
      </c>
      <c r="L398" t="s">
        <v>8</v>
      </c>
      <c r="M398" t="s">
        <v>8</v>
      </c>
      <c r="N398" t="s">
        <v>616</v>
      </c>
      <c r="O398" t="s">
        <v>57</v>
      </c>
      <c r="P398" t="s">
        <v>1360</v>
      </c>
    </row>
    <row r="399" spans="1:16" x14ac:dyDescent="0.25">
      <c r="A399" t="s">
        <v>0</v>
      </c>
      <c r="B399" s="2">
        <v>44649</v>
      </c>
      <c r="C399" s="5" t="s">
        <v>17</v>
      </c>
      <c r="D399" t="s">
        <v>1207</v>
      </c>
      <c r="E399" t="s">
        <v>1208</v>
      </c>
      <c r="F399" t="s">
        <v>4</v>
      </c>
      <c r="G399" t="s">
        <v>5</v>
      </c>
      <c r="H399" s="3">
        <v>-298.17</v>
      </c>
      <c r="I399" t="s">
        <v>2162</v>
      </c>
      <c r="J399" t="s">
        <v>2165</v>
      </c>
      <c r="K399" t="s">
        <v>8</v>
      </c>
      <c r="L399" t="s">
        <v>8</v>
      </c>
      <c r="M399" t="s">
        <v>8</v>
      </c>
      <c r="N399" t="s">
        <v>616</v>
      </c>
      <c r="O399" t="s">
        <v>57</v>
      </c>
      <c r="P399" t="s">
        <v>1298</v>
      </c>
    </row>
    <row r="400" spans="1:16" x14ac:dyDescent="0.25">
      <c r="A400" t="s">
        <v>0</v>
      </c>
      <c r="B400" s="2">
        <v>44649</v>
      </c>
      <c r="C400" s="5" t="s">
        <v>17</v>
      </c>
      <c r="D400" t="s">
        <v>108</v>
      </c>
      <c r="E400" t="s">
        <v>109</v>
      </c>
      <c r="F400" t="s">
        <v>4</v>
      </c>
      <c r="G400" t="s">
        <v>5</v>
      </c>
      <c r="H400" s="3">
        <v>-473.46</v>
      </c>
      <c r="I400" t="s">
        <v>2221</v>
      </c>
      <c r="J400" t="s">
        <v>2165</v>
      </c>
      <c r="K400" t="s">
        <v>8</v>
      </c>
      <c r="L400" t="s">
        <v>8</v>
      </c>
      <c r="M400" t="s">
        <v>8</v>
      </c>
      <c r="N400" t="s">
        <v>75</v>
      </c>
      <c r="O400" t="s">
        <v>57</v>
      </c>
      <c r="P400" t="s">
        <v>2224</v>
      </c>
    </row>
    <row r="401" spans="1:16" x14ac:dyDescent="0.25">
      <c r="A401" t="s">
        <v>0</v>
      </c>
      <c r="B401" s="2">
        <v>44649</v>
      </c>
      <c r="C401" s="5" t="s">
        <v>17</v>
      </c>
      <c r="D401" t="s">
        <v>644</v>
      </c>
      <c r="E401" t="s">
        <v>645</v>
      </c>
      <c r="F401" t="s">
        <v>4</v>
      </c>
      <c r="G401" t="s">
        <v>5</v>
      </c>
      <c r="H401" s="3">
        <v>-536.45000000000005</v>
      </c>
      <c r="I401" t="s">
        <v>2228</v>
      </c>
      <c r="J401" t="s">
        <v>2165</v>
      </c>
      <c r="K401" t="s">
        <v>8</v>
      </c>
      <c r="L401" t="s">
        <v>8</v>
      </c>
      <c r="M401" t="s">
        <v>8</v>
      </c>
      <c r="N401" t="s">
        <v>75</v>
      </c>
      <c r="O401" t="s">
        <v>57</v>
      </c>
      <c r="P401" t="s">
        <v>2223</v>
      </c>
    </row>
    <row r="402" spans="1:16" x14ac:dyDescent="0.25">
      <c r="A402" t="s">
        <v>0</v>
      </c>
      <c r="B402" s="2">
        <v>44649</v>
      </c>
      <c r="C402" s="5" t="s">
        <v>17</v>
      </c>
      <c r="D402" t="s">
        <v>108</v>
      </c>
      <c r="E402" t="s">
        <v>109</v>
      </c>
      <c r="F402" t="s">
        <v>4</v>
      </c>
      <c r="G402" t="s">
        <v>5</v>
      </c>
      <c r="H402" s="3">
        <v>-580.73</v>
      </c>
      <c r="I402" t="s">
        <v>2218</v>
      </c>
      <c r="J402" t="s">
        <v>2165</v>
      </c>
      <c r="K402" t="s">
        <v>8</v>
      </c>
      <c r="L402" t="s">
        <v>8</v>
      </c>
      <c r="M402" t="s">
        <v>8</v>
      </c>
      <c r="N402" t="s">
        <v>75</v>
      </c>
      <c r="O402" t="s">
        <v>57</v>
      </c>
      <c r="P402" t="s">
        <v>511</v>
      </c>
    </row>
    <row r="403" spans="1:16" x14ac:dyDescent="0.25">
      <c r="A403" t="s">
        <v>0</v>
      </c>
      <c r="B403" s="2">
        <v>44649</v>
      </c>
      <c r="C403" s="5" t="s">
        <v>17</v>
      </c>
      <c r="D403" t="s">
        <v>2191</v>
      </c>
      <c r="E403" t="s">
        <v>2192</v>
      </c>
      <c r="F403" t="s">
        <v>4</v>
      </c>
      <c r="G403" t="s">
        <v>5</v>
      </c>
      <c r="H403" s="3">
        <v>-617.36</v>
      </c>
      <c r="I403" t="s">
        <v>2217</v>
      </c>
      <c r="J403" t="s">
        <v>2165</v>
      </c>
      <c r="K403" t="s">
        <v>8</v>
      </c>
      <c r="L403" t="s">
        <v>8</v>
      </c>
      <c r="M403" t="s">
        <v>8</v>
      </c>
      <c r="N403" t="s">
        <v>75</v>
      </c>
      <c r="O403" t="s">
        <v>57</v>
      </c>
      <c r="P403" t="s">
        <v>150</v>
      </c>
    </row>
    <row r="404" spans="1:16" x14ac:dyDescent="0.25">
      <c r="A404" t="s">
        <v>0</v>
      </c>
      <c r="B404" s="2">
        <v>44649</v>
      </c>
      <c r="C404" s="5" t="s">
        <v>17</v>
      </c>
      <c r="D404" t="s">
        <v>108</v>
      </c>
      <c r="E404" t="s">
        <v>109</v>
      </c>
      <c r="F404" t="s">
        <v>4</v>
      </c>
      <c r="G404" t="s">
        <v>5</v>
      </c>
      <c r="H404" s="3">
        <v>-759.22</v>
      </c>
      <c r="I404" t="s">
        <v>2233</v>
      </c>
      <c r="J404" t="s">
        <v>2165</v>
      </c>
      <c r="K404" t="s">
        <v>8</v>
      </c>
      <c r="L404" t="s">
        <v>8</v>
      </c>
      <c r="M404" t="s">
        <v>8</v>
      </c>
      <c r="N404" t="s">
        <v>75</v>
      </c>
      <c r="O404" t="s">
        <v>57</v>
      </c>
      <c r="P404" t="s">
        <v>178</v>
      </c>
    </row>
    <row r="405" spans="1:16" x14ac:dyDescent="0.25">
      <c r="A405" t="s">
        <v>0</v>
      </c>
      <c r="B405" s="2">
        <v>44649</v>
      </c>
      <c r="C405" s="5" t="s">
        <v>17</v>
      </c>
      <c r="D405" t="s">
        <v>1207</v>
      </c>
      <c r="E405" t="s">
        <v>1208</v>
      </c>
      <c r="F405" t="s">
        <v>4</v>
      </c>
      <c r="G405" t="s">
        <v>5</v>
      </c>
      <c r="H405" s="3">
        <v>-1110.82</v>
      </c>
      <c r="I405" t="s">
        <v>2244</v>
      </c>
      <c r="J405" t="s">
        <v>2165</v>
      </c>
      <c r="K405" t="s">
        <v>8</v>
      </c>
      <c r="L405" t="s">
        <v>8</v>
      </c>
      <c r="M405" t="s">
        <v>8</v>
      </c>
      <c r="N405" t="s">
        <v>75</v>
      </c>
      <c r="O405" t="s">
        <v>57</v>
      </c>
      <c r="P405" t="s">
        <v>2246</v>
      </c>
    </row>
    <row r="406" spans="1:16" x14ac:dyDescent="0.25">
      <c r="A406" t="s">
        <v>0</v>
      </c>
      <c r="B406" s="2">
        <v>44650</v>
      </c>
      <c r="C406" t="s">
        <v>17</v>
      </c>
      <c r="D406" t="s">
        <v>266</v>
      </c>
      <c r="E406" t="s">
        <v>267</v>
      </c>
      <c r="F406" t="s">
        <v>4</v>
      </c>
      <c r="G406" t="s">
        <v>5</v>
      </c>
      <c r="H406" s="3">
        <v>22413.53</v>
      </c>
      <c r="I406" t="s">
        <v>268</v>
      </c>
      <c r="J406" t="s">
        <v>8</v>
      </c>
      <c r="K406" t="s">
        <v>269</v>
      </c>
      <c r="L406" t="s">
        <v>8</v>
      </c>
      <c r="M406" t="s">
        <v>270</v>
      </c>
      <c r="N406" t="s">
        <v>271</v>
      </c>
      <c r="O406" t="s">
        <v>272</v>
      </c>
      <c r="P406" t="s">
        <v>12</v>
      </c>
    </row>
    <row r="407" spans="1:16" x14ac:dyDescent="0.25">
      <c r="A407" t="s">
        <v>0</v>
      </c>
      <c r="B407" s="2">
        <v>44650</v>
      </c>
      <c r="C407" t="s">
        <v>17</v>
      </c>
      <c r="D407" t="s">
        <v>266</v>
      </c>
      <c r="E407" t="s">
        <v>267</v>
      </c>
      <c r="F407" t="s">
        <v>4</v>
      </c>
      <c r="G407" t="s">
        <v>5</v>
      </c>
      <c r="H407" s="3">
        <v>11040.79</v>
      </c>
      <c r="I407" t="s">
        <v>268</v>
      </c>
      <c r="J407" t="s">
        <v>8</v>
      </c>
      <c r="K407" t="s">
        <v>378</v>
      </c>
      <c r="L407" t="s">
        <v>8</v>
      </c>
      <c r="M407" t="s">
        <v>270</v>
      </c>
      <c r="N407" t="s">
        <v>379</v>
      </c>
      <c r="O407" t="s">
        <v>272</v>
      </c>
      <c r="P407" t="s">
        <v>12</v>
      </c>
    </row>
    <row r="408" spans="1:16" x14ac:dyDescent="0.25">
      <c r="A408" t="s">
        <v>0</v>
      </c>
      <c r="B408" s="2">
        <v>44650</v>
      </c>
      <c r="C408" s="5" t="s">
        <v>17</v>
      </c>
      <c r="D408" t="s">
        <v>301</v>
      </c>
      <c r="E408" t="s">
        <v>302</v>
      </c>
      <c r="F408" t="s">
        <v>4</v>
      </c>
      <c r="G408" t="s">
        <v>5</v>
      </c>
      <c r="H408" s="3">
        <v>4547.47</v>
      </c>
      <c r="I408" t="s">
        <v>268</v>
      </c>
      <c r="J408" t="s">
        <v>8</v>
      </c>
      <c r="K408" t="s">
        <v>378</v>
      </c>
      <c r="L408" t="s">
        <v>8</v>
      </c>
      <c r="M408" t="s">
        <v>270</v>
      </c>
      <c r="N408" t="s">
        <v>379</v>
      </c>
      <c r="O408" t="s">
        <v>272</v>
      </c>
      <c r="P408" t="s">
        <v>43</v>
      </c>
    </row>
    <row r="409" spans="1:16" x14ac:dyDescent="0.25">
      <c r="A409" t="s">
        <v>0</v>
      </c>
      <c r="B409" s="2">
        <v>44650</v>
      </c>
      <c r="C409" s="5" t="s">
        <v>17</v>
      </c>
      <c r="D409" t="s">
        <v>892</v>
      </c>
      <c r="E409" t="s">
        <v>893</v>
      </c>
      <c r="F409" t="s">
        <v>4</v>
      </c>
      <c r="G409" t="s">
        <v>5</v>
      </c>
      <c r="H409" s="3">
        <v>2406.4699999999998</v>
      </c>
      <c r="I409" t="s">
        <v>898</v>
      </c>
      <c r="J409" t="s">
        <v>322</v>
      </c>
      <c r="K409" t="s">
        <v>8</v>
      </c>
      <c r="L409" t="s">
        <v>8</v>
      </c>
      <c r="M409" t="s">
        <v>8</v>
      </c>
      <c r="N409" t="s">
        <v>899</v>
      </c>
      <c r="O409" t="s">
        <v>121</v>
      </c>
      <c r="P409" t="s">
        <v>613</v>
      </c>
    </row>
    <row r="410" spans="1:16" x14ac:dyDescent="0.25">
      <c r="A410" t="s">
        <v>0</v>
      </c>
      <c r="B410" s="2">
        <v>44650</v>
      </c>
      <c r="C410" s="5" t="s">
        <v>17</v>
      </c>
      <c r="D410" t="s">
        <v>266</v>
      </c>
      <c r="E410" t="s">
        <v>267</v>
      </c>
      <c r="F410" t="s">
        <v>4</v>
      </c>
      <c r="G410" t="s">
        <v>5</v>
      </c>
      <c r="H410" s="3">
        <v>1547.61</v>
      </c>
      <c r="I410" t="s">
        <v>268</v>
      </c>
      <c r="J410" t="s">
        <v>8</v>
      </c>
      <c r="K410" t="s">
        <v>826</v>
      </c>
      <c r="L410" t="s">
        <v>8</v>
      </c>
      <c r="M410" t="s">
        <v>270</v>
      </c>
      <c r="N410" t="s">
        <v>1089</v>
      </c>
      <c r="O410" t="s">
        <v>272</v>
      </c>
      <c r="P410" t="s">
        <v>43</v>
      </c>
    </row>
    <row r="411" spans="1:16" x14ac:dyDescent="0.25">
      <c r="A411" t="s">
        <v>0</v>
      </c>
      <c r="B411" s="2">
        <v>44650</v>
      </c>
      <c r="C411" s="5" t="s">
        <v>17</v>
      </c>
      <c r="D411" t="s">
        <v>266</v>
      </c>
      <c r="E411" t="s">
        <v>267</v>
      </c>
      <c r="F411" t="s">
        <v>4</v>
      </c>
      <c r="G411" t="s">
        <v>5</v>
      </c>
      <c r="H411" s="3">
        <v>1198.45</v>
      </c>
      <c r="I411" t="s">
        <v>268</v>
      </c>
      <c r="J411" t="s">
        <v>8</v>
      </c>
      <c r="K411" t="s">
        <v>890</v>
      </c>
      <c r="L411" t="s">
        <v>8</v>
      </c>
      <c r="M411" t="s">
        <v>270</v>
      </c>
      <c r="N411" t="s">
        <v>1150</v>
      </c>
      <c r="O411" t="s">
        <v>272</v>
      </c>
      <c r="P411" t="s">
        <v>30</v>
      </c>
    </row>
    <row r="412" spans="1:16" x14ac:dyDescent="0.25">
      <c r="A412" t="s">
        <v>0</v>
      </c>
      <c r="B412" s="2">
        <v>44650</v>
      </c>
      <c r="C412" s="5" t="s">
        <v>17</v>
      </c>
      <c r="D412" t="s">
        <v>301</v>
      </c>
      <c r="E412" t="s">
        <v>302</v>
      </c>
      <c r="F412" t="s">
        <v>4</v>
      </c>
      <c r="G412" t="s">
        <v>5</v>
      </c>
      <c r="H412" s="3">
        <v>1136.58</v>
      </c>
      <c r="I412" t="s">
        <v>268</v>
      </c>
      <c r="J412" t="s">
        <v>8</v>
      </c>
      <c r="K412" t="s">
        <v>1167</v>
      </c>
      <c r="L412" t="s">
        <v>8</v>
      </c>
      <c r="M412" t="s">
        <v>270</v>
      </c>
      <c r="N412" t="s">
        <v>1168</v>
      </c>
      <c r="O412" t="s">
        <v>272</v>
      </c>
      <c r="P412" t="s">
        <v>43</v>
      </c>
    </row>
    <row r="413" spans="1:16" x14ac:dyDescent="0.25">
      <c r="A413" t="s">
        <v>0</v>
      </c>
      <c r="B413" s="2">
        <v>44650</v>
      </c>
      <c r="C413" s="5" t="s">
        <v>17</v>
      </c>
      <c r="D413" t="s">
        <v>301</v>
      </c>
      <c r="E413" t="s">
        <v>302</v>
      </c>
      <c r="F413" t="s">
        <v>4</v>
      </c>
      <c r="G413" t="s">
        <v>5</v>
      </c>
      <c r="H413" s="3">
        <v>978.27</v>
      </c>
      <c r="I413" t="s">
        <v>268</v>
      </c>
      <c r="J413" t="s">
        <v>8</v>
      </c>
      <c r="K413" t="s">
        <v>269</v>
      </c>
      <c r="L413" t="s">
        <v>8</v>
      </c>
      <c r="M413" t="s">
        <v>270</v>
      </c>
      <c r="N413" t="s">
        <v>271</v>
      </c>
      <c r="O413" t="s">
        <v>272</v>
      </c>
      <c r="P413" t="s">
        <v>43</v>
      </c>
    </row>
    <row r="414" spans="1:16" x14ac:dyDescent="0.25">
      <c r="A414" t="s">
        <v>0</v>
      </c>
      <c r="B414" s="2">
        <v>44650</v>
      </c>
      <c r="C414" s="5" t="s">
        <v>17</v>
      </c>
      <c r="D414" t="s">
        <v>373</v>
      </c>
      <c r="E414" t="s">
        <v>374</v>
      </c>
      <c r="F414" t="s">
        <v>4</v>
      </c>
      <c r="G414" t="s">
        <v>5</v>
      </c>
      <c r="H414" s="3">
        <v>833.94</v>
      </c>
      <c r="I414" t="s">
        <v>1301</v>
      </c>
      <c r="J414" t="s">
        <v>1302</v>
      </c>
      <c r="K414" t="s">
        <v>8</v>
      </c>
      <c r="L414" t="s">
        <v>8</v>
      </c>
      <c r="M414" t="s">
        <v>8</v>
      </c>
      <c r="N414" t="s">
        <v>1303</v>
      </c>
      <c r="O414" t="s">
        <v>121</v>
      </c>
      <c r="P414" t="s">
        <v>1304</v>
      </c>
    </row>
    <row r="415" spans="1:16" x14ac:dyDescent="0.25">
      <c r="A415" t="s">
        <v>0</v>
      </c>
      <c r="B415" s="2">
        <v>44650</v>
      </c>
      <c r="C415" s="5" t="s">
        <v>17</v>
      </c>
      <c r="D415" t="s">
        <v>266</v>
      </c>
      <c r="E415" t="s">
        <v>267</v>
      </c>
      <c r="F415" t="s">
        <v>4</v>
      </c>
      <c r="G415" t="s">
        <v>5</v>
      </c>
      <c r="H415" s="3">
        <v>784.95</v>
      </c>
      <c r="I415" t="s">
        <v>268</v>
      </c>
      <c r="J415" t="s">
        <v>8</v>
      </c>
      <c r="K415" t="s">
        <v>1240</v>
      </c>
      <c r="L415" t="s">
        <v>8</v>
      </c>
      <c r="M415" t="s">
        <v>270</v>
      </c>
      <c r="N415" t="s">
        <v>1352</v>
      </c>
      <c r="O415" t="s">
        <v>272</v>
      </c>
      <c r="P415" t="s">
        <v>22</v>
      </c>
    </row>
    <row r="416" spans="1:16" x14ac:dyDescent="0.25">
      <c r="A416" t="s">
        <v>0</v>
      </c>
      <c r="B416" s="2">
        <v>44650</v>
      </c>
      <c r="C416" s="5" t="s">
        <v>17</v>
      </c>
      <c r="D416" t="s">
        <v>1378</v>
      </c>
      <c r="E416" t="s">
        <v>1379</v>
      </c>
      <c r="F416" t="s">
        <v>4</v>
      </c>
      <c r="G416" t="s">
        <v>5</v>
      </c>
      <c r="H416" s="3">
        <v>691.35</v>
      </c>
      <c r="I416" t="s">
        <v>1380</v>
      </c>
      <c r="J416" t="s">
        <v>1381</v>
      </c>
      <c r="K416" t="s">
        <v>8</v>
      </c>
      <c r="L416" t="s">
        <v>1382</v>
      </c>
      <c r="M416" t="s">
        <v>8</v>
      </c>
      <c r="N416" t="s">
        <v>1383</v>
      </c>
      <c r="O416" t="s">
        <v>16</v>
      </c>
      <c r="P416" t="s">
        <v>1</v>
      </c>
    </row>
    <row r="417" spans="1:16" x14ac:dyDescent="0.25">
      <c r="A417" t="s">
        <v>0</v>
      </c>
      <c r="B417" s="2">
        <v>44650</v>
      </c>
      <c r="C417" s="5" t="s">
        <v>17</v>
      </c>
      <c r="D417" t="s">
        <v>152</v>
      </c>
      <c r="E417" t="s">
        <v>153</v>
      </c>
      <c r="F417" t="s">
        <v>4</v>
      </c>
      <c r="G417" t="s">
        <v>5</v>
      </c>
      <c r="H417" s="3">
        <v>682.52</v>
      </c>
      <c r="I417" t="s">
        <v>1385</v>
      </c>
      <c r="J417" t="s">
        <v>153</v>
      </c>
      <c r="K417" t="s">
        <v>8</v>
      </c>
      <c r="L417" t="s">
        <v>8</v>
      </c>
      <c r="M417" t="s">
        <v>8</v>
      </c>
      <c r="N417" t="s">
        <v>1386</v>
      </c>
      <c r="O417" t="s">
        <v>121</v>
      </c>
      <c r="P417" t="s">
        <v>361</v>
      </c>
    </row>
    <row r="418" spans="1:16" x14ac:dyDescent="0.25">
      <c r="A418" t="s">
        <v>0</v>
      </c>
      <c r="B418" s="2">
        <v>44650</v>
      </c>
      <c r="C418" s="5" t="s">
        <v>17</v>
      </c>
      <c r="D418" t="s">
        <v>266</v>
      </c>
      <c r="E418" t="s">
        <v>267</v>
      </c>
      <c r="F418" t="s">
        <v>4</v>
      </c>
      <c r="G418" t="s">
        <v>5</v>
      </c>
      <c r="H418" s="3">
        <v>542.03</v>
      </c>
      <c r="I418" t="s">
        <v>268</v>
      </c>
      <c r="J418" t="s">
        <v>8</v>
      </c>
      <c r="K418" t="s">
        <v>1191</v>
      </c>
      <c r="L418" t="s">
        <v>8</v>
      </c>
      <c r="M418" t="s">
        <v>270</v>
      </c>
      <c r="N418" t="s">
        <v>1453</v>
      </c>
      <c r="O418" t="s">
        <v>272</v>
      </c>
      <c r="P418" t="s">
        <v>82</v>
      </c>
    </row>
    <row r="419" spans="1:16" x14ac:dyDescent="0.25">
      <c r="A419" t="s">
        <v>0</v>
      </c>
      <c r="B419" s="2">
        <v>44650</v>
      </c>
      <c r="C419" s="5" t="s">
        <v>17</v>
      </c>
      <c r="D419" t="s">
        <v>266</v>
      </c>
      <c r="E419" t="s">
        <v>267</v>
      </c>
      <c r="F419" t="s">
        <v>4</v>
      </c>
      <c r="G419" t="s">
        <v>5</v>
      </c>
      <c r="H419" s="3">
        <v>329.17</v>
      </c>
      <c r="I419" t="s">
        <v>268</v>
      </c>
      <c r="J419" t="s">
        <v>8</v>
      </c>
      <c r="K419" t="s">
        <v>1314</v>
      </c>
      <c r="L419" t="s">
        <v>8</v>
      </c>
      <c r="M419" t="s">
        <v>270</v>
      </c>
      <c r="N419" t="s">
        <v>1655</v>
      </c>
      <c r="O419" t="s">
        <v>272</v>
      </c>
      <c r="P419" t="s">
        <v>12</v>
      </c>
    </row>
    <row r="420" spans="1:16" x14ac:dyDescent="0.25">
      <c r="A420" t="s">
        <v>0</v>
      </c>
      <c r="B420" s="2">
        <v>44650</v>
      </c>
      <c r="C420" s="5" t="s">
        <v>17</v>
      </c>
      <c r="D420" t="s">
        <v>2</v>
      </c>
      <c r="E420" t="s">
        <v>3</v>
      </c>
      <c r="F420" t="s">
        <v>4</v>
      </c>
      <c r="G420" t="s">
        <v>5</v>
      </c>
      <c r="H420" s="3">
        <v>320</v>
      </c>
      <c r="I420" t="s">
        <v>1672</v>
      </c>
      <c r="J420" t="s">
        <v>1605</v>
      </c>
      <c r="K420" t="s">
        <v>8</v>
      </c>
      <c r="L420" t="s">
        <v>1673</v>
      </c>
      <c r="M420" t="s">
        <v>8</v>
      </c>
      <c r="N420" t="s">
        <v>1674</v>
      </c>
      <c r="O420" t="s">
        <v>16</v>
      </c>
      <c r="P420" t="s">
        <v>1</v>
      </c>
    </row>
    <row r="421" spans="1:16" x14ac:dyDescent="0.25">
      <c r="A421" t="s">
        <v>0</v>
      </c>
      <c r="B421" s="2">
        <v>44650</v>
      </c>
      <c r="C421" s="5" t="s">
        <v>17</v>
      </c>
      <c r="D421" t="s">
        <v>152</v>
      </c>
      <c r="E421" t="s">
        <v>153</v>
      </c>
      <c r="F421" t="s">
        <v>4</v>
      </c>
      <c r="G421" t="s">
        <v>5</v>
      </c>
      <c r="H421" s="3">
        <v>272.16000000000003</v>
      </c>
      <c r="I421" t="s">
        <v>1723</v>
      </c>
      <c r="J421" t="s">
        <v>153</v>
      </c>
      <c r="K421" t="s">
        <v>8</v>
      </c>
      <c r="L421" t="s">
        <v>8</v>
      </c>
      <c r="M421" t="s">
        <v>8</v>
      </c>
      <c r="N421" t="s">
        <v>1386</v>
      </c>
      <c r="O421" t="s">
        <v>121</v>
      </c>
      <c r="P421" t="s">
        <v>211</v>
      </c>
    </row>
    <row r="422" spans="1:16" x14ac:dyDescent="0.25">
      <c r="A422" t="s">
        <v>0</v>
      </c>
      <c r="B422" s="2">
        <v>44650</v>
      </c>
      <c r="C422" s="5" t="s">
        <v>17</v>
      </c>
      <c r="D422" t="s">
        <v>892</v>
      </c>
      <c r="E422" t="s">
        <v>893</v>
      </c>
      <c r="F422" t="s">
        <v>4</v>
      </c>
      <c r="G422" t="s">
        <v>5</v>
      </c>
      <c r="H422" s="3">
        <v>65.05</v>
      </c>
      <c r="I422" t="s">
        <v>2005</v>
      </c>
      <c r="J422" t="s">
        <v>322</v>
      </c>
      <c r="K422" t="s">
        <v>8</v>
      </c>
      <c r="L422" t="s">
        <v>8</v>
      </c>
      <c r="M422" t="s">
        <v>8</v>
      </c>
      <c r="N422" t="s">
        <v>2006</v>
      </c>
      <c r="O422" t="s">
        <v>121</v>
      </c>
      <c r="P422" t="s">
        <v>613</v>
      </c>
    </row>
    <row r="423" spans="1:16" x14ac:dyDescent="0.25">
      <c r="A423" t="s">
        <v>0</v>
      </c>
      <c r="B423" s="2">
        <v>44650</v>
      </c>
      <c r="C423" s="5" t="s">
        <v>17</v>
      </c>
      <c r="D423" t="s">
        <v>892</v>
      </c>
      <c r="E423" t="s">
        <v>893</v>
      </c>
      <c r="F423" t="s">
        <v>4</v>
      </c>
      <c r="G423" t="s">
        <v>5</v>
      </c>
      <c r="H423" s="3">
        <v>65.05</v>
      </c>
      <c r="I423" t="s">
        <v>2007</v>
      </c>
      <c r="J423" t="s">
        <v>322</v>
      </c>
      <c r="K423" t="s">
        <v>8</v>
      </c>
      <c r="L423" t="s">
        <v>8</v>
      </c>
      <c r="M423" t="s">
        <v>8</v>
      </c>
      <c r="N423" t="s">
        <v>2008</v>
      </c>
      <c r="O423" t="s">
        <v>121</v>
      </c>
      <c r="P423" t="s">
        <v>613</v>
      </c>
    </row>
    <row r="424" spans="1:16" x14ac:dyDescent="0.25">
      <c r="A424" t="s">
        <v>0</v>
      </c>
      <c r="B424" s="2">
        <v>44650</v>
      </c>
      <c r="C424" s="5" t="s">
        <v>17</v>
      </c>
      <c r="D424" t="s">
        <v>892</v>
      </c>
      <c r="E424" t="s">
        <v>893</v>
      </c>
      <c r="F424" t="s">
        <v>4</v>
      </c>
      <c r="G424" t="s">
        <v>5</v>
      </c>
      <c r="H424" s="3">
        <v>65.05</v>
      </c>
      <c r="I424" t="s">
        <v>2009</v>
      </c>
      <c r="J424" t="s">
        <v>322</v>
      </c>
      <c r="K424" t="s">
        <v>8</v>
      </c>
      <c r="L424" t="s">
        <v>8</v>
      </c>
      <c r="M424" t="s">
        <v>8</v>
      </c>
      <c r="N424" t="s">
        <v>2010</v>
      </c>
      <c r="O424" t="s">
        <v>121</v>
      </c>
      <c r="P424" t="s">
        <v>613</v>
      </c>
    </row>
    <row r="425" spans="1:16" x14ac:dyDescent="0.25">
      <c r="A425" t="s">
        <v>0</v>
      </c>
      <c r="B425" s="2">
        <v>44650</v>
      </c>
      <c r="C425" s="5" t="s">
        <v>17</v>
      </c>
      <c r="D425" t="s">
        <v>373</v>
      </c>
      <c r="E425" t="s">
        <v>374</v>
      </c>
      <c r="F425" t="s">
        <v>4</v>
      </c>
      <c r="G425" t="s">
        <v>5</v>
      </c>
      <c r="H425" s="3">
        <v>-8339.43</v>
      </c>
      <c r="I425" t="s">
        <v>1301</v>
      </c>
      <c r="J425" t="s">
        <v>1302</v>
      </c>
      <c r="K425" t="s">
        <v>8</v>
      </c>
      <c r="L425" t="s">
        <v>8</v>
      </c>
      <c r="M425" t="s">
        <v>8</v>
      </c>
      <c r="N425" t="s">
        <v>2265</v>
      </c>
      <c r="O425" t="s">
        <v>121</v>
      </c>
      <c r="P425" t="s">
        <v>1304</v>
      </c>
    </row>
    <row r="426" spans="1:16" x14ac:dyDescent="0.25">
      <c r="A426" t="s">
        <v>0</v>
      </c>
      <c r="B426" s="2">
        <v>44651</v>
      </c>
      <c r="C426" t="s">
        <v>17</v>
      </c>
      <c r="D426" t="s">
        <v>90</v>
      </c>
      <c r="E426" t="s">
        <v>91</v>
      </c>
      <c r="F426" t="s">
        <v>4</v>
      </c>
      <c r="G426" t="s">
        <v>5</v>
      </c>
      <c r="H426" s="3">
        <v>50980.18</v>
      </c>
      <c r="I426" t="s">
        <v>160</v>
      </c>
      <c r="J426" t="s">
        <v>93</v>
      </c>
      <c r="K426" t="s">
        <v>8</v>
      </c>
      <c r="L426" t="s">
        <v>8</v>
      </c>
      <c r="M426" t="s">
        <v>8</v>
      </c>
      <c r="N426" t="s">
        <v>161</v>
      </c>
      <c r="O426" t="s">
        <v>95</v>
      </c>
      <c r="P426" t="s">
        <v>82</v>
      </c>
    </row>
    <row r="427" spans="1:16" x14ac:dyDescent="0.25">
      <c r="A427" t="s">
        <v>0</v>
      </c>
      <c r="B427" s="2">
        <v>44651</v>
      </c>
      <c r="C427" t="s">
        <v>17</v>
      </c>
      <c r="D427" t="s">
        <v>185</v>
      </c>
      <c r="E427" t="s">
        <v>186</v>
      </c>
      <c r="F427" t="s">
        <v>4</v>
      </c>
      <c r="G427" t="s">
        <v>5</v>
      </c>
      <c r="H427" s="3">
        <v>28230.49</v>
      </c>
      <c r="I427" t="s">
        <v>199</v>
      </c>
      <c r="J427" t="s">
        <v>188</v>
      </c>
      <c r="K427" t="s">
        <v>8</v>
      </c>
      <c r="L427" t="s">
        <v>8</v>
      </c>
      <c r="M427" t="s">
        <v>8</v>
      </c>
      <c r="N427" t="s">
        <v>200</v>
      </c>
      <c r="O427" t="s">
        <v>95</v>
      </c>
      <c r="P427" t="s">
        <v>190</v>
      </c>
    </row>
    <row r="428" spans="1:16" x14ac:dyDescent="0.25">
      <c r="A428" t="s">
        <v>0</v>
      </c>
      <c r="B428" s="2">
        <v>44651</v>
      </c>
      <c r="C428" t="s">
        <v>17</v>
      </c>
      <c r="D428" t="s">
        <v>333</v>
      </c>
      <c r="E428" t="s">
        <v>334</v>
      </c>
      <c r="F428" t="s">
        <v>4</v>
      </c>
      <c r="G428" t="s">
        <v>5</v>
      </c>
      <c r="H428" s="3">
        <v>14459.13</v>
      </c>
      <c r="I428" t="s">
        <v>347</v>
      </c>
      <c r="J428" t="s">
        <v>248</v>
      </c>
      <c r="K428" t="s">
        <v>8</v>
      </c>
      <c r="L428" t="s">
        <v>8</v>
      </c>
      <c r="M428" t="s">
        <v>8</v>
      </c>
      <c r="N428" t="s">
        <v>348</v>
      </c>
      <c r="O428" t="s">
        <v>95</v>
      </c>
      <c r="P428" t="s">
        <v>343</v>
      </c>
    </row>
    <row r="429" spans="1:16" x14ac:dyDescent="0.25">
      <c r="A429" t="s">
        <v>0</v>
      </c>
      <c r="B429" s="2">
        <v>44651</v>
      </c>
      <c r="C429" t="s">
        <v>17</v>
      </c>
      <c r="D429" t="s">
        <v>241</v>
      </c>
      <c r="E429" t="s">
        <v>242</v>
      </c>
      <c r="F429" t="s">
        <v>4</v>
      </c>
      <c r="G429" t="s">
        <v>5</v>
      </c>
      <c r="H429" s="3">
        <v>13363.23</v>
      </c>
      <c r="I429" t="s">
        <v>362</v>
      </c>
      <c r="J429" t="s">
        <v>244</v>
      </c>
      <c r="K429" t="s">
        <v>8</v>
      </c>
      <c r="L429" t="s">
        <v>8</v>
      </c>
      <c r="M429" t="s">
        <v>8</v>
      </c>
      <c r="N429" t="s">
        <v>363</v>
      </c>
      <c r="O429" t="s">
        <v>95</v>
      </c>
      <c r="P429" t="s">
        <v>364</v>
      </c>
    </row>
    <row r="430" spans="1:16" x14ac:dyDescent="0.25">
      <c r="A430" t="s">
        <v>0</v>
      </c>
      <c r="B430" s="2">
        <v>44651</v>
      </c>
      <c r="C430" s="5" t="s">
        <v>17</v>
      </c>
      <c r="D430" t="s">
        <v>969</v>
      </c>
      <c r="E430" t="s">
        <v>970</v>
      </c>
      <c r="F430" t="s">
        <v>4</v>
      </c>
      <c r="G430" t="s">
        <v>5</v>
      </c>
      <c r="H430" s="3">
        <v>1882.92</v>
      </c>
      <c r="I430" t="s">
        <v>978</v>
      </c>
      <c r="J430" t="s">
        <v>972</v>
      </c>
      <c r="K430" t="s">
        <v>8</v>
      </c>
      <c r="L430" t="s">
        <v>8</v>
      </c>
      <c r="M430" t="s">
        <v>8</v>
      </c>
      <c r="N430" t="s">
        <v>979</v>
      </c>
      <c r="O430" t="s">
        <v>974</v>
      </c>
      <c r="P430" t="s">
        <v>342</v>
      </c>
    </row>
    <row r="431" spans="1:16" x14ac:dyDescent="0.25">
      <c r="A431" t="s">
        <v>0</v>
      </c>
      <c r="B431" s="2">
        <v>44651</v>
      </c>
      <c r="C431" s="5" t="s">
        <v>17</v>
      </c>
      <c r="D431" t="s">
        <v>969</v>
      </c>
      <c r="E431" t="s">
        <v>970</v>
      </c>
      <c r="F431" t="s">
        <v>4</v>
      </c>
      <c r="G431" t="s">
        <v>5</v>
      </c>
      <c r="H431" s="3">
        <v>1882.92</v>
      </c>
      <c r="I431" t="s">
        <v>980</v>
      </c>
      <c r="J431" t="s">
        <v>972</v>
      </c>
      <c r="K431" t="s">
        <v>8</v>
      </c>
      <c r="L431" t="s">
        <v>8</v>
      </c>
      <c r="M431" t="s">
        <v>8</v>
      </c>
      <c r="N431" t="s">
        <v>981</v>
      </c>
      <c r="O431" t="s">
        <v>974</v>
      </c>
      <c r="P431" t="s">
        <v>342</v>
      </c>
    </row>
    <row r="432" spans="1:16" x14ac:dyDescent="0.25">
      <c r="A432" t="s">
        <v>0</v>
      </c>
      <c r="B432" s="2">
        <v>44651</v>
      </c>
      <c r="C432" s="5" t="s">
        <v>17</v>
      </c>
      <c r="D432" t="s">
        <v>969</v>
      </c>
      <c r="E432" t="s">
        <v>970</v>
      </c>
      <c r="F432" t="s">
        <v>4</v>
      </c>
      <c r="G432" t="s">
        <v>5</v>
      </c>
      <c r="H432" s="3">
        <v>1882.92</v>
      </c>
      <c r="I432" t="s">
        <v>982</v>
      </c>
      <c r="J432" t="s">
        <v>972</v>
      </c>
      <c r="K432" t="s">
        <v>8</v>
      </c>
      <c r="L432" t="s">
        <v>8</v>
      </c>
      <c r="M432" t="s">
        <v>8</v>
      </c>
      <c r="N432" t="s">
        <v>983</v>
      </c>
      <c r="O432" t="s">
        <v>974</v>
      </c>
      <c r="P432" t="s">
        <v>342</v>
      </c>
    </row>
    <row r="433" spans="1:16" x14ac:dyDescent="0.25">
      <c r="A433" t="s">
        <v>0</v>
      </c>
      <c r="B433" s="2">
        <v>44651</v>
      </c>
      <c r="C433" s="5" t="s">
        <v>17</v>
      </c>
      <c r="D433" t="s">
        <v>1003</v>
      </c>
      <c r="E433" t="s">
        <v>1004</v>
      </c>
      <c r="F433" t="s">
        <v>4</v>
      </c>
      <c r="G433" t="s">
        <v>5</v>
      </c>
      <c r="H433" s="3">
        <v>1793.54</v>
      </c>
      <c r="I433" t="s">
        <v>160</v>
      </c>
      <c r="J433" t="s">
        <v>93</v>
      </c>
      <c r="K433" t="s">
        <v>8</v>
      </c>
      <c r="L433" t="s">
        <v>8</v>
      </c>
      <c r="M433" t="s">
        <v>8</v>
      </c>
      <c r="N433" t="s">
        <v>161</v>
      </c>
      <c r="O433" t="s">
        <v>95</v>
      </c>
      <c r="P433" t="s">
        <v>613</v>
      </c>
    </row>
    <row r="434" spans="1:16" x14ac:dyDescent="0.25">
      <c r="A434" t="s">
        <v>0</v>
      </c>
      <c r="B434" s="2">
        <v>44651</v>
      </c>
      <c r="C434" s="5" t="s">
        <v>17</v>
      </c>
      <c r="D434" t="s">
        <v>969</v>
      </c>
      <c r="E434" t="s">
        <v>970</v>
      </c>
      <c r="F434" t="s">
        <v>4</v>
      </c>
      <c r="G434" t="s">
        <v>5</v>
      </c>
      <c r="H434" s="3">
        <v>420.36</v>
      </c>
      <c r="I434" t="s">
        <v>1575</v>
      </c>
      <c r="J434" t="s">
        <v>1483</v>
      </c>
      <c r="K434" t="s">
        <v>8</v>
      </c>
      <c r="L434" t="s">
        <v>8</v>
      </c>
      <c r="M434" t="s">
        <v>8</v>
      </c>
      <c r="N434" t="s">
        <v>1576</v>
      </c>
      <c r="O434" t="s">
        <v>974</v>
      </c>
      <c r="P434" t="s">
        <v>1</v>
      </c>
    </row>
    <row r="435" spans="1:16" x14ac:dyDescent="0.25">
      <c r="A435" t="s">
        <v>0</v>
      </c>
      <c r="B435" s="2">
        <v>44651</v>
      </c>
      <c r="C435" s="5" t="s">
        <v>17</v>
      </c>
      <c r="D435" t="s">
        <v>1839</v>
      </c>
      <c r="E435" t="s">
        <v>1840</v>
      </c>
      <c r="F435" t="s">
        <v>4</v>
      </c>
      <c r="G435" t="s">
        <v>5</v>
      </c>
      <c r="H435" s="3">
        <v>152.9</v>
      </c>
      <c r="I435" t="s">
        <v>347</v>
      </c>
      <c r="J435" t="s">
        <v>248</v>
      </c>
      <c r="K435" t="s">
        <v>8</v>
      </c>
      <c r="L435" t="s">
        <v>8</v>
      </c>
      <c r="M435" t="s">
        <v>8</v>
      </c>
      <c r="N435" t="s">
        <v>348</v>
      </c>
      <c r="O435" t="s">
        <v>95</v>
      </c>
      <c r="P435" t="s">
        <v>82</v>
      </c>
    </row>
    <row r="436" spans="1:16" x14ac:dyDescent="0.25">
      <c r="A436" t="s">
        <v>0</v>
      </c>
      <c r="B436" s="2">
        <v>44651</v>
      </c>
      <c r="C436" s="5" t="s">
        <v>17</v>
      </c>
      <c r="D436" t="s">
        <v>969</v>
      </c>
      <c r="E436" t="s">
        <v>970</v>
      </c>
      <c r="F436" t="s">
        <v>4</v>
      </c>
      <c r="G436" t="s">
        <v>5</v>
      </c>
      <c r="H436" s="3">
        <v>-1903.49</v>
      </c>
      <c r="I436" t="s">
        <v>975</v>
      </c>
      <c r="J436" t="s">
        <v>972</v>
      </c>
      <c r="K436" t="s">
        <v>8</v>
      </c>
      <c r="L436" t="s">
        <v>8</v>
      </c>
      <c r="M436" t="s">
        <v>8</v>
      </c>
      <c r="N436" t="s">
        <v>2251</v>
      </c>
      <c r="O436" t="s">
        <v>974</v>
      </c>
      <c r="P436" t="s">
        <v>361</v>
      </c>
    </row>
    <row r="437" spans="1:16" x14ac:dyDescent="0.25">
      <c r="A437" t="s">
        <v>0</v>
      </c>
      <c r="B437" s="2">
        <v>44651</v>
      </c>
      <c r="C437" s="5" t="s">
        <v>17</v>
      </c>
      <c r="D437" t="s">
        <v>969</v>
      </c>
      <c r="E437" t="s">
        <v>970</v>
      </c>
      <c r="F437" t="s">
        <v>4</v>
      </c>
      <c r="G437" t="s">
        <v>5</v>
      </c>
      <c r="H437" s="3">
        <v>-1903.49</v>
      </c>
      <c r="I437" t="s">
        <v>971</v>
      </c>
      <c r="J437" t="s">
        <v>972</v>
      </c>
      <c r="K437" t="s">
        <v>8</v>
      </c>
      <c r="L437" t="s">
        <v>8</v>
      </c>
      <c r="M437" t="s">
        <v>8</v>
      </c>
      <c r="N437" t="s">
        <v>2252</v>
      </c>
      <c r="O437" t="s">
        <v>974</v>
      </c>
      <c r="P437" t="s">
        <v>361</v>
      </c>
    </row>
    <row r="438" spans="1:16" x14ac:dyDescent="0.25">
      <c r="A438" t="s">
        <v>0</v>
      </c>
      <c r="B438" s="2">
        <v>44651</v>
      </c>
      <c r="C438" s="5" t="s">
        <v>17</v>
      </c>
      <c r="D438" t="s">
        <v>403</v>
      </c>
      <c r="E438" t="s">
        <v>404</v>
      </c>
      <c r="F438" t="s">
        <v>4</v>
      </c>
      <c r="G438" t="s">
        <v>5</v>
      </c>
      <c r="H438" s="3">
        <v>-5952.16</v>
      </c>
      <c r="I438" t="s">
        <v>2260</v>
      </c>
      <c r="J438" t="s">
        <v>406</v>
      </c>
      <c r="K438" t="s">
        <v>8</v>
      </c>
      <c r="L438" t="s">
        <v>8</v>
      </c>
      <c r="M438" t="s">
        <v>8</v>
      </c>
      <c r="N438" t="s">
        <v>2261</v>
      </c>
      <c r="O438" t="s">
        <v>408</v>
      </c>
      <c r="P438" t="s">
        <v>343</v>
      </c>
    </row>
    <row r="439" spans="1:16" x14ac:dyDescent="0.25">
      <c r="A439" t="s">
        <v>0</v>
      </c>
      <c r="B439" s="2">
        <v>44652</v>
      </c>
      <c r="C439" t="s">
        <v>17</v>
      </c>
      <c r="D439" t="s">
        <v>108</v>
      </c>
      <c r="E439" t="s">
        <v>109</v>
      </c>
      <c r="F439" t="s">
        <v>4</v>
      </c>
      <c r="G439" t="s">
        <v>5</v>
      </c>
      <c r="H439" s="3">
        <v>84306.36</v>
      </c>
      <c r="I439" t="s">
        <v>119</v>
      </c>
      <c r="J439" t="s">
        <v>109</v>
      </c>
      <c r="K439" t="s">
        <v>8</v>
      </c>
      <c r="L439" t="s">
        <v>8</v>
      </c>
      <c r="M439" t="s">
        <v>8</v>
      </c>
      <c r="N439" t="s">
        <v>120</v>
      </c>
      <c r="O439" t="s">
        <v>121</v>
      </c>
      <c r="P439" t="s">
        <v>118</v>
      </c>
    </row>
    <row r="440" spans="1:16" x14ac:dyDescent="0.25">
      <c r="A440" t="s">
        <v>0</v>
      </c>
      <c r="B440" s="2">
        <v>44652</v>
      </c>
      <c r="C440" t="s">
        <v>17</v>
      </c>
      <c r="D440" t="s">
        <v>152</v>
      </c>
      <c r="E440" t="s">
        <v>153</v>
      </c>
      <c r="F440" t="s">
        <v>4</v>
      </c>
      <c r="G440" t="s">
        <v>5</v>
      </c>
      <c r="H440" s="3">
        <v>27396.53</v>
      </c>
      <c r="I440" t="s">
        <v>212</v>
      </c>
      <c r="J440" t="s">
        <v>109</v>
      </c>
      <c r="K440" t="s">
        <v>8</v>
      </c>
      <c r="L440" t="s">
        <v>8</v>
      </c>
      <c r="M440" t="s">
        <v>8</v>
      </c>
      <c r="N440" t="s">
        <v>120</v>
      </c>
      <c r="O440" t="s">
        <v>121</v>
      </c>
      <c r="P440" t="s">
        <v>155</v>
      </c>
    </row>
    <row r="441" spans="1:16" x14ac:dyDescent="0.25">
      <c r="A441" t="s">
        <v>0</v>
      </c>
      <c r="B441" s="2">
        <v>44652</v>
      </c>
      <c r="C441" t="s">
        <v>17</v>
      </c>
      <c r="D441" t="s">
        <v>216</v>
      </c>
      <c r="E441" t="s">
        <v>217</v>
      </c>
      <c r="F441" t="s">
        <v>4</v>
      </c>
      <c r="G441" t="s">
        <v>5</v>
      </c>
      <c r="H441" s="3">
        <v>21061.919999999998</v>
      </c>
      <c r="I441" t="s">
        <v>218</v>
      </c>
      <c r="J441" t="s">
        <v>8</v>
      </c>
      <c r="K441" t="s">
        <v>219</v>
      </c>
      <c r="L441" t="s">
        <v>8</v>
      </c>
      <c r="M441" t="s">
        <v>220</v>
      </c>
      <c r="N441" t="s">
        <v>292</v>
      </c>
      <c r="O441" t="s">
        <v>95</v>
      </c>
      <c r="P441" t="s">
        <v>293</v>
      </c>
    </row>
    <row r="442" spans="1:16" x14ac:dyDescent="0.25">
      <c r="A442" t="s">
        <v>0</v>
      </c>
      <c r="B442" s="2">
        <v>44652</v>
      </c>
      <c r="C442" s="5" t="s">
        <v>43</v>
      </c>
      <c r="D442" t="s">
        <v>2</v>
      </c>
      <c r="E442" t="s">
        <v>3</v>
      </c>
      <c r="F442" t="s">
        <v>4</v>
      </c>
      <c r="G442" t="s">
        <v>5</v>
      </c>
      <c r="H442" s="3">
        <v>9380.1299999999992</v>
      </c>
      <c r="I442" t="s">
        <v>493</v>
      </c>
      <c r="J442" t="s">
        <v>487</v>
      </c>
      <c r="K442" t="s">
        <v>8</v>
      </c>
      <c r="L442" t="s">
        <v>494</v>
      </c>
      <c r="M442" t="s">
        <v>8</v>
      </c>
      <c r="N442" t="s">
        <v>495</v>
      </c>
      <c r="O442" t="s">
        <v>29</v>
      </c>
      <c r="P442" t="s">
        <v>1</v>
      </c>
    </row>
    <row r="443" spans="1:16" x14ac:dyDescent="0.25">
      <c r="A443" t="s">
        <v>0</v>
      </c>
      <c r="B443" s="2">
        <v>44652</v>
      </c>
      <c r="C443" s="5" t="s">
        <v>17</v>
      </c>
      <c r="D443" t="s">
        <v>398</v>
      </c>
      <c r="E443" t="s">
        <v>399</v>
      </c>
      <c r="F443" t="s">
        <v>4</v>
      </c>
      <c r="G443" t="s">
        <v>5</v>
      </c>
      <c r="H443" s="3">
        <v>2496.36</v>
      </c>
      <c r="I443" t="s">
        <v>400</v>
      </c>
      <c r="J443" t="s">
        <v>8</v>
      </c>
      <c r="K443" t="s">
        <v>219</v>
      </c>
      <c r="L443" t="s">
        <v>8</v>
      </c>
      <c r="M443" t="s">
        <v>220</v>
      </c>
      <c r="N443" t="s">
        <v>292</v>
      </c>
      <c r="O443" t="s">
        <v>95</v>
      </c>
      <c r="P443" t="s">
        <v>599</v>
      </c>
    </row>
    <row r="444" spans="1:16" x14ac:dyDescent="0.25">
      <c r="A444" t="s">
        <v>0</v>
      </c>
      <c r="B444" s="2">
        <v>44652</v>
      </c>
      <c r="C444" s="5" t="s">
        <v>17</v>
      </c>
      <c r="D444" t="s">
        <v>885</v>
      </c>
      <c r="E444" t="s">
        <v>886</v>
      </c>
      <c r="F444" t="s">
        <v>4</v>
      </c>
      <c r="G444" t="s">
        <v>5</v>
      </c>
      <c r="H444" s="3">
        <v>2148.6</v>
      </c>
      <c r="I444" t="s">
        <v>887</v>
      </c>
      <c r="J444" t="s">
        <v>8</v>
      </c>
      <c r="K444" t="s">
        <v>219</v>
      </c>
      <c r="L444" t="s">
        <v>8</v>
      </c>
      <c r="M444" t="s">
        <v>220</v>
      </c>
      <c r="N444" t="s">
        <v>292</v>
      </c>
      <c r="O444" t="s">
        <v>95</v>
      </c>
      <c r="P444" t="s">
        <v>946</v>
      </c>
    </row>
    <row r="445" spans="1:16" x14ac:dyDescent="0.25">
      <c r="A445" t="s">
        <v>0</v>
      </c>
      <c r="B445" s="2">
        <v>44652</v>
      </c>
      <c r="C445" s="5" t="s">
        <v>17</v>
      </c>
      <c r="D445" t="s">
        <v>644</v>
      </c>
      <c r="E445" t="s">
        <v>645</v>
      </c>
      <c r="F445" t="s">
        <v>4</v>
      </c>
      <c r="G445" t="s">
        <v>5</v>
      </c>
      <c r="H445" s="3">
        <v>1638.97</v>
      </c>
      <c r="I445" t="s">
        <v>1057</v>
      </c>
      <c r="J445" t="s">
        <v>109</v>
      </c>
      <c r="K445" t="s">
        <v>8</v>
      </c>
      <c r="L445" t="s">
        <v>8</v>
      </c>
      <c r="M445" t="s">
        <v>8</v>
      </c>
      <c r="N445" t="s">
        <v>120</v>
      </c>
      <c r="O445" t="s">
        <v>121</v>
      </c>
      <c r="P445" t="s">
        <v>215</v>
      </c>
    </row>
    <row r="446" spans="1:16" x14ac:dyDescent="0.25">
      <c r="A446" t="s">
        <v>0</v>
      </c>
      <c r="B446" s="2">
        <v>44652</v>
      </c>
      <c r="C446" s="5" t="s">
        <v>17</v>
      </c>
      <c r="D446" t="s">
        <v>881</v>
      </c>
      <c r="E446" t="s">
        <v>882</v>
      </c>
      <c r="F446" t="s">
        <v>4</v>
      </c>
      <c r="G446" t="s">
        <v>5</v>
      </c>
      <c r="H446" s="3">
        <v>1318.61</v>
      </c>
      <c r="I446" t="s">
        <v>1124</v>
      </c>
      <c r="J446" t="s">
        <v>109</v>
      </c>
      <c r="K446" t="s">
        <v>8</v>
      </c>
      <c r="L446" t="s">
        <v>8</v>
      </c>
      <c r="M446" t="s">
        <v>8</v>
      </c>
      <c r="N446" t="s">
        <v>120</v>
      </c>
      <c r="O446" t="s">
        <v>121</v>
      </c>
      <c r="P446" t="s">
        <v>911</v>
      </c>
    </row>
    <row r="447" spans="1:16" x14ac:dyDescent="0.25">
      <c r="A447" t="s">
        <v>0</v>
      </c>
      <c r="B447" s="2">
        <v>44652</v>
      </c>
      <c r="C447" s="5" t="s">
        <v>17</v>
      </c>
      <c r="D447" t="s">
        <v>108</v>
      </c>
      <c r="E447" t="s">
        <v>109</v>
      </c>
      <c r="F447" t="s">
        <v>4</v>
      </c>
      <c r="G447" t="s">
        <v>5</v>
      </c>
      <c r="H447" s="3">
        <v>1292.5999999999999</v>
      </c>
      <c r="I447" t="s">
        <v>1130</v>
      </c>
      <c r="J447" t="s">
        <v>109</v>
      </c>
      <c r="K447" t="s">
        <v>8</v>
      </c>
      <c r="L447" t="s">
        <v>8</v>
      </c>
      <c r="M447" t="s">
        <v>8</v>
      </c>
      <c r="N447" t="s">
        <v>120</v>
      </c>
      <c r="O447" t="s">
        <v>121</v>
      </c>
      <c r="P447" t="s">
        <v>1122</v>
      </c>
    </row>
    <row r="448" spans="1:16" x14ac:dyDescent="0.25">
      <c r="A448" t="s">
        <v>0</v>
      </c>
      <c r="B448" s="2">
        <v>44652</v>
      </c>
      <c r="C448" s="5" t="s">
        <v>17</v>
      </c>
      <c r="D448" t="s">
        <v>753</v>
      </c>
      <c r="E448" t="s">
        <v>754</v>
      </c>
      <c r="F448" t="s">
        <v>4</v>
      </c>
      <c r="G448" t="s">
        <v>5</v>
      </c>
      <c r="H448" s="3">
        <v>1173.8499999999999</v>
      </c>
      <c r="I448" t="s">
        <v>755</v>
      </c>
      <c r="J448" t="s">
        <v>8</v>
      </c>
      <c r="K448" t="s">
        <v>219</v>
      </c>
      <c r="L448" t="s">
        <v>8</v>
      </c>
      <c r="M448" t="s">
        <v>220</v>
      </c>
      <c r="N448" t="s">
        <v>292</v>
      </c>
      <c r="O448" t="s">
        <v>95</v>
      </c>
      <c r="P448" t="s">
        <v>963</v>
      </c>
    </row>
    <row r="449" spans="1:16" x14ac:dyDescent="0.25">
      <c r="A449" t="s">
        <v>0</v>
      </c>
      <c r="B449" s="2">
        <v>44652</v>
      </c>
      <c r="C449" s="5" t="s">
        <v>43</v>
      </c>
      <c r="D449" t="s">
        <v>922</v>
      </c>
      <c r="E449" t="s">
        <v>923</v>
      </c>
      <c r="F449" t="s">
        <v>4</v>
      </c>
      <c r="G449" t="s">
        <v>5</v>
      </c>
      <c r="H449" s="3">
        <v>1000</v>
      </c>
      <c r="I449" t="s">
        <v>1215</v>
      </c>
      <c r="J449" t="s">
        <v>1216</v>
      </c>
      <c r="K449" t="s">
        <v>8</v>
      </c>
      <c r="L449" t="s">
        <v>8</v>
      </c>
      <c r="M449" t="s">
        <v>8</v>
      </c>
      <c r="N449" t="s">
        <v>1217</v>
      </c>
      <c r="O449" t="s">
        <v>389</v>
      </c>
      <c r="P449" t="s">
        <v>1</v>
      </c>
    </row>
    <row r="450" spans="1:16" x14ac:dyDescent="0.25">
      <c r="A450" t="s">
        <v>0</v>
      </c>
      <c r="B450" s="2">
        <v>44652</v>
      </c>
      <c r="C450" s="5" t="s">
        <v>17</v>
      </c>
      <c r="D450" t="s">
        <v>651</v>
      </c>
      <c r="E450" t="s">
        <v>652</v>
      </c>
      <c r="F450" t="s">
        <v>4</v>
      </c>
      <c r="G450" t="s">
        <v>5</v>
      </c>
      <c r="H450" s="3">
        <v>-2450.7800000000002</v>
      </c>
      <c r="I450" t="s">
        <v>653</v>
      </c>
      <c r="J450" t="s">
        <v>8</v>
      </c>
      <c r="K450" t="s">
        <v>219</v>
      </c>
      <c r="L450" t="s">
        <v>8</v>
      </c>
      <c r="M450" t="s">
        <v>220</v>
      </c>
      <c r="N450" t="s">
        <v>292</v>
      </c>
      <c r="O450" t="s">
        <v>95</v>
      </c>
      <c r="P450" t="s">
        <v>747</v>
      </c>
    </row>
    <row r="451" spans="1:16" x14ac:dyDescent="0.25">
      <c r="A451" t="s">
        <v>0</v>
      </c>
      <c r="B451" s="2">
        <v>44652</v>
      </c>
      <c r="C451" s="5" t="s">
        <v>17</v>
      </c>
      <c r="D451" t="s">
        <v>2289</v>
      </c>
      <c r="E451" t="s">
        <v>2290</v>
      </c>
      <c r="F451" t="s">
        <v>4</v>
      </c>
      <c r="G451" t="s">
        <v>5</v>
      </c>
      <c r="H451" s="3">
        <v>-1101575.49</v>
      </c>
      <c r="I451" t="s">
        <v>2291</v>
      </c>
      <c r="J451" t="s">
        <v>8</v>
      </c>
      <c r="K451" t="s">
        <v>2292</v>
      </c>
      <c r="L451" t="s">
        <v>8</v>
      </c>
      <c r="M451" t="s">
        <v>220</v>
      </c>
      <c r="N451" t="s">
        <v>2300</v>
      </c>
      <c r="O451" t="s">
        <v>95</v>
      </c>
      <c r="P451" t="s">
        <v>2294</v>
      </c>
    </row>
    <row r="452" spans="1:16" x14ac:dyDescent="0.25">
      <c r="A452" t="s">
        <v>0</v>
      </c>
      <c r="B452" s="2">
        <v>44657</v>
      </c>
      <c r="C452" s="5" t="s">
        <v>43</v>
      </c>
      <c r="D452" t="s">
        <v>373</v>
      </c>
      <c r="E452" t="s">
        <v>374</v>
      </c>
      <c r="F452" t="s">
        <v>4</v>
      </c>
      <c r="G452" t="s">
        <v>5</v>
      </c>
      <c r="H452" s="3">
        <v>833.94</v>
      </c>
      <c r="I452" t="s">
        <v>1301</v>
      </c>
      <c r="J452" t="s">
        <v>1302</v>
      </c>
      <c r="K452" t="s">
        <v>8</v>
      </c>
      <c r="L452" t="s">
        <v>8</v>
      </c>
      <c r="M452" t="s">
        <v>8</v>
      </c>
      <c r="N452" t="s">
        <v>1305</v>
      </c>
      <c r="O452" t="s">
        <v>121</v>
      </c>
      <c r="P452" t="s">
        <v>1304</v>
      </c>
    </row>
    <row r="453" spans="1:16" x14ac:dyDescent="0.25">
      <c r="A453" t="s">
        <v>0</v>
      </c>
      <c r="B453" s="2">
        <v>44658</v>
      </c>
      <c r="C453" t="s">
        <v>43</v>
      </c>
      <c r="D453" t="s">
        <v>390</v>
      </c>
      <c r="E453" t="s">
        <v>391</v>
      </c>
      <c r="F453" t="s">
        <v>4</v>
      </c>
      <c r="G453" t="s">
        <v>5</v>
      </c>
      <c r="H453" s="3">
        <v>10626.95</v>
      </c>
      <c r="I453" t="s">
        <v>392</v>
      </c>
      <c r="J453" t="s">
        <v>393</v>
      </c>
      <c r="K453" t="s">
        <v>8</v>
      </c>
      <c r="L453" t="s">
        <v>394</v>
      </c>
      <c r="M453" t="s">
        <v>8</v>
      </c>
      <c r="N453" t="s">
        <v>395</v>
      </c>
      <c r="O453" t="s">
        <v>396</v>
      </c>
      <c r="P453" t="s">
        <v>82</v>
      </c>
    </row>
    <row r="454" spans="1:16" x14ac:dyDescent="0.25">
      <c r="A454" t="s">
        <v>0</v>
      </c>
      <c r="B454" s="2">
        <v>44658</v>
      </c>
      <c r="C454" s="5" t="s">
        <v>43</v>
      </c>
      <c r="D454" t="s">
        <v>390</v>
      </c>
      <c r="E454" t="s">
        <v>391</v>
      </c>
      <c r="F454" t="s">
        <v>4</v>
      </c>
      <c r="G454" t="s">
        <v>5</v>
      </c>
      <c r="H454" s="3">
        <v>2319.7399999999998</v>
      </c>
      <c r="I454" t="s">
        <v>927</v>
      </c>
      <c r="J454" t="s">
        <v>393</v>
      </c>
      <c r="K454" t="s">
        <v>8</v>
      </c>
      <c r="L454" t="s">
        <v>394</v>
      </c>
      <c r="M454" t="s">
        <v>8</v>
      </c>
      <c r="N454" t="s">
        <v>395</v>
      </c>
      <c r="O454" t="s">
        <v>396</v>
      </c>
      <c r="P454" t="s">
        <v>17</v>
      </c>
    </row>
    <row r="455" spans="1:16" x14ac:dyDescent="0.25">
      <c r="A455" t="s">
        <v>0</v>
      </c>
      <c r="B455" s="2">
        <v>44658</v>
      </c>
      <c r="C455" s="5" t="s">
        <v>43</v>
      </c>
      <c r="D455" t="s">
        <v>390</v>
      </c>
      <c r="E455" t="s">
        <v>391</v>
      </c>
      <c r="F455" t="s">
        <v>4</v>
      </c>
      <c r="G455" t="s">
        <v>5</v>
      </c>
      <c r="H455" s="3">
        <v>1332.72</v>
      </c>
      <c r="I455" t="s">
        <v>1120</v>
      </c>
      <c r="J455" t="s">
        <v>393</v>
      </c>
      <c r="K455" t="s">
        <v>8</v>
      </c>
      <c r="L455" t="s">
        <v>394</v>
      </c>
      <c r="M455" t="s">
        <v>8</v>
      </c>
      <c r="N455" t="s">
        <v>395</v>
      </c>
      <c r="O455" t="s">
        <v>396</v>
      </c>
      <c r="P455" t="s">
        <v>12</v>
      </c>
    </row>
    <row r="456" spans="1:16" x14ac:dyDescent="0.25">
      <c r="A456" t="s">
        <v>0</v>
      </c>
      <c r="B456" s="2">
        <v>44658</v>
      </c>
      <c r="C456" s="5" t="s">
        <v>43</v>
      </c>
      <c r="D456" t="s">
        <v>390</v>
      </c>
      <c r="E456" t="s">
        <v>391</v>
      </c>
      <c r="F456" t="s">
        <v>4</v>
      </c>
      <c r="G456" t="s">
        <v>5</v>
      </c>
      <c r="H456" s="3">
        <v>214.28</v>
      </c>
      <c r="I456" t="s">
        <v>1767</v>
      </c>
      <c r="J456" t="s">
        <v>393</v>
      </c>
      <c r="K456" t="s">
        <v>8</v>
      </c>
      <c r="L456" t="s">
        <v>394</v>
      </c>
      <c r="M456" t="s">
        <v>8</v>
      </c>
      <c r="N456" t="s">
        <v>395</v>
      </c>
      <c r="O456" t="s">
        <v>396</v>
      </c>
      <c r="P456" t="s">
        <v>43</v>
      </c>
    </row>
    <row r="457" spans="1:16" x14ac:dyDescent="0.25">
      <c r="A457" t="s">
        <v>0</v>
      </c>
      <c r="B457" s="2">
        <v>44658</v>
      </c>
      <c r="C457" s="5" t="s">
        <v>43</v>
      </c>
      <c r="D457" t="s">
        <v>390</v>
      </c>
      <c r="E457" t="s">
        <v>391</v>
      </c>
      <c r="F457" t="s">
        <v>4</v>
      </c>
      <c r="G457" t="s">
        <v>5</v>
      </c>
      <c r="H457" s="3">
        <v>74.92</v>
      </c>
      <c r="I457" t="s">
        <v>1973</v>
      </c>
      <c r="J457" t="s">
        <v>393</v>
      </c>
      <c r="K457" t="s">
        <v>8</v>
      </c>
      <c r="L457" t="s">
        <v>394</v>
      </c>
      <c r="M457" t="s">
        <v>8</v>
      </c>
      <c r="N457" t="s">
        <v>395</v>
      </c>
      <c r="O457" t="s">
        <v>396</v>
      </c>
      <c r="P457" t="s">
        <v>72</v>
      </c>
    </row>
    <row r="458" spans="1:16" x14ac:dyDescent="0.25">
      <c r="A458" t="s">
        <v>0</v>
      </c>
      <c r="B458" s="2">
        <v>44658</v>
      </c>
      <c r="C458" s="5" t="s">
        <v>43</v>
      </c>
      <c r="D458" t="s">
        <v>390</v>
      </c>
      <c r="E458" t="s">
        <v>391</v>
      </c>
      <c r="F458" t="s">
        <v>4</v>
      </c>
      <c r="G458" t="s">
        <v>5</v>
      </c>
      <c r="H458" s="3">
        <v>68.069999999999993</v>
      </c>
      <c r="I458" t="s">
        <v>1997</v>
      </c>
      <c r="J458" t="s">
        <v>393</v>
      </c>
      <c r="K458" t="s">
        <v>8</v>
      </c>
      <c r="L458" t="s">
        <v>394</v>
      </c>
      <c r="M458" t="s">
        <v>8</v>
      </c>
      <c r="N458" t="s">
        <v>395</v>
      </c>
      <c r="O458" t="s">
        <v>396</v>
      </c>
      <c r="P458" t="s">
        <v>22</v>
      </c>
    </row>
    <row r="459" spans="1:16" x14ac:dyDescent="0.25">
      <c r="A459" t="s">
        <v>0</v>
      </c>
      <c r="B459" s="2">
        <v>44658</v>
      </c>
      <c r="C459" s="5" t="s">
        <v>43</v>
      </c>
      <c r="D459" t="s">
        <v>390</v>
      </c>
      <c r="E459" t="s">
        <v>391</v>
      </c>
      <c r="F459" t="s">
        <v>4</v>
      </c>
      <c r="G459" t="s">
        <v>5</v>
      </c>
      <c r="H459" s="3">
        <v>34.89</v>
      </c>
      <c r="I459" t="s">
        <v>2080</v>
      </c>
      <c r="J459" t="s">
        <v>393</v>
      </c>
      <c r="K459" t="s">
        <v>8</v>
      </c>
      <c r="L459" t="s">
        <v>394</v>
      </c>
      <c r="M459" t="s">
        <v>8</v>
      </c>
      <c r="N459" t="s">
        <v>395</v>
      </c>
      <c r="O459" t="s">
        <v>396</v>
      </c>
      <c r="P459" t="s">
        <v>77</v>
      </c>
    </row>
    <row r="460" spans="1:16" x14ac:dyDescent="0.25">
      <c r="A460" t="s">
        <v>0</v>
      </c>
      <c r="B460" s="2">
        <v>44658</v>
      </c>
      <c r="C460" s="5" t="s">
        <v>43</v>
      </c>
      <c r="D460" t="s">
        <v>390</v>
      </c>
      <c r="E460" t="s">
        <v>391</v>
      </c>
      <c r="F460" t="s">
        <v>4</v>
      </c>
      <c r="G460" t="s">
        <v>5</v>
      </c>
      <c r="H460" s="3">
        <v>8.64</v>
      </c>
      <c r="I460" t="s">
        <v>2145</v>
      </c>
      <c r="J460" t="s">
        <v>393</v>
      </c>
      <c r="K460" t="s">
        <v>8</v>
      </c>
      <c r="L460" t="s">
        <v>394</v>
      </c>
      <c r="M460" t="s">
        <v>8</v>
      </c>
      <c r="N460" t="s">
        <v>395</v>
      </c>
      <c r="O460" t="s">
        <v>396</v>
      </c>
      <c r="P460" t="s">
        <v>1</v>
      </c>
    </row>
    <row r="461" spans="1:16" x14ac:dyDescent="0.25">
      <c r="A461" t="s">
        <v>0</v>
      </c>
      <c r="B461" s="2">
        <v>44662</v>
      </c>
      <c r="C461" s="5" t="s">
        <v>43</v>
      </c>
      <c r="D461" t="s">
        <v>697</v>
      </c>
      <c r="E461" t="s">
        <v>698</v>
      </c>
      <c r="F461" t="s">
        <v>4</v>
      </c>
      <c r="G461" t="s">
        <v>5</v>
      </c>
      <c r="H461" s="3">
        <v>4780.07</v>
      </c>
      <c r="I461" t="s">
        <v>706</v>
      </c>
      <c r="J461" t="s">
        <v>700</v>
      </c>
      <c r="K461" t="s">
        <v>8</v>
      </c>
      <c r="L461" t="s">
        <v>707</v>
      </c>
      <c r="M461" t="s">
        <v>8</v>
      </c>
      <c r="N461" t="s">
        <v>708</v>
      </c>
      <c r="O461" t="s">
        <v>29</v>
      </c>
      <c r="P461" t="s">
        <v>1</v>
      </c>
    </row>
    <row r="462" spans="1:16" x14ac:dyDescent="0.25">
      <c r="A462" t="s">
        <v>0</v>
      </c>
      <c r="B462" s="2">
        <v>44662</v>
      </c>
      <c r="C462" s="5" t="s">
        <v>43</v>
      </c>
      <c r="D462" t="s">
        <v>922</v>
      </c>
      <c r="E462" t="s">
        <v>923</v>
      </c>
      <c r="F462" t="s">
        <v>4</v>
      </c>
      <c r="G462" t="s">
        <v>5</v>
      </c>
      <c r="H462" s="3">
        <v>2326.25</v>
      </c>
      <c r="I462" t="s">
        <v>917</v>
      </c>
      <c r="J462" t="s">
        <v>809</v>
      </c>
      <c r="K462" t="s">
        <v>8</v>
      </c>
      <c r="L462" t="s">
        <v>924</v>
      </c>
      <c r="M462" t="s">
        <v>8</v>
      </c>
      <c r="N462" t="s">
        <v>925</v>
      </c>
      <c r="O462" t="s">
        <v>29</v>
      </c>
      <c r="P462" t="s">
        <v>1</v>
      </c>
    </row>
    <row r="463" spans="1:16" x14ac:dyDescent="0.25">
      <c r="A463" t="s">
        <v>0</v>
      </c>
      <c r="B463" s="2">
        <v>44662</v>
      </c>
      <c r="C463" s="5" t="s">
        <v>43</v>
      </c>
      <c r="D463" t="s">
        <v>1378</v>
      </c>
      <c r="E463" t="s">
        <v>1379</v>
      </c>
      <c r="F463" t="s">
        <v>4</v>
      </c>
      <c r="G463" t="s">
        <v>5</v>
      </c>
      <c r="H463" s="3">
        <v>469.28</v>
      </c>
      <c r="I463" t="s">
        <v>1498</v>
      </c>
      <c r="J463" t="s">
        <v>1381</v>
      </c>
      <c r="K463" t="s">
        <v>8</v>
      </c>
      <c r="L463" t="s">
        <v>1499</v>
      </c>
      <c r="M463" t="s">
        <v>8</v>
      </c>
      <c r="N463" t="s">
        <v>1500</v>
      </c>
      <c r="O463" t="s">
        <v>29</v>
      </c>
      <c r="P463" t="s">
        <v>1</v>
      </c>
    </row>
    <row r="464" spans="1:16" x14ac:dyDescent="0.25">
      <c r="A464" t="s">
        <v>0</v>
      </c>
      <c r="B464" s="2">
        <v>44662</v>
      </c>
      <c r="C464" s="5" t="s">
        <v>43</v>
      </c>
      <c r="D464" t="s">
        <v>390</v>
      </c>
      <c r="E464" t="s">
        <v>391</v>
      </c>
      <c r="F464" t="s">
        <v>4</v>
      </c>
      <c r="G464" t="s">
        <v>5</v>
      </c>
      <c r="H464" s="3">
        <v>-2.64</v>
      </c>
      <c r="I464" t="s">
        <v>2160</v>
      </c>
      <c r="J464" t="s">
        <v>393</v>
      </c>
      <c r="K464" t="s">
        <v>8</v>
      </c>
      <c r="L464" t="s">
        <v>394</v>
      </c>
      <c r="M464" t="s">
        <v>8</v>
      </c>
      <c r="N464" t="s">
        <v>2161</v>
      </c>
      <c r="O464" t="s">
        <v>450</v>
      </c>
      <c r="P464" t="s">
        <v>1</v>
      </c>
    </row>
    <row r="465" spans="1:16" x14ac:dyDescent="0.25">
      <c r="A465" t="s">
        <v>0</v>
      </c>
      <c r="B465" s="2">
        <v>44662</v>
      </c>
      <c r="C465" s="5" t="s">
        <v>43</v>
      </c>
      <c r="D465" t="s">
        <v>390</v>
      </c>
      <c r="E465" t="s">
        <v>391</v>
      </c>
      <c r="F465" t="s">
        <v>4</v>
      </c>
      <c r="G465" t="s">
        <v>5</v>
      </c>
      <c r="H465" s="3">
        <v>-6.46</v>
      </c>
      <c r="I465" t="s">
        <v>2160</v>
      </c>
      <c r="J465" t="s">
        <v>393</v>
      </c>
      <c r="K465" t="s">
        <v>8</v>
      </c>
      <c r="L465" t="s">
        <v>394</v>
      </c>
      <c r="M465" t="s">
        <v>8</v>
      </c>
      <c r="N465" t="s">
        <v>2161</v>
      </c>
      <c r="O465" t="s">
        <v>450</v>
      </c>
      <c r="P465" t="s">
        <v>77</v>
      </c>
    </row>
    <row r="466" spans="1:16" x14ac:dyDescent="0.25">
      <c r="A466" t="s">
        <v>0</v>
      </c>
      <c r="B466" s="2">
        <v>44662</v>
      </c>
      <c r="C466" s="5" t="s">
        <v>43</v>
      </c>
      <c r="D466" t="s">
        <v>390</v>
      </c>
      <c r="E466" t="s">
        <v>391</v>
      </c>
      <c r="F466" t="s">
        <v>4</v>
      </c>
      <c r="G466" t="s">
        <v>5</v>
      </c>
      <c r="H466" s="3">
        <v>-20.82</v>
      </c>
      <c r="I466" t="s">
        <v>2160</v>
      </c>
      <c r="J466" t="s">
        <v>393</v>
      </c>
      <c r="K466" t="s">
        <v>8</v>
      </c>
      <c r="L466" t="s">
        <v>394</v>
      </c>
      <c r="M466" t="s">
        <v>8</v>
      </c>
      <c r="N466" t="s">
        <v>2161</v>
      </c>
      <c r="O466" t="s">
        <v>450</v>
      </c>
      <c r="P466" t="s">
        <v>22</v>
      </c>
    </row>
    <row r="467" spans="1:16" x14ac:dyDescent="0.25">
      <c r="A467" t="s">
        <v>0</v>
      </c>
      <c r="B467" s="2">
        <v>44662</v>
      </c>
      <c r="C467" s="5" t="s">
        <v>43</v>
      </c>
      <c r="D467" t="s">
        <v>390</v>
      </c>
      <c r="E467" t="s">
        <v>391</v>
      </c>
      <c r="F467" t="s">
        <v>4</v>
      </c>
      <c r="G467" t="s">
        <v>5</v>
      </c>
      <c r="H467" s="3">
        <v>-22.92</v>
      </c>
      <c r="I467" t="s">
        <v>2160</v>
      </c>
      <c r="J467" t="s">
        <v>393</v>
      </c>
      <c r="K467" t="s">
        <v>8</v>
      </c>
      <c r="L467" t="s">
        <v>394</v>
      </c>
      <c r="M467" t="s">
        <v>8</v>
      </c>
      <c r="N467" t="s">
        <v>2161</v>
      </c>
      <c r="O467" t="s">
        <v>450</v>
      </c>
      <c r="P467" t="s">
        <v>72</v>
      </c>
    </row>
    <row r="468" spans="1:16" x14ac:dyDescent="0.25">
      <c r="A468" t="s">
        <v>0</v>
      </c>
      <c r="B468" s="2">
        <v>44662</v>
      </c>
      <c r="C468" s="5" t="s">
        <v>43</v>
      </c>
      <c r="D468" t="s">
        <v>390</v>
      </c>
      <c r="E468" t="s">
        <v>391</v>
      </c>
      <c r="F468" t="s">
        <v>4</v>
      </c>
      <c r="G468" t="s">
        <v>5</v>
      </c>
      <c r="H468" s="3">
        <v>-25.71</v>
      </c>
      <c r="I468" t="s">
        <v>2160</v>
      </c>
      <c r="J468" t="s">
        <v>393</v>
      </c>
      <c r="K468" t="s">
        <v>8</v>
      </c>
      <c r="L468" t="s">
        <v>394</v>
      </c>
      <c r="M468" t="s">
        <v>8</v>
      </c>
      <c r="N468" t="s">
        <v>2161</v>
      </c>
      <c r="O468" t="s">
        <v>450</v>
      </c>
      <c r="P468" t="s">
        <v>43</v>
      </c>
    </row>
    <row r="469" spans="1:16" x14ac:dyDescent="0.25">
      <c r="A469" t="s">
        <v>0</v>
      </c>
      <c r="B469" s="2">
        <v>44662</v>
      </c>
      <c r="C469" s="5" t="s">
        <v>43</v>
      </c>
      <c r="D469" t="s">
        <v>390</v>
      </c>
      <c r="E469" t="s">
        <v>391</v>
      </c>
      <c r="F469" t="s">
        <v>4</v>
      </c>
      <c r="G469" t="s">
        <v>5</v>
      </c>
      <c r="H469" s="3">
        <v>-407.76</v>
      </c>
      <c r="I469" t="s">
        <v>2160</v>
      </c>
      <c r="J469" t="s">
        <v>393</v>
      </c>
      <c r="K469" t="s">
        <v>8</v>
      </c>
      <c r="L469" t="s">
        <v>394</v>
      </c>
      <c r="M469" t="s">
        <v>8</v>
      </c>
      <c r="N469" t="s">
        <v>2161</v>
      </c>
      <c r="O469" t="s">
        <v>450</v>
      </c>
      <c r="P469" t="s">
        <v>12</v>
      </c>
    </row>
    <row r="470" spans="1:16" x14ac:dyDescent="0.25">
      <c r="A470" t="s">
        <v>0</v>
      </c>
      <c r="B470" s="2">
        <v>44662</v>
      </c>
      <c r="C470" s="5" t="s">
        <v>43</v>
      </c>
      <c r="D470" t="s">
        <v>390</v>
      </c>
      <c r="E470" t="s">
        <v>391</v>
      </c>
      <c r="F470" t="s">
        <v>4</v>
      </c>
      <c r="G470" t="s">
        <v>5</v>
      </c>
      <c r="H470" s="3">
        <v>-709.74</v>
      </c>
      <c r="I470" t="s">
        <v>2160</v>
      </c>
      <c r="J470" t="s">
        <v>393</v>
      </c>
      <c r="K470" t="s">
        <v>8</v>
      </c>
      <c r="L470" t="s">
        <v>394</v>
      </c>
      <c r="M470" t="s">
        <v>8</v>
      </c>
      <c r="N470" t="s">
        <v>2161</v>
      </c>
      <c r="O470" t="s">
        <v>450</v>
      </c>
      <c r="P470" t="s">
        <v>17</v>
      </c>
    </row>
    <row r="471" spans="1:16" x14ac:dyDescent="0.25">
      <c r="A471" t="s">
        <v>0</v>
      </c>
      <c r="B471" s="2">
        <v>44662</v>
      </c>
      <c r="C471" s="5" t="s">
        <v>43</v>
      </c>
      <c r="D471" t="s">
        <v>390</v>
      </c>
      <c r="E471" t="s">
        <v>391</v>
      </c>
      <c r="F471" t="s">
        <v>4</v>
      </c>
      <c r="G471" t="s">
        <v>5</v>
      </c>
      <c r="H471" s="3">
        <v>-1967.95</v>
      </c>
      <c r="I471" t="s">
        <v>2160</v>
      </c>
      <c r="J471" t="s">
        <v>393</v>
      </c>
      <c r="K471" t="s">
        <v>8</v>
      </c>
      <c r="L471" t="s">
        <v>394</v>
      </c>
      <c r="M471" t="s">
        <v>8</v>
      </c>
      <c r="N471" t="s">
        <v>2161</v>
      </c>
      <c r="O471" t="s">
        <v>450</v>
      </c>
      <c r="P471" t="s">
        <v>82</v>
      </c>
    </row>
    <row r="472" spans="1:16" x14ac:dyDescent="0.25">
      <c r="A472" t="s">
        <v>0</v>
      </c>
      <c r="B472" s="2">
        <v>44663</v>
      </c>
      <c r="C472" s="5" t="s">
        <v>43</v>
      </c>
      <c r="D472" t="s">
        <v>1073</v>
      </c>
      <c r="E472" t="s">
        <v>1074</v>
      </c>
      <c r="F472" t="s">
        <v>4</v>
      </c>
      <c r="G472" t="s">
        <v>5</v>
      </c>
      <c r="H472" s="3">
        <v>1550</v>
      </c>
      <c r="I472" t="s">
        <v>1075</v>
      </c>
      <c r="J472" t="s">
        <v>1076</v>
      </c>
      <c r="K472" t="s">
        <v>8</v>
      </c>
      <c r="L472" t="s">
        <v>1077</v>
      </c>
      <c r="M472" t="s">
        <v>8</v>
      </c>
      <c r="N472" t="s">
        <v>1078</v>
      </c>
      <c r="O472" t="s">
        <v>29</v>
      </c>
      <c r="P472" t="s">
        <v>43</v>
      </c>
    </row>
    <row r="473" spans="1:16" x14ac:dyDescent="0.25">
      <c r="A473" t="s">
        <v>0</v>
      </c>
      <c r="B473" s="2">
        <v>44663</v>
      </c>
      <c r="C473" s="5" t="s">
        <v>43</v>
      </c>
      <c r="D473" t="s">
        <v>1517</v>
      </c>
      <c r="E473" t="s">
        <v>1518</v>
      </c>
      <c r="F473" t="s">
        <v>4</v>
      </c>
      <c r="G473" t="s">
        <v>5</v>
      </c>
      <c r="H473" s="3">
        <v>438.9</v>
      </c>
      <c r="I473" t="s">
        <v>1529</v>
      </c>
      <c r="J473" t="s">
        <v>1520</v>
      </c>
      <c r="K473" t="s">
        <v>8</v>
      </c>
      <c r="L473" t="s">
        <v>1530</v>
      </c>
      <c r="M473" t="s">
        <v>8</v>
      </c>
      <c r="N473" t="s">
        <v>1531</v>
      </c>
      <c r="O473" t="s">
        <v>29</v>
      </c>
      <c r="P473" t="s">
        <v>1</v>
      </c>
    </row>
    <row r="474" spans="1:16" x14ac:dyDescent="0.25">
      <c r="A474" t="s">
        <v>0</v>
      </c>
      <c r="B474" s="2">
        <v>44663</v>
      </c>
      <c r="C474" s="5" t="s">
        <v>43</v>
      </c>
      <c r="D474" t="s">
        <v>1073</v>
      </c>
      <c r="E474" t="s">
        <v>1074</v>
      </c>
      <c r="F474" t="s">
        <v>4</v>
      </c>
      <c r="G474" t="s">
        <v>5</v>
      </c>
      <c r="H474" s="3">
        <v>159.6</v>
      </c>
      <c r="I474" t="s">
        <v>1075</v>
      </c>
      <c r="J474" t="s">
        <v>1076</v>
      </c>
      <c r="K474" t="s">
        <v>8</v>
      </c>
      <c r="L474" t="s">
        <v>1077</v>
      </c>
      <c r="M474" t="s">
        <v>8</v>
      </c>
      <c r="N474" t="s">
        <v>1078</v>
      </c>
      <c r="O474" t="s">
        <v>29</v>
      </c>
      <c r="P474" t="s">
        <v>1</v>
      </c>
    </row>
    <row r="475" spans="1:16" x14ac:dyDescent="0.25">
      <c r="A475" t="s">
        <v>0</v>
      </c>
      <c r="B475" s="2">
        <v>44663</v>
      </c>
      <c r="C475" s="5" t="s">
        <v>43</v>
      </c>
      <c r="D475" t="s">
        <v>47</v>
      </c>
      <c r="E475" t="s">
        <v>48</v>
      </c>
      <c r="F475" t="s">
        <v>4</v>
      </c>
      <c r="G475" t="s">
        <v>5</v>
      </c>
      <c r="H475" s="3">
        <v>55</v>
      </c>
      <c r="I475" t="s">
        <v>942</v>
      </c>
      <c r="J475" t="s">
        <v>943</v>
      </c>
      <c r="K475" t="s">
        <v>8</v>
      </c>
      <c r="L475" t="s">
        <v>8</v>
      </c>
      <c r="M475" t="s">
        <v>8</v>
      </c>
      <c r="N475" t="s">
        <v>2036</v>
      </c>
      <c r="O475" t="s">
        <v>945</v>
      </c>
      <c r="P475" t="s">
        <v>1</v>
      </c>
    </row>
    <row r="476" spans="1:16" x14ac:dyDescent="0.25">
      <c r="A476" t="s">
        <v>0</v>
      </c>
      <c r="B476" s="2">
        <v>44665</v>
      </c>
      <c r="C476" s="5" t="s">
        <v>43</v>
      </c>
      <c r="D476" t="s">
        <v>2</v>
      </c>
      <c r="E476" t="s">
        <v>3</v>
      </c>
      <c r="F476" t="s">
        <v>4</v>
      </c>
      <c r="G476" t="s">
        <v>5</v>
      </c>
      <c r="H476" s="3">
        <v>9557.0499999999993</v>
      </c>
      <c r="I476" t="s">
        <v>459</v>
      </c>
      <c r="J476" t="s">
        <v>460</v>
      </c>
      <c r="K476" t="s">
        <v>8</v>
      </c>
      <c r="L476" t="s">
        <v>461</v>
      </c>
      <c r="M476" t="s">
        <v>8</v>
      </c>
      <c r="N476" t="s">
        <v>462</v>
      </c>
      <c r="O476" t="s">
        <v>29</v>
      </c>
      <c r="P476" t="s">
        <v>1</v>
      </c>
    </row>
    <row r="477" spans="1:16" x14ac:dyDescent="0.25">
      <c r="A477" t="s">
        <v>0</v>
      </c>
      <c r="B477" s="2">
        <v>44665</v>
      </c>
      <c r="C477" s="5" t="s">
        <v>43</v>
      </c>
      <c r="D477" t="s">
        <v>2</v>
      </c>
      <c r="E477" t="s">
        <v>3</v>
      </c>
      <c r="F477" t="s">
        <v>4</v>
      </c>
      <c r="G477" t="s">
        <v>5</v>
      </c>
      <c r="H477" s="3">
        <v>9557.0499999999993</v>
      </c>
      <c r="I477" t="s">
        <v>463</v>
      </c>
      <c r="J477" t="s">
        <v>460</v>
      </c>
      <c r="K477" t="s">
        <v>8</v>
      </c>
      <c r="L477" t="s">
        <v>464</v>
      </c>
      <c r="M477" t="s">
        <v>8</v>
      </c>
      <c r="N477" t="s">
        <v>465</v>
      </c>
      <c r="O477" t="s">
        <v>29</v>
      </c>
      <c r="P477" t="s">
        <v>1</v>
      </c>
    </row>
    <row r="478" spans="1:16" x14ac:dyDescent="0.25">
      <c r="A478" t="s">
        <v>0</v>
      </c>
      <c r="B478" s="2">
        <v>44665</v>
      </c>
      <c r="C478" s="5" t="s">
        <v>43</v>
      </c>
      <c r="D478" t="s">
        <v>539</v>
      </c>
      <c r="E478" t="s">
        <v>540</v>
      </c>
      <c r="F478" t="s">
        <v>4</v>
      </c>
      <c r="G478" t="s">
        <v>5</v>
      </c>
      <c r="H478" s="3">
        <v>8135.89</v>
      </c>
      <c r="I478" t="s">
        <v>541</v>
      </c>
      <c r="J478" t="s">
        <v>542</v>
      </c>
      <c r="K478" t="s">
        <v>8</v>
      </c>
      <c r="L478" t="s">
        <v>543</v>
      </c>
      <c r="M478" t="s">
        <v>8</v>
      </c>
      <c r="N478" t="s">
        <v>544</v>
      </c>
      <c r="O478" t="s">
        <v>29</v>
      </c>
      <c r="P478" t="s">
        <v>12</v>
      </c>
    </row>
    <row r="479" spans="1:16" x14ac:dyDescent="0.25">
      <c r="A479" t="s">
        <v>0</v>
      </c>
      <c r="B479" s="2">
        <v>44665</v>
      </c>
      <c r="C479" s="5" t="s">
        <v>43</v>
      </c>
      <c r="D479" t="s">
        <v>539</v>
      </c>
      <c r="E479" t="s">
        <v>540</v>
      </c>
      <c r="F479" t="s">
        <v>4</v>
      </c>
      <c r="G479" t="s">
        <v>5</v>
      </c>
      <c r="H479" s="3">
        <v>3483.6</v>
      </c>
      <c r="I479" t="s">
        <v>775</v>
      </c>
      <c r="J479" t="s">
        <v>542</v>
      </c>
      <c r="K479" t="s">
        <v>8</v>
      </c>
      <c r="L479" t="s">
        <v>776</v>
      </c>
      <c r="M479" t="s">
        <v>8</v>
      </c>
      <c r="N479" t="s">
        <v>777</v>
      </c>
      <c r="O479" t="s">
        <v>29</v>
      </c>
      <c r="P479" t="s">
        <v>12</v>
      </c>
    </row>
    <row r="480" spans="1:16" x14ac:dyDescent="0.25">
      <c r="A480" t="s">
        <v>0</v>
      </c>
      <c r="B480" s="2">
        <v>44666</v>
      </c>
      <c r="C480" s="5" t="s">
        <v>43</v>
      </c>
      <c r="D480" t="s">
        <v>384</v>
      </c>
      <c r="E480" t="s">
        <v>385</v>
      </c>
      <c r="F480" t="s">
        <v>4</v>
      </c>
      <c r="G480" t="s">
        <v>5</v>
      </c>
      <c r="H480" s="3">
        <v>645.44000000000005</v>
      </c>
      <c r="I480" t="s">
        <v>871</v>
      </c>
      <c r="J480" t="s">
        <v>1104</v>
      </c>
      <c r="K480" t="s">
        <v>8</v>
      </c>
      <c r="L480" t="s">
        <v>8</v>
      </c>
      <c r="M480" t="s">
        <v>8</v>
      </c>
      <c r="N480" t="s">
        <v>1405</v>
      </c>
      <c r="O480" t="s">
        <v>389</v>
      </c>
      <c r="P480" t="s">
        <v>1</v>
      </c>
    </row>
    <row r="481" spans="1:16" x14ac:dyDescent="0.25">
      <c r="A481" t="s">
        <v>0</v>
      </c>
      <c r="B481" s="2">
        <v>44666</v>
      </c>
      <c r="C481" s="5" t="s">
        <v>43</v>
      </c>
      <c r="D481" t="s">
        <v>384</v>
      </c>
      <c r="E481" t="s">
        <v>385</v>
      </c>
      <c r="F481" t="s">
        <v>4</v>
      </c>
      <c r="G481" t="s">
        <v>5</v>
      </c>
      <c r="H481" s="3">
        <v>610.03</v>
      </c>
      <c r="I481" t="s">
        <v>871</v>
      </c>
      <c r="J481" t="s">
        <v>1242</v>
      </c>
      <c r="K481" t="s">
        <v>8</v>
      </c>
      <c r="L481" t="s">
        <v>8</v>
      </c>
      <c r="M481" t="s">
        <v>8</v>
      </c>
      <c r="N481" t="s">
        <v>1412</v>
      </c>
      <c r="O481" t="s">
        <v>389</v>
      </c>
      <c r="P481" t="s">
        <v>1</v>
      </c>
    </row>
    <row r="482" spans="1:16" x14ac:dyDescent="0.25">
      <c r="A482" t="s">
        <v>0</v>
      </c>
      <c r="B482" s="2">
        <v>44666</v>
      </c>
      <c r="C482" s="5" t="s">
        <v>43</v>
      </c>
      <c r="D482" t="s">
        <v>384</v>
      </c>
      <c r="E482" t="s">
        <v>385</v>
      </c>
      <c r="F482" t="s">
        <v>4</v>
      </c>
      <c r="G482" t="s">
        <v>5</v>
      </c>
      <c r="H482" s="3">
        <v>484.07</v>
      </c>
      <c r="I482" t="s">
        <v>1487</v>
      </c>
      <c r="J482" t="s">
        <v>912</v>
      </c>
      <c r="K482" t="s">
        <v>8</v>
      </c>
      <c r="L482" t="s">
        <v>8</v>
      </c>
      <c r="M482" t="s">
        <v>8</v>
      </c>
      <c r="N482" t="s">
        <v>1488</v>
      </c>
      <c r="O482" t="s">
        <v>389</v>
      </c>
      <c r="P482" t="s">
        <v>72</v>
      </c>
    </row>
    <row r="483" spans="1:16" x14ac:dyDescent="0.25">
      <c r="A483" t="s">
        <v>0</v>
      </c>
      <c r="B483" s="2">
        <v>44666</v>
      </c>
      <c r="C483" s="5" t="s">
        <v>43</v>
      </c>
      <c r="D483" t="s">
        <v>384</v>
      </c>
      <c r="E483" t="s">
        <v>385</v>
      </c>
      <c r="F483" t="s">
        <v>4</v>
      </c>
      <c r="G483" t="s">
        <v>5</v>
      </c>
      <c r="H483" s="3">
        <v>464.19</v>
      </c>
      <c r="I483" t="s">
        <v>871</v>
      </c>
      <c r="J483" t="s">
        <v>912</v>
      </c>
      <c r="K483" t="s">
        <v>8</v>
      </c>
      <c r="L483" t="s">
        <v>8</v>
      </c>
      <c r="M483" t="s">
        <v>8</v>
      </c>
      <c r="N483" t="s">
        <v>1488</v>
      </c>
      <c r="O483" t="s">
        <v>389</v>
      </c>
      <c r="P483" t="s">
        <v>1</v>
      </c>
    </row>
    <row r="484" spans="1:16" x14ac:dyDescent="0.25">
      <c r="A484" t="s">
        <v>0</v>
      </c>
      <c r="B484" s="2">
        <v>44666</v>
      </c>
      <c r="C484" s="5" t="s">
        <v>43</v>
      </c>
      <c r="D484" t="s">
        <v>384</v>
      </c>
      <c r="E484" t="s">
        <v>385</v>
      </c>
      <c r="F484" t="s">
        <v>4</v>
      </c>
      <c r="G484" t="s">
        <v>5</v>
      </c>
      <c r="H484" s="3">
        <v>335.6</v>
      </c>
      <c r="I484" t="s">
        <v>1649</v>
      </c>
      <c r="J484" t="s">
        <v>1417</v>
      </c>
      <c r="K484" t="s">
        <v>8</v>
      </c>
      <c r="L484" t="s">
        <v>8</v>
      </c>
      <c r="M484" t="s">
        <v>8</v>
      </c>
      <c r="N484" t="s">
        <v>1650</v>
      </c>
      <c r="O484" t="s">
        <v>389</v>
      </c>
      <c r="P484" t="s">
        <v>12</v>
      </c>
    </row>
    <row r="485" spans="1:16" x14ac:dyDescent="0.25">
      <c r="A485" t="s">
        <v>0</v>
      </c>
      <c r="B485" s="2">
        <v>44666</v>
      </c>
      <c r="C485" s="5" t="s">
        <v>43</v>
      </c>
      <c r="D485" t="s">
        <v>384</v>
      </c>
      <c r="E485" t="s">
        <v>385</v>
      </c>
      <c r="F485" t="s">
        <v>4</v>
      </c>
      <c r="G485" t="s">
        <v>5</v>
      </c>
      <c r="H485" s="3">
        <v>330</v>
      </c>
      <c r="I485" t="s">
        <v>871</v>
      </c>
      <c r="J485" t="s">
        <v>1417</v>
      </c>
      <c r="K485" t="s">
        <v>8</v>
      </c>
      <c r="L485" t="s">
        <v>8</v>
      </c>
      <c r="M485" t="s">
        <v>8</v>
      </c>
      <c r="N485" t="s">
        <v>1650</v>
      </c>
      <c r="O485" t="s">
        <v>389</v>
      </c>
      <c r="P485" t="s">
        <v>1</v>
      </c>
    </row>
    <row r="486" spans="1:16" x14ac:dyDescent="0.25">
      <c r="A486" t="s">
        <v>0</v>
      </c>
      <c r="B486" s="2">
        <v>44666</v>
      </c>
      <c r="C486" s="5" t="s">
        <v>43</v>
      </c>
      <c r="D486" t="s">
        <v>384</v>
      </c>
      <c r="E486" t="s">
        <v>385</v>
      </c>
      <c r="F486" t="s">
        <v>4</v>
      </c>
      <c r="G486" t="s">
        <v>5</v>
      </c>
      <c r="H486" s="3">
        <v>250</v>
      </c>
      <c r="I486" t="s">
        <v>1218</v>
      </c>
      <c r="J486" t="s">
        <v>1104</v>
      </c>
      <c r="K486" t="s">
        <v>8</v>
      </c>
      <c r="L486" t="s">
        <v>8</v>
      </c>
      <c r="M486" t="s">
        <v>8</v>
      </c>
      <c r="N486" t="s">
        <v>1405</v>
      </c>
      <c r="O486" t="s">
        <v>389</v>
      </c>
      <c r="P486" t="s">
        <v>77</v>
      </c>
    </row>
    <row r="487" spans="1:16" x14ac:dyDescent="0.25">
      <c r="A487" t="s">
        <v>0</v>
      </c>
      <c r="B487" s="2">
        <v>44666</v>
      </c>
      <c r="C487" s="5" t="s">
        <v>43</v>
      </c>
      <c r="D487" t="s">
        <v>384</v>
      </c>
      <c r="E487" t="s">
        <v>385</v>
      </c>
      <c r="F487" t="s">
        <v>4</v>
      </c>
      <c r="G487" t="s">
        <v>5</v>
      </c>
      <c r="H487" s="3">
        <v>240</v>
      </c>
      <c r="I487" t="s">
        <v>1142</v>
      </c>
      <c r="J487" t="s">
        <v>912</v>
      </c>
      <c r="K487" t="s">
        <v>8</v>
      </c>
      <c r="L487" t="s">
        <v>8</v>
      </c>
      <c r="M487" t="s">
        <v>8</v>
      </c>
      <c r="N487" t="s">
        <v>1488</v>
      </c>
      <c r="O487" t="s">
        <v>389</v>
      </c>
      <c r="P487" t="s">
        <v>17</v>
      </c>
    </row>
    <row r="488" spans="1:16" x14ac:dyDescent="0.25">
      <c r="A488" t="s">
        <v>0</v>
      </c>
      <c r="B488" s="2">
        <v>44666</v>
      </c>
      <c r="C488" s="5" t="s">
        <v>43</v>
      </c>
      <c r="D488" t="s">
        <v>384</v>
      </c>
      <c r="E488" t="s">
        <v>385</v>
      </c>
      <c r="F488" t="s">
        <v>4</v>
      </c>
      <c r="G488" t="s">
        <v>5</v>
      </c>
      <c r="H488" s="3">
        <v>230.3</v>
      </c>
      <c r="I488" t="s">
        <v>1757</v>
      </c>
      <c r="J488" t="s">
        <v>1104</v>
      </c>
      <c r="K488" t="s">
        <v>8</v>
      </c>
      <c r="L488" t="s">
        <v>8</v>
      </c>
      <c r="M488" t="s">
        <v>8</v>
      </c>
      <c r="N488" t="s">
        <v>1405</v>
      </c>
      <c r="O488" t="s">
        <v>389</v>
      </c>
      <c r="P488" t="s">
        <v>22</v>
      </c>
    </row>
    <row r="489" spans="1:16" x14ac:dyDescent="0.25">
      <c r="A489" t="s">
        <v>0</v>
      </c>
      <c r="B489" s="2">
        <v>44666</v>
      </c>
      <c r="C489" s="5" t="s">
        <v>43</v>
      </c>
      <c r="D489" t="s">
        <v>384</v>
      </c>
      <c r="E489" t="s">
        <v>385</v>
      </c>
      <c r="F489" t="s">
        <v>4</v>
      </c>
      <c r="G489" t="s">
        <v>5</v>
      </c>
      <c r="H489" s="3">
        <v>223.88</v>
      </c>
      <c r="I489" t="s">
        <v>1763</v>
      </c>
      <c r="J489" t="s">
        <v>1104</v>
      </c>
      <c r="K489" t="s">
        <v>8</v>
      </c>
      <c r="L489" t="s">
        <v>8</v>
      </c>
      <c r="M489" t="s">
        <v>8</v>
      </c>
      <c r="N489" t="s">
        <v>1405</v>
      </c>
      <c r="O489" t="s">
        <v>389</v>
      </c>
      <c r="P489" t="s">
        <v>43</v>
      </c>
    </row>
    <row r="490" spans="1:16" x14ac:dyDescent="0.25">
      <c r="A490" t="s">
        <v>0</v>
      </c>
      <c r="B490" s="2">
        <v>44666</v>
      </c>
      <c r="C490" s="5" t="s">
        <v>43</v>
      </c>
      <c r="D490" t="s">
        <v>1201</v>
      </c>
      <c r="E490" t="s">
        <v>1202</v>
      </c>
      <c r="F490" t="s">
        <v>4</v>
      </c>
      <c r="G490" t="s">
        <v>5</v>
      </c>
      <c r="H490" s="3">
        <v>201.6</v>
      </c>
      <c r="I490" t="s">
        <v>1774</v>
      </c>
      <c r="J490" t="s">
        <v>1490</v>
      </c>
      <c r="K490" t="s">
        <v>8</v>
      </c>
      <c r="L490" t="s">
        <v>8</v>
      </c>
      <c r="M490" t="s">
        <v>8</v>
      </c>
      <c r="N490" t="s">
        <v>1775</v>
      </c>
      <c r="O490" t="s">
        <v>389</v>
      </c>
      <c r="P490" t="s">
        <v>1</v>
      </c>
    </row>
    <row r="491" spans="1:16" x14ac:dyDescent="0.25">
      <c r="A491" t="s">
        <v>0</v>
      </c>
      <c r="B491" s="2">
        <v>44666</v>
      </c>
      <c r="C491" s="5" t="s">
        <v>43</v>
      </c>
      <c r="D491" t="s">
        <v>1201</v>
      </c>
      <c r="E491" t="s">
        <v>1202</v>
      </c>
      <c r="F491" t="s">
        <v>4</v>
      </c>
      <c r="G491" t="s">
        <v>5</v>
      </c>
      <c r="H491" s="3">
        <v>144</v>
      </c>
      <c r="I491" t="s">
        <v>1859</v>
      </c>
      <c r="J491" t="s">
        <v>1204</v>
      </c>
      <c r="K491" t="s">
        <v>8</v>
      </c>
      <c r="L491" t="s">
        <v>8</v>
      </c>
      <c r="M491" t="s">
        <v>8</v>
      </c>
      <c r="N491" t="s">
        <v>1860</v>
      </c>
      <c r="O491" t="s">
        <v>389</v>
      </c>
      <c r="P491" t="s">
        <v>1</v>
      </c>
    </row>
    <row r="492" spans="1:16" x14ac:dyDescent="0.25">
      <c r="A492" t="s">
        <v>0</v>
      </c>
      <c r="B492" s="2">
        <v>44666</v>
      </c>
      <c r="C492" s="5" t="s">
        <v>43</v>
      </c>
      <c r="D492" t="s">
        <v>384</v>
      </c>
      <c r="E492" t="s">
        <v>385</v>
      </c>
      <c r="F492" t="s">
        <v>4</v>
      </c>
      <c r="G492" t="s">
        <v>5</v>
      </c>
      <c r="H492" s="3">
        <v>140.21</v>
      </c>
      <c r="I492" t="s">
        <v>935</v>
      </c>
      <c r="J492" t="s">
        <v>912</v>
      </c>
      <c r="K492" t="s">
        <v>8</v>
      </c>
      <c r="L492" t="s">
        <v>8</v>
      </c>
      <c r="M492" t="s">
        <v>8</v>
      </c>
      <c r="N492" t="s">
        <v>1488</v>
      </c>
      <c r="O492" t="s">
        <v>389</v>
      </c>
      <c r="P492" t="s">
        <v>12</v>
      </c>
    </row>
    <row r="493" spans="1:16" x14ac:dyDescent="0.25">
      <c r="A493" t="s">
        <v>0</v>
      </c>
      <c r="B493" s="2">
        <v>44666</v>
      </c>
      <c r="C493" s="5" t="s">
        <v>43</v>
      </c>
      <c r="D493" t="s">
        <v>384</v>
      </c>
      <c r="E493" t="s">
        <v>385</v>
      </c>
      <c r="F493" t="s">
        <v>4</v>
      </c>
      <c r="G493" t="s">
        <v>5</v>
      </c>
      <c r="H493" s="3">
        <v>132.80000000000001</v>
      </c>
      <c r="I493" t="s">
        <v>1877</v>
      </c>
      <c r="J493" t="s">
        <v>912</v>
      </c>
      <c r="K493" t="s">
        <v>8</v>
      </c>
      <c r="L493" t="s">
        <v>8</v>
      </c>
      <c r="M493" t="s">
        <v>8</v>
      </c>
      <c r="N493" t="s">
        <v>1488</v>
      </c>
      <c r="O493" t="s">
        <v>389</v>
      </c>
      <c r="P493" t="s">
        <v>77</v>
      </c>
    </row>
    <row r="494" spans="1:16" x14ac:dyDescent="0.25">
      <c r="A494" t="s">
        <v>0</v>
      </c>
      <c r="B494" s="2">
        <v>44666</v>
      </c>
      <c r="C494" s="5" t="s">
        <v>43</v>
      </c>
      <c r="D494" t="s">
        <v>1201</v>
      </c>
      <c r="E494" t="s">
        <v>1202</v>
      </c>
      <c r="F494" t="s">
        <v>4</v>
      </c>
      <c r="G494" t="s">
        <v>5</v>
      </c>
      <c r="H494" s="3">
        <v>104.4</v>
      </c>
      <c r="I494" t="s">
        <v>1925</v>
      </c>
      <c r="J494" t="s">
        <v>1926</v>
      </c>
      <c r="K494" t="s">
        <v>8</v>
      </c>
      <c r="L494" t="s">
        <v>8</v>
      </c>
      <c r="M494" t="s">
        <v>8</v>
      </c>
      <c r="N494" t="s">
        <v>1927</v>
      </c>
      <c r="O494" t="s">
        <v>389</v>
      </c>
      <c r="P494" t="s">
        <v>1</v>
      </c>
    </row>
    <row r="495" spans="1:16" x14ac:dyDescent="0.25">
      <c r="A495" t="s">
        <v>0</v>
      </c>
      <c r="B495" s="2">
        <v>44666</v>
      </c>
      <c r="C495" s="5" t="s">
        <v>43</v>
      </c>
      <c r="D495" t="s">
        <v>384</v>
      </c>
      <c r="E495" t="s">
        <v>385</v>
      </c>
      <c r="F495" t="s">
        <v>4</v>
      </c>
      <c r="G495" t="s">
        <v>5</v>
      </c>
      <c r="H495" s="3">
        <v>71.8</v>
      </c>
      <c r="I495" t="s">
        <v>1981</v>
      </c>
      <c r="J495" t="s">
        <v>1982</v>
      </c>
      <c r="K495" t="s">
        <v>8</v>
      </c>
      <c r="L495" t="s">
        <v>8</v>
      </c>
      <c r="M495" t="s">
        <v>8</v>
      </c>
      <c r="N495" t="s">
        <v>1983</v>
      </c>
      <c r="O495" t="s">
        <v>389</v>
      </c>
      <c r="P495" t="s">
        <v>1</v>
      </c>
    </row>
    <row r="496" spans="1:16" x14ac:dyDescent="0.25">
      <c r="A496" t="s">
        <v>0</v>
      </c>
      <c r="B496" s="2">
        <v>44666</v>
      </c>
      <c r="C496" s="5" t="s">
        <v>43</v>
      </c>
      <c r="D496" t="s">
        <v>384</v>
      </c>
      <c r="E496" t="s">
        <v>385</v>
      </c>
      <c r="F496" t="s">
        <v>4</v>
      </c>
      <c r="G496" t="s">
        <v>5</v>
      </c>
      <c r="H496" s="3">
        <v>70</v>
      </c>
      <c r="I496" t="s">
        <v>737</v>
      </c>
      <c r="J496" t="s">
        <v>912</v>
      </c>
      <c r="K496" t="s">
        <v>8</v>
      </c>
      <c r="L496" t="s">
        <v>8</v>
      </c>
      <c r="M496" t="s">
        <v>8</v>
      </c>
      <c r="N496" t="s">
        <v>1488</v>
      </c>
      <c r="O496" t="s">
        <v>389</v>
      </c>
      <c r="P496" t="s">
        <v>43</v>
      </c>
    </row>
    <row r="497" spans="1:16" x14ac:dyDescent="0.25">
      <c r="A497" t="s">
        <v>0</v>
      </c>
      <c r="B497" s="2">
        <v>44666</v>
      </c>
      <c r="C497" s="5" t="s">
        <v>43</v>
      </c>
      <c r="D497" t="s">
        <v>384</v>
      </c>
      <c r="E497" t="s">
        <v>385</v>
      </c>
      <c r="F497" t="s">
        <v>4</v>
      </c>
      <c r="G497" t="s">
        <v>5</v>
      </c>
      <c r="H497" s="3">
        <v>60.23</v>
      </c>
      <c r="I497" t="s">
        <v>2022</v>
      </c>
      <c r="J497" t="s">
        <v>912</v>
      </c>
      <c r="K497" t="s">
        <v>8</v>
      </c>
      <c r="L497" t="s">
        <v>8</v>
      </c>
      <c r="M497" t="s">
        <v>8</v>
      </c>
      <c r="N497" t="s">
        <v>1488</v>
      </c>
      <c r="O497" t="s">
        <v>389</v>
      </c>
      <c r="P497" t="s">
        <v>22</v>
      </c>
    </row>
    <row r="498" spans="1:16" x14ac:dyDescent="0.25">
      <c r="A498" t="s">
        <v>0</v>
      </c>
      <c r="B498" s="2">
        <v>44666</v>
      </c>
      <c r="C498" s="5" t="s">
        <v>43</v>
      </c>
      <c r="D498" t="s">
        <v>384</v>
      </c>
      <c r="E498" t="s">
        <v>385</v>
      </c>
      <c r="F498" t="s">
        <v>4</v>
      </c>
      <c r="G498" t="s">
        <v>5</v>
      </c>
      <c r="H498" s="3">
        <v>38.4</v>
      </c>
      <c r="I498" t="s">
        <v>1757</v>
      </c>
      <c r="J498" t="s">
        <v>912</v>
      </c>
      <c r="K498" t="s">
        <v>8</v>
      </c>
      <c r="L498" t="s">
        <v>8</v>
      </c>
      <c r="M498" t="s">
        <v>8</v>
      </c>
      <c r="N498" t="s">
        <v>1488</v>
      </c>
      <c r="O498" t="s">
        <v>389</v>
      </c>
      <c r="P498" t="s">
        <v>82</v>
      </c>
    </row>
    <row r="499" spans="1:16" x14ac:dyDescent="0.25">
      <c r="A499" t="s">
        <v>0</v>
      </c>
      <c r="B499" s="2">
        <v>44666</v>
      </c>
      <c r="C499" s="5" t="s">
        <v>43</v>
      </c>
      <c r="D499" t="s">
        <v>1201</v>
      </c>
      <c r="E499" t="s">
        <v>1202</v>
      </c>
      <c r="F499" t="s">
        <v>4</v>
      </c>
      <c r="G499" t="s">
        <v>5</v>
      </c>
      <c r="H499" s="3">
        <v>23.4</v>
      </c>
      <c r="I499" t="s">
        <v>2117</v>
      </c>
      <c r="J499" t="s">
        <v>1985</v>
      </c>
      <c r="K499" t="s">
        <v>8</v>
      </c>
      <c r="L499" t="s">
        <v>8</v>
      </c>
      <c r="M499" t="s">
        <v>8</v>
      </c>
      <c r="N499" t="s">
        <v>2118</v>
      </c>
      <c r="O499" t="s">
        <v>389</v>
      </c>
      <c r="P499" t="s">
        <v>1</v>
      </c>
    </row>
    <row r="500" spans="1:16" x14ac:dyDescent="0.25">
      <c r="A500" t="s">
        <v>0</v>
      </c>
      <c r="B500" s="2">
        <v>44666</v>
      </c>
      <c r="C500" s="5" t="s">
        <v>43</v>
      </c>
      <c r="D500" t="s">
        <v>384</v>
      </c>
      <c r="E500" t="s">
        <v>385</v>
      </c>
      <c r="F500" t="s">
        <v>4</v>
      </c>
      <c r="G500" t="s">
        <v>5</v>
      </c>
      <c r="H500" s="3">
        <v>18.899999999999999</v>
      </c>
      <c r="I500" t="s">
        <v>2132</v>
      </c>
      <c r="J500" t="s">
        <v>1417</v>
      </c>
      <c r="K500" t="s">
        <v>8</v>
      </c>
      <c r="L500" t="s">
        <v>8</v>
      </c>
      <c r="M500" t="s">
        <v>8</v>
      </c>
      <c r="N500" t="s">
        <v>1650</v>
      </c>
      <c r="O500" t="s">
        <v>389</v>
      </c>
      <c r="P500" t="s">
        <v>17</v>
      </c>
    </row>
    <row r="501" spans="1:16" x14ac:dyDescent="0.25">
      <c r="A501" t="s">
        <v>0</v>
      </c>
      <c r="B501" s="2">
        <v>44666</v>
      </c>
      <c r="C501" s="5" t="s">
        <v>43</v>
      </c>
      <c r="D501" t="s">
        <v>384</v>
      </c>
      <c r="E501" t="s">
        <v>385</v>
      </c>
      <c r="F501" t="s">
        <v>4</v>
      </c>
      <c r="G501" t="s">
        <v>5</v>
      </c>
      <c r="H501" s="3">
        <v>10</v>
      </c>
      <c r="I501" t="s">
        <v>2144</v>
      </c>
      <c r="J501" t="s">
        <v>1104</v>
      </c>
      <c r="K501" t="s">
        <v>8</v>
      </c>
      <c r="L501" t="s">
        <v>8</v>
      </c>
      <c r="M501" t="s">
        <v>8</v>
      </c>
      <c r="N501" t="s">
        <v>1405</v>
      </c>
      <c r="O501" t="s">
        <v>389</v>
      </c>
      <c r="P501" t="s">
        <v>12</v>
      </c>
    </row>
    <row r="502" spans="1:16" x14ac:dyDescent="0.25">
      <c r="A502" t="s">
        <v>0</v>
      </c>
      <c r="B502" s="2">
        <v>44669</v>
      </c>
      <c r="C502" t="s">
        <v>43</v>
      </c>
      <c r="D502" t="s">
        <v>2</v>
      </c>
      <c r="E502" t="s">
        <v>3</v>
      </c>
      <c r="F502" t="s">
        <v>4</v>
      </c>
      <c r="G502" t="s">
        <v>5</v>
      </c>
      <c r="H502" s="3">
        <v>321140.63</v>
      </c>
      <c r="I502" t="s">
        <v>44</v>
      </c>
      <c r="J502" t="s">
        <v>7</v>
      </c>
      <c r="K502" t="s">
        <v>8</v>
      </c>
      <c r="L502" t="s">
        <v>45</v>
      </c>
      <c r="M502" t="s">
        <v>8</v>
      </c>
      <c r="N502" t="s">
        <v>46</v>
      </c>
      <c r="O502" t="s">
        <v>34</v>
      </c>
      <c r="P502" t="s">
        <v>1</v>
      </c>
    </row>
    <row r="503" spans="1:16" x14ac:dyDescent="0.25">
      <c r="A503" t="s">
        <v>0</v>
      </c>
      <c r="B503" s="2">
        <v>44669</v>
      </c>
      <c r="C503" s="5" t="s">
        <v>43</v>
      </c>
      <c r="D503" t="s">
        <v>591</v>
      </c>
      <c r="E503" t="s">
        <v>592</v>
      </c>
      <c r="F503" t="s">
        <v>4</v>
      </c>
      <c r="G503" t="s">
        <v>5</v>
      </c>
      <c r="H503" s="3">
        <v>6864</v>
      </c>
      <c r="I503" t="s">
        <v>593</v>
      </c>
      <c r="J503" t="s">
        <v>594</v>
      </c>
      <c r="K503" t="s">
        <v>8</v>
      </c>
      <c r="L503" t="s">
        <v>8</v>
      </c>
      <c r="M503" t="s">
        <v>8</v>
      </c>
      <c r="N503" t="s">
        <v>595</v>
      </c>
      <c r="O503" t="s">
        <v>34</v>
      </c>
      <c r="P503" t="s">
        <v>1</v>
      </c>
    </row>
    <row r="504" spans="1:16" x14ac:dyDescent="0.25">
      <c r="A504" t="s">
        <v>0</v>
      </c>
      <c r="B504" s="2">
        <v>44669</v>
      </c>
      <c r="C504" s="5" t="s">
        <v>43</v>
      </c>
      <c r="D504" t="s">
        <v>1045</v>
      </c>
      <c r="E504" t="s">
        <v>1046</v>
      </c>
      <c r="F504" t="s">
        <v>4</v>
      </c>
      <c r="G504" t="s">
        <v>5</v>
      </c>
      <c r="H504" s="3">
        <v>1395</v>
      </c>
      <c r="I504" t="s">
        <v>1107</v>
      </c>
      <c r="J504" t="s">
        <v>1108</v>
      </c>
      <c r="K504" t="s">
        <v>8</v>
      </c>
      <c r="L504" t="s">
        <v>8</v>
      </c>
      <c r="M504" t="s">
        <v>8</v>
      </c>
      <c r="N504" t="s">
        <v>1109</v>
      </c>
      <c r="O504" t="s">
        <v>16</v>
      </c>
      <c r="P504" t="s">
        <v>1</v>
      </c>
    </row>
    <row r="505" spans="1:16" x14ac:dyDescent="0.25">
      <c r="A505" t="s">
        <v>0</v>
      </c>
      <c r="B505" s="2">
        <v>44669</v>
      </c>
      <c r="C505" s="5" t="s">
        <v>43</v>
      </c>
      <c r="D505" t="s">
        <v>1207</v>
      </c>
      <c r="E505" t="s">
        <v>1208</v>
      </c>
      <c r="F505" t="s">
        <v>4</v>
      </c>
      <c r="G505" t="s">
        <v>5</v>
      </c>
      <c r="H505" s="3">
        <v>879.85</v>
      </c>
      <c r="I505" t="s">
        <v>1282</v>
      </c>
      <c r="J505" t="s">
        <v>153</v>
      </c>
      <c r="K505" t="s">
        <v>8</v>
      </c>
      <c r="L505" t="s">
        <v>8</v>
      </c>
      <c r="M505" t="s">
        <v>8</v>
      </c>
      <c r="N505" t="s">
        <v>1283</v>
      </c>
      <c r="O505" t="s">
        <v>1054</v>
      </c>
      <c r="P505" t="s">
        <v>289</v>
      </c>
    </row>
    <row r="506" spans="1:16" x14ac:dyDescent="0.25">
      <c r="A506" t="s">
        <v>0</v>
      </c>
      <c r="B506" s="2">
        <v>44669</v>
      </c>
      <c r="C506" s="5" t="s">
        <v>43</v>
      </c>
      <c r="D506" t="s">
        <v>152</v>
      </c>
      <c r="E506" t="s">
        <v>153</v>
      </c>
      <c r="F506" t="s">
        <v>4</v>
      </c>
      <c r="G506" t="s">
        <v>5</v>
      </c>
      <c r="H506" s="3">
        <v>687.85</v>
      </c>
      <c r="I506" t="s">
        <v>1384</v>
      </c>
      <c r="J506" t="s">
        <v>153</v>
      </c>
      <c r="K506" t="s">
        <v>8</v>
      </c>
      <c r="L506" t="s">
        <v>8</v>
      </c>
      <c r="M506" t="s">
        <v>8</v>
      </c>
      <c r="N506" t="s">
        <v>1283</v>
      </c>
      <c r="O506" t="s">
        <v>1054</v>
      </c>
      <c r="P506" t="s">
        <v>1154</v>
      </c>
    </row>
    <row r="507" spans="1:16" x14ac:dyDescent="0.25">
      <c r="A507" t="s">
        <v>0</v>
      </c>
      <c r="B507" s="2">
        <v>44669</v>
      </c>
      <c r="C507" s="5" t="s">
        <v>43</v>
      </c>
      <c r="D507" t="s">
        <v>47</v>
      </c>
      <c r="E507" t="s">
        <v>48</v>
      </c>
      <c r="F507" t="s">
        <v>4</v>
      </c>
      <c r="G507" t="s">
        <v>5</v>
      </c>
      <c r="H507" s="3">
        <v>182.79</v>
      </c>
      <c r="I507" t="s">
        <v>942</v>
      </c>
      <c r="J507" t="s">
        <v>943</v>
      </c>
      <c r="K507" t="s">
        <v>8</v>
      </c>
      <c r="L507" t="s">
        <v>8</v>
      </c>
      <c r="M507" t="s">
        <v>8</v>
      </c>
      <c r="N507" t="s">
        <v>1795</v>
      </c>
      <c r="O507" t="s">
        <v>945</v>
      </c>
      <c r="P507" t="s">
        <v>1</v>
      </c>
    </row>
    <row r="508" spans="1:16" x14ac:dyDescent="0.25">
      <c r="A508" t="s">
        <v>0</v>
      </c>
      <c r="B508" s="2">
        <v>44669</v>
      </c>
      <c r="C508" s="5" t="s">
        <v>43</v>
      </c>
      <c r="D508" t="s">
        <v>1201</v>
      </c>
      <c r="E508" t="s">
        <v>1202</v>
      </c>
      <c r="F508" t="s">
        <v>4</v>
      </c>
      <c r="G508" t="s">
        <v>5</v>
      </c>
      <c r="H508" s="3">
        <v>86.4</v>
      </c>
      <c r="I508" t="s">
        <v>1954</v>
      </c>
      <c r="J508" t="s">
        <v>1718</v>
      </c>
      <c r="K508" t="s">
        <v>8</v>
      </c>
      <c r="L508" t="s">
        <v>8</v>
      </c>
      <c r="M508" t="s">
        <v>8</v>
      </c>
      <c r="N508" t="s">
        <v>1955</v>
      </c>
      <c r="O508" t="s">
        <v>389</v>
      </c>
      <c r="P508" t="s">
        <v>17</v>
      </c>
    </row>
    <row r="509" spans="1:16" x14ac:dyDescent="0.25">
      <c r="A509" t="s">
        <v>0</v>
      </c>
      <c r="B509" s="2">
        <v>44670</v>
      </c>
      <c r="C509" s="5" t="s">
        <v>43</v>
      </c>
      <c r="D509" t="s">
        <v>47</v>
      </c>
      <c r="E509" t="s">
        <v>48</v>
      </c>
      <c r="F509" t="s">
        <v>4</v>
      </c>
      <c r="G509" t="s">
        <v>5</v>
      </c>
      <c r="H509" s="3">
        <v>1784.7</v>
      </c>
      <c r="I509" t="s">
        <v>1014</v>
      </c>
      <c r="J509" t="s">
        <v>1011</v>
      </c>
      <c r="K509" t="s">
        <v>8</v>
      </c>
      <c r="L509" t="s">
        <v>1015</v>
      </c>
      <c r="M509" t="s">
        <v>8</v>
      </c>
      <c r="N509" t="s">
        <v>1016</v>
      </c>
      <c r="O509" t="s">
        <v>16</v>
      </c>
      <c r="P509" t="s">
        <v>1</v>
      </c>
    </row>
    <row r="510" spans="1:16" x14ac:dyDescent="0.25">
      <c r="A510" t="s">
        <v>0</v>
      </c>
      <c r="B510" s="2">
        <v>44671</v>
      </c>
      <c r="C510" s="5" t="s">
        <v>43</v>
      </c>
      <c r="D510" t="s">
        <v>410</v>
      </c>
      <c r="E510" t="s">
        <v>411</v>
      </c>
      <c r="F510" t="s">
        <v>4</v>
      </c>
      <c r="G510" t="s">
        <v>5</v>
      </c>
      <c r="H510" s="3">
        <v>10193.99</v>
      </c>
      <c r="I510" t="s">
        <v>422</v>
      </c>
      <c r="J510" t="s">
        <v>413</v>
      </c>
      <c r="K510" t="s">
        <v>8</v>
      </c>
      <c r="L510" t="s">
        <v>423</v>
      </c>
      <c r="M510" t="s">
        <v>8</v>
      </c>
      <c r="N510" t="s">
        <v>424</v>
      </c>
      <c r="O510" t="s">
        <v>16</v>
      </c>
      <c r="P510" t="s">
        <v>1</v>
      </c>
    </row>
    <row r="511" spans="1:16" x14ac:dyDescent="0.25">
      <c r="A511" t="s">
        <v>0</v>
      </c>
      <c r="B511" s="2">
        <v>44677</v>
      </c>
      <c r="C511" s="5" t="s">
        <v>43</v>
      </c>
      <c r="D511" t="s">
        <v>2</v>
      </c>
      <c r="E511" t="s">
        <v>3</v>
      </c>
      <c r="F511" t="s">
        <v>4</v>
      </c>
      <c r="G511" t="s">
        <v>5</v>
      </c>
      <c r="H511" s="3">
        <v>9380.1299999999992</v>
      </c>
      <c r="I511" t="s">
        <v>496</v>
      </c>
      <c r="J511" t="s">
        <v>487</v>
      </c>
      <c r="K511" t="s">
        <v>8</v>
      </c>
      <c r="L511" t="s">
        <v>497</v>
      </c>
      <c r="M511" t="s">
        <v>8</v>
      </c>
      <c r="N511" t="s">
        <v>498</v>
      </c>
      <c r="O511" t="s">
        <v>16</v>
      </c>
      <c r="P511" t="s">
        <v>1</v>
      </c>
    </row>
    <row r="512" spans="1:16" x14ac:dyDescent="0.25">
      <c r="A512" t="s">
        <v>0</v>
      </c>
      <c r="B512" s="2">
        <v>44677</v>
      </c>
      <c r="C512" s="5" t="s">
        <v>43</v>
      </c>
      <c r="D512" t="s">
        <v>384</v>
      </c>
      <c r="E512" t="s">
        <v>385</v>
      </c>
      <c r="F512" t="s">
        <v>4</v>
      </c>
      <c r="G512" t="s">
        <v>5</v>
      </c>
      <c r="H512" s="3">
        <v>3708</v>
      </c>
      <c r="I512" t="s">
        <v>762</v>
      </c>
      <c r="J512" t="s">
        <v>387</v>
      </c>
      <c r="K512" t="s">
        <v>8</v>
      </c>
      <c r="L512" t="s">
        <v>8</v>
      </c>
      <c r="M512" t="s">
        <v>8</v>
      </c>
      <c r="N512" t="s">
        <v>763</v>
      </c>
      <c r="O512" t="s">
        <v>389</v>
      </c>
      <c r="P512" t="s">
        <v>17</v>
      </c>
    </row>
    <row r="513" spans="1:16" x14ac:dyDescent="0.25">
      <c r="A513" t="s">
        <v>0</v>
      </c>
      <c r="B513" s="2">
        <v>44677</v>
      </c>
      <c r="C513" s="5" t="s">
        <v>43</v>
      </c>
      <c r="D513" t="s">
        <v>384</v>
      </c>
      <c r="E513" t="s">
        <v>385</v>
      </c>
      <c r="F513" t="s">
        <v>4</v>
      </c>
      <c r="G513" t="s">
        <v>5</v>
      </c>
      <c r="H513" s="3">
        <v>2568.73</v>
      </c>
      <c r="I513" t="s">
        <v>875</v>
      </c>
      <c r="J513" t="s">
        <v>387</v>
      </c>
      <c r="K513" t="s">
        <v>8</v>
      </c>
      <c r="L513" t="s">
        <v>8</v>
      </c>
      <c r="M513" t="s">
        <v>8</v>
      </c>
      <c r="N513" t="s">
        <v>763</v>
      </c>
      <c r="O513" t="s">
        <v>389</v>
      </c>
      <c r="P513" t="s">
        <v>1</v>
      </c>
    </row>
    <row r="514" spans="1:16" x14ac:dyDescent="0.25">
      <c r="A514" t="s">
        <v>0</v>
      </c>
      <c r="B514" s="2">
        <v>44677</v>
      </c>
      <c r="C514" s="5" t="s">
        <v>43</v>
      </c>
      <c r="D514" t="s">
        <v>384</v>
      </c>
      <c r="E514" t="s">
        <v>385</v>
      </c>
      <c r="F514" t="s">
        <v>4</v>
      </c>
      <c r="G514" t="s">
        <v>5</v>
      </c>
      <c r="H514" s="3">
        <v>501.84</v>
      </c>
      <c r="I514" t="s">
        <v>1476</v>
      </c>
      <c r="J514" t="s">
        <v>387</v>
      </c>
      <c r="K514" t="s">
        <v>8</v>
      </c>
      <c r="L514" t="s">
        <v>8</v>
      </c>
      <c r="M514" t="s">
        <v>8</v>
      </c>
      <c r="N514" t="s">
        <v>763</v>
      </c>
      <c r="O514" t="s">
        <v>389</v>
      </c>
      <c r="P514" t="s">
        <v>72</v>
      </c>
    </row>
    <row r="515" spans="1:16" x14ac:dyDescent="0.25">
      <c r="A515" t="s">
        <v>0</v>
      </c>
      <c r="B515" s="2">
        <v>44677</v>
      </c>
      <c r="C515" s="5" t="s">
        <v>43</v>
      </c>
      <c r="D515" t="s">
        <v>1597</v>
      </c>
      <c r="E515" t="s">
        <v>1598</v>
      </c>
      <c r="F515" t="s">
        <v>4</v>
      </c>
      <c r="G515" t="s">
        <v>5</v>
      </c>
      <c r="H515" s="3">
        <v>236.4</v>
      </c>
      <c r="I515" t="s">
        <v>1747</v>
      </c>
      <c r="J515" t="s">
        <v>387</v>
      </c>
      <c r="K515" t="s">
        <v>8</v>
      </c>
      <c r="L515" t="s">
        <v>8</v>
      </c>
      <c r="M515" t="s">
        <v>8</v>
      </c>
      <c r="N515" t="s">
        <v>763</v>
      </c>
      <c r="O515" t="s">
        <v>389</v>
      </c>
      <c r="P515" t="s">
        <v>30</v>
      </c>
    </row>
    <row r="516" spans="1:16" x14ac:dyDescent="0.25">
      <c r="A516" t="s">
        <v>0</v>
      </c>
      <c r="B516" s="2">
        <v>44677</v>
      </c>
      <c r="C516" s="5" t="s">
        <v>43</v>
      </c>
      <c r="D516" t="s">
        <v>384</v>
      </c>
      <c r="E516" t="s">
        <v>385</v>
      </c>
      <c r="F516" t="s">
        <v>4</v>
      </c>
      <c r="G516" t="s">
        <v>5</v>
      </c>
      <c r="H516" s="3">
        <v>65.8</v>
      </c>
      <c r="I516" t="s">
        <v>2004</v>
      </c>
      <c r="J516" t="s">
        <v>387</v>
      </c>
      <c r="K516" t="s">
        <v>8</v>
      </c>
      <c r="L516" t="s">
        <v>8</v>
      </c>
      <c r="M516" t="s">
        <v>8</v>
      </c>
      <c r="N516" t="s">
        <v>763</v>
      </c>
      <c r="O516" t="s">
        <v>389</v>
      </c>
      <c r="P516" t="s">
        <v>43</v>
      </c>
    </row>
    <row r="517" spans="1:16" x14ac:dyDescent="0.25">
      <c r="A517" t="s">
        <v>0</v>
      </c>
      <c r="B517" s="2">
        <v>44677</v>
      </c>
      <c r="C517" s="5" t="s">
        <v>43</v>
      </c>
      <c r="D517" t="s">
        <v>384</v>
      </c>
      <c r="E517" t="s">
        <v>385</v>
      </c>
      <c r="F517" t="s">
        <v>4</v>
      </c>
      <c r="G517" t="s">
        <v>5</v>
      </c>
      <c r="H517" s="3">
        <v>53.88</v>
      </c>
      <c r="I517" t="s">
        <v>2044</v>
      </c>
      <c r="J517" t="s">
        <v>387</v>
      </c>
      <c r="K517" t="s">
        <v>8</v>
      </c>
      <c r="L517" t="s">
        <v>8</v>
      </c>
      <c r="M517" t="s">
        <v>8</v>
      </c>
      <c r="N517" t="s">
        <v>763</v>
      </c>
      <c r="O517" t="s">
        <v>389</v>
      </c>
      <c r="P517" t="s">
        <v>82</v>
      </c>
    </row>
    <row r="518" spans="1:16" x14ac:dyDescent="0.25">
      <c r="A518" t="s">
        <v>0</v>
      </c>
      <c r="B518" s="2">
        <v>44677</v>
      </c>
      <c r="C518" s="5" t="s">
        <v>43</v>
      </c>
      <c r="D518" t="s">
        <v>384</v>
      </c>
      <c r="E518" t="s">
        <v>385</v>
      </c>
      <c r="F518" t="s">
        <v>4</v>
      </c>
      <c r="G518" t="s">
        <v>5</v>
      </c>
      <c r="H518" s="3">
        <v>45</v>
      </c>
      <c r="I518" t="s">
        <v>2062</v>
      </c>
      <c r="J518" t="s">
        <v>387</v>
      </c>
      <c r="K518" t="s">
        <v>8</v>
      </c>
      <c r="L518" t="s">
        <v>8</v>
      </c>
      <c r="M518" t="s">
        <v>8</v>
      </c>
      <c r="N518" t="s">
        <v>763</v>
      </c>
      <c r="O518" t="s">
        <v>389</v>
      </c>
      <c r="P518" t="s">
        <v>12</v>
      </c>
    </row>
    <row r="519" spans="1:16" x14ac:dyDescent="0.25">
      <c r="A519" t="s">
        <v>0</v>
      </c>
      <c r="B519" s="2">
        <v>44677</v>
      </c>
      <c r="C519" s="5" t="s">
        <v>43</v>
      </c>
      <c r="D519" t="s">
        <v>384</v>
      </c>
      <c r="E519" t="s">
        <v>385</v>
      </c>
      <c r="F519" t="s">
        <v>4</v>
      </c>
      <c r="G519" t="s">
        <v>5</v>
      </c>
      <c r="H519" s="3">
        <v>40</v>
      </c>
      <c r="I519" t="s">
        <v>1747</v>
      </c>
      <c r="J519" t="s">
        <v>387</v>
      </c>
      <c r="K519" t="s">
        <v>8</v>
      </c>
      <c r="L519" t="s">
        <v>8</v>
      </c>
      <c r="M519" t="s">
        <v>8</v>
      </c>
      <c r="N519" t="s">
        <v>763</v>
      </c>
      <c r="O519" t="s">
        <v>389</v>
      </c>
      <c r="P519" t="s">
        <v>22</v>
      </c>
    </row>
    <row r="520" spans="1:16" x14ac:dyDescent="0.25">
      <c r="A520" t="s">
        <v>0</v>
      </c>
      <c r="B520" s="2">
        <v>44677</v>
      </c>
      <c r="C520" s="5" t="s">
        <v>43</v>
      </c>
      <c r="D520" t="s">
        <v>384</v>
      </c>
      <c r="E520" t="s">
        <v>385</v>
      </c>
      <c r="F520" t="s">
        <v>4</v>
      </c>
      <c r="G520" t="s">
        <v>5</v>
      </c>
      <c r="H520" s="3">
        <v>40</v>
      </c>
      <c r="I520" t="s">
        <v>2069</v>
      </c>
      <c r="J520" t="s">
        <v>387</v>
      </c>
      <c r="K520" t="s">
        <v>8</v>
      </c>
      <c r="L520" t="s">
        <v>8</v>
      </c>
      <c r="M520" t="s">
        <v>8</v>
      </c>
      <c r="N520" t="s">
        <v>763</v>
      </c>
      <c r="O520" t="s">
        <v>389</v>
      </c>
      <c r="P520" t="s">
        <v>87</v>
      </c>
    </row>
    <row r="521" spans="1:16" x14ac:dyDescent="0.25">
      <c r="A521" t="s">
        <v>0</v>
      </c>
      <c r="B521" s="2">
        <v>44677</v>
      </c>
      <c r="C521" s="5" t="s">
        <v>43</v>
      </c>
      <c r="D521" t="s">
        <v>384</v>
      </c>
      <c r="E521" t="s">
        <v>385</v>
      </c>
      <c r="F521" t="s">
        <v>4</v>
      </c>
      <c r="G521" t="s">
        <v>5</v>
      </c>
      <c r="H521" s="3">
        <v>21</v>
      </c>
      <c r="I521" t="s">
        <v>2124</v>
      </c>
      <c r="J521" t="s">
        <v>387</v>
      </c>
      <c r="K521" t="s">
        <v>8</v>
      </c>
      <c r="L521" t="s">
        <v>8</v>
      </c>
      <c r="M521" t="s">
        <v>8</v>
      </c>
      <c r="N521" t="s">
        <v>763</v>
      </c>
      <c r="O521" t="s">
        <v>389</v>
      </c>
      <c r="P521" t="s">
        <v>77</v>
      </c>
    </row>
    <row r="522" spans="1:16" x14ac:dyDescent="0.25">
      <c r="A522" t="s">
        <v>0</v>
      </c>
      <c r="B522" s="2">
        <v>44678</v>
      </c>
      <c r="C522" s="5" t="s">
        <v>43</v>
      </c>
      <c r="D522" t="s">
        <v>591</v>
      </c>
      <c r="E522" t="s">
        <v>592</v>
      </c>
      <c r="F522" t="s">
        <v>4</v>
      </c>
      <c r="G522" t="s">
        <v>5</v>
      </c>
      <c r="H522" s="3">
        <v>186.9</v>
      </c>
      <c r="I522" t="s">
        <v>1793</v>
      </c>
      <c r="J522" t="s">
        <v>460</v>
      </c>
      <c r="K522" t="s">
        <v>8</v>
      </c>
      <c r="L522" t="s">
        <v>8</v>
      </c>
      <c r="M522" t="s">
        <v>8</v>
      </c>
      <c r="N522" t="s">
        <v>1794</v>
      </c>
      <c r="O522" t="s">
        <v>34</v>
      </c>
      <c r="P522" t="s">
        <v>12</v>
      </c>
    </row>
    <row r="523" spans="1:16" x14ac:dyDescent="0.25">
      <c r="A523" t="s">
        <v>0</v>
      </c>
      <c r="B523" s="2">
        <v>44679</v>
      </c>
      <c r="C523" t="s">
        <v>43</v>
      </c>
      <c r="D523" t="s">
        <v>63</v>
      </c>
      <c r="E523" t="s">
        <v>64</v>
      </c>
      <c r="F523" t="s">
        <v>4</v>
      </c>
      <c r="G523" t="s">
        <v>5</v>
      </c>
      <c r="H523" s="3">
        <v>110866.91</v>
      </c>
      <c r="I523" t="s">
        <v>65</v>
      </c>
      <c r="J523" t="s">
        <v>66</v>
      </c>
      <c r="K523" t="s">
        <v>8</v>
      </c>
      <c r="L523" t="s">
        <v>8</v>
      </c>
      <c r="M523" t="s">
        <v>8</v>
      </c>
      <c r="N523" t="s">
        <v>67</v>
      </c>
      <c r="O523" t="s">
        <v>57</v>
      </c>
      <c r="P523" t="s">
        <v>68</v>
      </c>
    </row>
    <row r="524" spans="1:16" x14ac:dyDescent="0.25">
      <c r="A524" t="s">
        <v>0</v>
      </c>
      <c r="B524" s="2">
        <v>44679</v>
      </c>
      <c r="C524" t="s">
        <v>43</v>
      </c>
      <c r="D524" t="s">
        <v>90</v>
      </c>
      <c r="E524" t="s">
        <v>91</v>
      </c>
      <c r="F524" t="s">
        <v>4</v>
      </c>
      <c r="G524" t="s">
        <v>5</v>
      </c>
      <c r="H524" s="3">
        <v>97364.79</v>
      </c>
      <c r="I524" t="s">
        <v>98</v>
      </c>
      <c r="J524" t="s">
        <v>93</v>
      </c>
      <c r="K524" t="s">
        <v>8</v>
      </c>
      <c r="L524" t="s">
        <v>8</v>
      </c>
      <c r="M524" t="s">
        <v>8</v>
      </c>
      <c r="N524" t="s">
        <v>99</v>
      </c>
      <c r="O524" t="s">
        <v>95</v>
      </c>
      <c r="P524" t="s">
        <v>82</v>
      </c>
    </row>
    <row r="525" spans="1:16" x14ac:dyDescent="0.25">
      <c r="A525" t="s">
        <v>0</v>
      </c>
      <c r="B525" s="2">
        <v>44679</v>
      </c>
      <c r="C525" t="s">
        <v>43</v>
      </c>
      <c r="D525" t="s">
        <v>63</v>
      </c>
      <c r="E525" t="s">
        <v>64</v>
      </c>
      <c r="F525" t="s">
        <v>4</v>
      </c>
      <c r="G525" t="s">
        <v>5</v>
      </c>
      <c r="H525" s="3">
        <v>63787.66</v>
      </c>
      <c r="I525" t="s">
        <v>114</v>
      </c>
      <c r="J525" t="s">
        <v>66</v>
      </c>
      <c r="K525" t="s">
        <v>8</v>
      </c>
      <c r="L525" t="s">
        <v>8</v>
      </c>
      <c r="M525" t="s">
        <v>8</v>
      </c>
      <c r="N525" t="s">
        <v>67</v>
      </c>
      <c r="O525" t="s">
        <v>57</v>
      </c>
      <c r="P525" t="s">
        <v>141</v>
      </c>
    </row>
    <row r="526" spans="1:16" x14ac:dyDescent="0.25">
      <c r="A526" t="s">
        <v>0</v>
      </c>
      <c r="B526" s="2">
        <v>44679</v>
      </c>
      <c r="C526" t="s">
        <v>43</v>
      </c>
      <c r="D526" t="s">
        <v>122</v>
      </c>
      <c r="E526" t="s">
        <v>123</v>
      </c>
      <c r="F526" t="s">
        <v>4</v>
      </c>
      <c r="G526" t="s">
        <v>5</v>
      </c>
      <c r="H526" s="3">
        <v>52963.01</v>
      </c>
      <c r="I526" t="s">
        <v>124</v>
      </c>
      <c r="J526" t="s">
        <v>66</v>
      </c>
      <c r="K526" t="s">
        <v>8</v>
      </c>
      <c r="L526" t="s">
        <v>8</v>
      </c>
      <c r="M526" t="s">
        <v>8</v>
      </c>
      <c r="N526" t="s">
        <v>67</v>
      </c>
      <c r="O526" t="s">
        <v>57</v>
      </c>
      <c r="P526" t="s">
        <v>147</v>
      </c>
    </row>
    <row r="527" spans="1:16" x14ac:dyDescent="0.25">
      <c r="A527" t="s">
        <v>0</v>
      </c>
      <c r="B527" s="2">
        <v>44679</v>
      </c>
      <c r="C527" t="s">
        <v>43</v>
      </c>
      <c r="D527" t="s">
        <v>169</v>
      </c>
      <c r="E527" t="s">
        <v>170</v>
      </c>
      <c r="F527" t="s">
        <v>4</v>
      </c>
      <c r="G527" t="s">
        <v>5</v>
      </c>
      <c r="H527" s="3">
        <v>32567.65</v>
      </c>
      <c r="I527" t="s">
        <v>171</v>
      </c>
      <c r="J527" t="s">
        <v>66</v>
      </c>
      <c r="K527" t="s">
        <v>8</v>
      </c>
      <c r="L527" t="s">
        <v>8</v>
      </c>
      <c r="M527" t="s">
        <v>8</v>
      </c>
      <c r="N527" t="s">
        <v>67</v>
      </c>
      <c r="O527" t="s">
        <v>57</v>
      </c>
      <c r="P527" t="s">
        <v>178</v>
      </c>
    </row>
    <row r="528" spans="1:16" x14ac:dyDescent="0.25">
      <c r="A528" t="s">
        <v>0</v>
      </c>
      <c r="B528" s="2">
        <v>44679</v>
      </c>
      <c r="C528" t="s">
        <v>43</v>
      </c>
      <c r="D528" t="s">
        <v>185</v>
      </c>
      <c r="E528" t="s">
        <v>186</v>
      </c>
      <c r="F528" t="s">
        <v>4</v>
      </c>
      <c r="G528" t="s">
        <v>5</v>
      </c>
      <c r="H528" s="3">
        <v>28230.47</v>
      </c>
      <c r="I528" t="s">
        <v>207</v>
      </c>
      <c r="J528" t="s">
        <v>188</v>
      </c>
      <c r="K528" t="s">
        <v>8</v>
      </c>
      <c r="L528" t="s">
        <v>8</v>
      </c>
      <c r="M528" t="s">
        <v>8</v>
      </c>
      <c r="N528" t="s">
        <v>208</v>
      </c>
      <c r="O528" t="s">
        <v>95</v>
      </c>
      <c r="P528" t="s">
        <v>190</v>
      </c>
    </row>
    <row r="529" spans="1:16" x14ac:dyDescent="0.25">
      <c r="A529" t="s">
        <v>0</v>
      </c>
      <c r="B529" s="2">
        <v>44679</v>
      </c>
      <c r="C529" t="s">
        <v>43</v>
      </c>
      <c r="D529" t="s">
        <v>169</v>
      </c>
      <c r="E529" t="s">
        <v>170</v>
      </c>
      <c r="F529" t="s">
        <v>4</v>
      </c>
      <c r="G529" t="s">
        <v>5</v>
      </c>
      <c r="H529" s="3">
        <v>27243.21</v>
      </c>
      <c r="I529" t="s">
        <v>213</v>
      </c>
      <c r="J529" t="s">
        <v>66</v>
      </c>
      <c r="K529" t="s">
        <v>8</v>
      </c>
      <c r="L529" t="s">
        <v>8</v>
      </c>
      <c r="M529" t="s">
        <v>8</v>
      </c>
      <c r="N529" t="s">
        <v>67</v>
      </c>
      <c r="O529" t="s">
        <v>57</v>
      </c>
      <c r="P529" t="s">
        <v>214</v>
      </c>
    </row>
    <row r="530" spans="1:16" x14ac:dyDescent="0.25">
      <c r="A530" t="s">
        <v>0</v>
      </c>
      <c r="B530" s="2">
        <v>44679</v>
      </c>
      <c r="C530" t="s">
        <v>43</v>
      </c>
      <c r="D530" t="s">
        <v>229</v>
      </c>
      <c r="E530" t="s">
        <v>230</v>
      </c>
      <c r="F530" t="s">
        <v>4</v>
      </c>
      <c r="G530" t="s">
        <v>5</v>
      </c>
      <c r="H530" s="3">
        <v>23576.400000000001</v>
      </c>
      <c r="I530" t="s">
        <v>231</v>
      </c>
      <c r="J530" t="s">
        <v>232</v>
      </c>
      <c r="K530" t="s">
        <v>8</v>
      </c>
      <c r="L530" t="s">
        <v>8</v>
      </c>
      <c r="M530" t="s">
        <v>8</v>
      </c>
      <c r="N530" t="s">
        <v>239</v>
      </c>
      <c r="O530" t="s">
        <v>234</v>
      </c>
      <c r="P530" t="s">
        <v>240</v>
      </c>
    </row>
    <row r="531" spans="1:16" x14ac:dyDescent="0.25">
      <c r="A531" t="s">
        <v>0</v>
      </c>
      <c r="B531" s="2">
        <v>44679</v>
      </c>
      <c r="C531" t="s">
        <v>43</v>
      </c>
      <c r="D531" t="s">
        <v>59</v>
      </c>
      <c r="E531" t="s">
        <v>60</v>
      </c>
      <c r="F531" t="s">
        <v>4</v>
      </c>
      <c r="G531" t="s">
        <v>5</v>
      </c>
      <c r="H531" s="3">
        <v>18665.37</v>
      </c>
      <c r="I531" t="s">
        <v>61</v>
      </c>
      <c r="J531" t="s">
        <v>66</v>
      </c>
      <c r="K531" t="s">
        <v>8</v>
      </c>
      <c r="L531" t="s">
        <v>8</v>
      </c>
      <c r="M531" t="s">
        <v>8</v>
      </c>
      <c r="N531" t="s">
        <v>67</v>
      </c>
      <c r="O531" t="s">
        <v>57</v>
      </c>
      <c r="P531" t="s">
        <v>309</v>
      </c>
    </row>
    <row r="532" spans="1:16" x14ac:dyDescent="0.25">
      <c r="A532" t="s">
        <v>0</v>
      </c>
      <c r="B532" s="2">
        <v>44679</v>
      </c>
      <c r="C532" t="s">
        <v>43</v>
      </c>
      <c r="D532" t="s">
        <v>173</v>
      </c>
      <c r="E532" t="s">
        <v>174</v>
      </c>
      <c r="F532" t="s">
        <v>4</v>
      </c>
      <c r="G532" t="s">
        <v>5</v>
      </c>
      <c r="H532" s="3">
        <v>17787.96</v>
      </c>
      <c r="I532" t="s">
        <v>175</v>
      </c>
      <c r="J532" t="s">
        <v>66</v>
      </c>
      <c r="K532" t="s">
        <v>8</v>
      </c>
      <c r="L532" t="s">
        <v>8</v>
      </c>
      <c r="M532" t="s">
        <v>8</v>
      </c>
      <c r="N532" t="s">
        <v>67</v>
      </c>
      <c r="O532" t="s">
        <v>57</v>
      </c>
      <c r="P532" t="s">
        <v>312</v>
      </c>
    </row>
    <row r="533" spans="1:16" x14ac:dyDescent="0.25">
      <c r="A533" t="s">
        <v>0</v>
      </c>
      <c r="B533" s="2">
        <v>44679</v>
      </c>
      <c r="C533" t="s">
        <v>43</v>
      </c>
      <c r="D533" t="s">
        <v>273</v>
      </c>
      <c r="E533" t="s">
        <v>274</v>
      </c>
      <c r="F533" t="s">
        <v>4</v>
      </c>
      <c r="G533" t="s">
        <v>5</v>
      </c>
      <c r="H533" s="3">
        <v>17377.849999999999</v>
      </c>
      <c r="I533" t="s">
        <v>275</v>
      </c>
      <c r="J533" t="s">
        <v>66</v>
      </c>
      <c r="K533" t="s">
        <v>8</v>
      </c>
      <c r="L533" t="s">
        <v>8</v>
      </c>
      <c r="M533" t="s">
        <v>8</v>
      </c>
      <c r="N533" t="s">
        <v>67</v>
      </c>
      <c r="O533" t="s">
        <v>57</v>
      </c>
      <c r="P533" t="s">
        <v>315</v>
      </c>
    </row>
    <row r="534" spans="1:16" x14ac:dyDescent="0.25">
      <c r="A534" t="s">
        <v>0</v>
      </c>
      <c r="B534" s="2">
        <v>44679</v>
      </c>
      <c r="C534" t="s">
        <v>43</v>
      </c>
      <c r="D534" t="s">
        <v>333</v>
      </c>
      <c r="E534" t="s">
        <v>334</v>
      </c>
      <c r="F534" t="s">
        <v>4</v>
      </c>
      <c r="G534" t="s">
        <v>5</v>
      </c>
      <c r="H534" s="3">
        <v>14459.14</v>
      </c>
      <c r="I534" t="s">
        <v>338</v>
      </c>
      <c r="J534" t="s">
        <v>248</v>
      </c>
      <c r="K534" t="s">
        <v>8</v>
      </c>
      <c r="L534" t="s">
        <v>8</v>
      </c>
      <c r="M534" t="s">
        <v>8</v>
      </c>
      <c r="N534" t="s">
        <v>339</v>
      </c>
      <c r="O534" t="s">
        <v>95</v>
      </c>
      <c r="P534" t="s">
        <v>324</v>
      </c>
    </row>
    <row r="535" spans="1:16" x14ac:dyDescent="0.25">
      <c r="A535" t="s">
        <v>0</v>
      </c>
      <c r="B535" s="2">
        <v>44679</v>
      </c>
      <c r="C535" t="s">
        <v>43</v>
      </c>
      <c r="D535" t="s">
        <v>241</v>
      </c>
      <c r="E535" t="s">
        <v>242</v>
      </c>
      <c r="F535" t="s">
        <v>4</v>
      </c>
      <c r="G535" t="s">
        <v>5</v>
      </c>
      <c r="H535" s="3">
        <v>13363.22</v>
      </c>
      <c r="I535" t="s">
        <v>365</v>
      </c>
      <c r="J535" t="s">
        <v>244</v>
      </c>
      <c r="K535" t="s">
        <v>8</v>
      </c>
      <c r="L535" t="s">
        <v>8</v>
      </c>
      <c r="M535" t="s">
        <v>8</v>
      </c>
      <c r="N535" t="s">
        <v>366</v>
      </c>
      <c r="O535" t="s">
        <v>95</v>
      </c>
      <c r="P535" t="s">
        <v>367</v>
      </c>
    </row>
    <row r="536" spans="1:16" x14ac:dyDescent="0.25">
      <c r="A536" t="s">
        <v>0</v>
      </c>
      <c r="B536" s="2">
        <v>44679</v>
      </c>
      <c r="C536" s="5" t="s">
        <v>43</v>
      </c>
      <c r="D536" t="s">
        <v>380</v>
      </c>
      <c r="E536" t="s">
        <v>381</v>
      </c>
      <c r="F536" t="s">
        <v>4</v>
      </c>
      <c r="G536" t="s">
        <v>5</v>
      </c>
      <c r="H536" s="3">
        <v>8192.24</v>
      </c>
      <c r="I536" t="s">
        <v>382</v>
      </c>
      <c r="J536" t="s">
        <v>66</v>
      </c>
      <c r="K536" t="s">
        <v>8</v>
      </c>
      <c r="L536" t="s">
        <v>8</v>
      </c>
      <c r="M536" t="s">
        <v>8</v>
      </c>
      <c r="N536" t="s">
        <v>67</v>
      </c>
      <c r="O536" t="s">
        <v>57</v>
      </c>
      <c r="P536" t="s">
        <v>79</v>
      </c>
    </row>
    <row r="537" spans="1:16" x14ac:dyDescent="0.25">
      <c r="A537" t="s">
        <v>0</v>
      </c>
      <c r="B537" s="2">
        <v>44679</v>
      </c>
      <c r="C537" s="5" t="s">
        <v>43</v>
      </c>
      <c r="D537" t="s">
        <v>122</v>
      </c>
      <c r="E537" t="s">
        <v>123</v>
      </c>
      <c r="F537" t="s">
        <v>4</v>
      </c>
      <c r="G537" t="s">
        <v>5</v>
      </c>
      <c r="H537" s="3">
        <v>7699.46</v>
      </c>
      <c r="I537" t="s">
        <v>397</v>
      </c>
      <c r="J537" t="s">
        <v>66</v>
      </c>
      <c r="K537" t="s">
        <v>8</v>
      </c>
      <c r="L537" t="s">
        <v>8</v>
      </c>
      <c r="M537" t="s">
        <v>8</v>
      </c>
      <c r="N537" t="s">
        <v>67</v>
      </c>
      <c r="O537" t="s">
        <v>57</v>
      </c>
      <c r="P537" t="s">
        <v>573</v>
      </c>
    </row>
    <row r="538" spans="1:16" x14ac:dyDescent="0.25">
      <c r="A538" t="s">
        <v>0</v>
      </c>
      <c r="B538" s="2">
        <v>44679</v>
      </c>
      <c r="C538" s="5" t="s">
        <v>43</v>
      </c>
      <c r="D538" t="s">
        <v>534</v>
      </c>
      <c r="E538" t="s">
        <v>535</v>
      </c>
      <c r="F538" t="s">
        <v>4</v>
      </c>
      <c r="G538" t="s">
        <v>5</v>
      </c>
      <c r="H538" s="3">
        <v>6516.58</v>
      </c>
      <c r="I538" t="s">
        <v>536</v>
      </c>
      <c r="J538" t="s">
        <v>66</v>
      </c>
      <c r="K538" t="s">
        <v>8</v>
      </c>
      <c r="L538" t="s">
        <v>8</v>
      </c>
      <c r="M538" t="s">
        <v>8</v>
      </c>
      <c r="N538" t="s">
        <v>67</v>
      </c>
      <c r="O538" t="s">
        <v>57</v>
      </c>
      <c r="P538" t="s">
        <v>608</v>
      </c>
    </row>
    <row r="539" spans="1:16" x14ac:dyDescent="0.25">
      <c r="A539" t="s">
        <v>0</v>
      </c>
      <c r="B539" s="2">
        <v>44679</v>
      </c>
      <c r="C539" s="5" t="s">
        <v>43</v>
      </c>
      <c r="D539" t="s">
        <v>624</v>
      </c>
      <c r="E539" t="s">
        <v>625</v>
      </c>
      <c r="F539" t="s">
        <v>4</v>
      </c>
      <c r="G539" t="s">
        <v>5</v>
      </c>
      <c r="H539" s="3">
        <v>5969.74</v>
      </c>
      <c r="I539" t="s">
        <v>626</v>
      </c>
      <c r="J539" t="s">
        <v>66</v>
      </c>
      <c r="K539" t="s">
        <v>8</v>
      </c>
      <c r="L539" t="s">
        <v>8</v>
      </c>
      <c r="M539" t="s">
        <v>8</v>
      </c>
      <c r="N539" t="s">
        <v>67</v>
      </c>
      <c r="O539" t="s">
        <v>57</v>
      </c>
      <c r="P539" t="s">
        <v>597</v>
      </c>
    </row>
    <row r="540" spans="1:16" x14ac:dyDescent="0.25">
      <c r="A540" t="s">
        <v>0</v>
      </c>
      <c r="B540" s="2">
        <v>44679</v>
      </c>
      <c r="C540" s="5" t="s">
        <v>43</v>
      </c>
      <c r="D540" t="s">
        <v>514</v>
      </c>
      <c r="E540" t="s">
        <v>515</v>
      </c>
      <c r="F540" t="s">
        <v>4</v>
      </c>
      <c r="G540" t="s">
        <v>5</v>
      </c>
      <c r="H540" s="3">
        <v>5789.98</v>
      </c>
      <c r="I540" t="s">
        <v>516</v>
      </c>
      <c r="J540" t="s">
        <v>66</v>
      </c>
      <c r="K540" t="s">
        <v>8</v>
      </c>
      <c r="L540" t="s">
        <v>8</v>
      </c>
      <c r="M540" t="s">
        <v>8</v>
      </c>
      <c r="N540" t="s">
        <v>637</v>
      </c>
      <c r="O540" t="s">
        <v>57</v>
      </c>
      <c r="P540" t="s">
        <v>638</v>
      </c>
    </row>
    <row r="541" spans="1:16" x14ac:dyDescent="0.25">
      <c r="A541" t="s">
        <v>0</v>
      </c>
      <c r="B541" s="2">
        <v>44679</v>
      </c>
      <c r="C541" s="5" t="s">
        <v>43</v>
      </c>
      <c r="D541" t="s">
        <v>507</v>
      </c>
      <c r="E541" t="s">
        <v>508</v>
      </c>
      <c r="F541" t="s">
        <v>4</v>
      </c>
      <c r="G541" t="s">
        <v>5</v>
      </c>
      <c r="H541" s="3">
        <v>5484.42</v>
      </c>
      <c r="I541" t="s">
        <v>509</v>
      </c>
      <c r="J541" t="s">
        <v>66</v>
      </c>
      <c r="K541" t="s">
        <v>8</v>
      </c>
      <c r="L541" t="s">
        <v>8</v>
      </c>
      <c r="M541" t="s">
        <v>8</v>
      </c>
      <c r="N541" t="s">
        <v>67</v>
      </c>
      <c r="O541" t="s">
        <v>57</v>
      </c>
      <c r="P541" t="s">
        <v>655</v>
      </c>
    </row>
    <row r="542" spans="1:16" x14ac:dyDescent="0.25">
      <c r="A542" t="s">
        <v>0</v>
      </c>
      <c r="B542" s="2">
        <v>44679</v>
      </c>
      <c r="C542" s="5" t="s">
        <v>43</v>
      </c>
      <c r="D542" t="s">
        <v>794</v>
      </c>
      <c r="E542" t="s">
        <v>795</v>
      </c>
      <c r="F542" t="s">
        <v>4</v>
      </c>
      <c r="G542" t="s">
        <v>5</v>
      </c>
      <c r="H542" s="3">
        <v>3396.14</v>
      </c>
      <c r="I542" t="s">
        <v>796</v>
      </c>
      <c r="J542" t="s">
        <v>232</v>
      </c>
      <c r="K542" t="s">
        <v>8</v>
      </c>
      <c r="L542" t="s">
        <v>8</v>
      </c>
      <c r="M542" t="s">
        <v>8</v>
      </c>
      <c r="N542" t="s">
        <v>239</v>
      </c>
      <c r="O542" t="s">
        <v>234</v>
      </c>
      <c r="P542" t="s">
        <v>12</v>
      </c>
    </row>
    <row r="543" spans="1:16" x14ac:dyDescent="0.25">
      <c r="A543" t="s">
        <v>0</v>
      </c>
      <c r="B543" s="2">
        <v>44679</v>
      </c>
      <c r="C543" s="5" t="s">
        <v>43</v>
      </c>
      <c r="D543" t="s">
        <v>769</v>
      </c>
      <c r="E543" t="s">
        <v>770</v>
      </c>
      <c r="F543" t="s">
        <v>4</v>
      </c>
      <c r="G543" t="s">
        <v>5</v>
      </c>
      <c r="H543" s="3">
        <v>2994.6</v>
      </c>
      <c r="I543" t="s">
        <v>771</v>
      </c>
      <c r="J543" t="s">
        <v>66</v>
      </c>
      <c r="K543" t="s">
        <v>8</v>
      </c>
      <c r="L543" t="s">
        <v>8</v>
      </c>
      <c r="M543" t="s">
        <v>8</v>
      </c>
      <c r="N543" t="s">
        <v>637</v>
      </c>
      <c r="O543" t="s">
        <v>57</v>
      </c>
      <c r="P543" t="s">
        <v>842</v>
      </c>
    </row>
    <row r="544" spans="1:16" x14ac:dyDescent="0.25">
      <c r="A544" t="s">
        <v>0</v>
      </c>
      <c r="B544" s="2">
        <v>44679</v>
      </c>
      <c r="C544" s="5" t="s">
        <v>43</v>
      </c>
      <c r="D544" t="s">
        <v>266</v>
      </c>
      <c r="E544" t="s">
        <v>267</v>
      </c>
      <c r="F544" t="s">
        <v>4</v>
      </c>
      <c r="G544" t="s">
        <v>5</v>
      </c>
      <c r="H544" s="3">
        <v>2971.5</v>
      </c>
      <c r="I544" t="s">
        <v>268</v>
      </c>
      <c r="J544" t="s">
        <v>8</v>
      </c>
      <c r="K544" t="s">
        <v>378</v>
      </c>
      <c r="L544" t="s">
        <v>8</v>
      </c>
      <c r="M544" t="s">
        <v>270</v>
      </c>
      <c r="N544" t="s">
        <v>844</v>
      </c>
      <c r="O544" t="s">
        <v>272</v>
      </c>
      <c r="P544" t="s">
        <v>12</v>
      </c>
    </row>
    <row r="545" spans="1:16" x14ac:dyDescent="0.25">
      <c r="A545" t="s">
        <v>0</v>
      </c>
      <c r="B545" s="2">
        <v>44679</v>
      </c>
      <c r="C545" s="5" t="s">
        <v>43</v>
      </c>
      <c r="D545" t="s">
        <v>301</v>
      </c>
      <c r="E545" t="s">
        <v>302</v>
      </c>
      <c r="F545" t="s">
        <v>4</v>
      </c>
      <c r="G545" t="s">
        <v>5</v>
      </c>
      <c r="H545" s="3">
        <v>2878.5</v>
      </c>
      <c r="I545" t="s">
        <v>268</v>
      </c>
      <c r="J545" t="s">
        <v>8</v>
      </c>
      <c r="K545" t="s">
        <v>269</v>
      </c>
      <c r="L545" t="s">
        <v>8</v>
      </c>
      <c r="M545" t="s">
        <v>270</v>
      </c>
      <c r="N545" t="s">
        <v>847</v>
      </c>
      <c r="O545" t="s">
        <v>272</v>
      </c>
      <c r="P545" t="s">
        <v>12</v>
      </c>
    </row>
    <row r="546" spans="1:16" x14ac:dyDescent="0.25">
      <c r="A546" t="s">
        <v>0</v>
      </c>
      <c r="B546" s="2">
        <v>44679</v>
      </c>
      <c r="C546" s="5" t="s">
        <v>43</v>
      </c>
      <c r="D546" t="s">
        <v>822</v>
      </c>
      <c r="E546" t="s">
        <v>823</v>
      </c>
      <c r="F546" t="s">
        <v>4</v>
      </c>
      <c r="G546" t="s">
        <v>5</v>
      </c>
      <c r="H546" s="3">
        <v>2839.11</v>
      </c>
      <c r="I546" t="s">
        <v>824</v>
      </c>
      <c r="J546" t="s">
        <v>66</v>
      </c>
      <c r="K546" t="s">
        <v>8</v>
      </c>
      <c r="L546" t="s">
        <v>8</v>
      </c>
      <c r="M546" t="s">
        <v>8</v>
      </c>
      <c r="N546" t="s">
        <v>637</v>
      </c>
      <c r="O546" t="s">
        <v>57</v>
      </c>
      <c r="P546" t="s">
        <v>849</v>
      </c>
    </row>
    <row r="547" spans="1:16" x14ac:dyDescent="0.25">
      <c r="A547" t="s">
        <v>0</v>
      </c>
      <c r="B547" s="2">
        <v>44679</v>
      </c>
      <c r="C547" s="5" t="s">
        <v>43</v>
      </c>
      <c r="D547" t="s">
        <v>514</v>
      </c>
      <c r="E547" t="s">
        <v>515</v>
      </c>
      <c r="F547" t="s">
        <v>4</v>
      </c>
      <c r="G547" t="s">
        <v>5</v>
      </c>
      <c r="H547" s="3">
        <v>2227.67</v>
      </c>
      <c r="I547" t="s">
        <v>889</v>
      </c>
      <c r="J547" t="s">
        <v>66</v>
      </c>
      <c r="K547" t="s">
        <v>8</v>
      </c>
      <c r="L547" t="s">
        <v>8</v>
      </c>
      <c r="M547" t="s">
        <v>8</v>
      </c>
      <c r="N547" t="s">
        <v>67</v>
      </c>
      <c r="O547" t="s">
        <v>57</v>
      </c>
      <c r="P547" t="s">
        <v>263</v>
      </c>
    </row>
    <row r="548" spans="1:16" x14ac:dyDescent="0.25">
      <c r="A548" t="s">
        <v>0</v>
      </c>
      <c r="B548" s="2">
        <v>44679</v>
      </c>
      <c r="C548" s="5" t="s">
        <v>43</v>
      </c>
      <c r="D548" t="s">
        <v>954</v>
      </c>
      <c r="E548" t="s">
        <v>955</v>
      </c>
      <c r="F548" t="s">
        <v>4</v>
      </c>
      <c r="G548" t="s">
        <v>5</v>
      </c>
      <c r="H548" s="3">
        <v>2000</v>
      </c>
      <c r="I548" t="s">
        <v>956</v>
      </c>
      <c r="J548" t="s">
        <v>66</v>
      </c>
      <c r="K548" t="s">
        <v>8</v>
      </c>
      <c r="L548" t="s">
        <v>8</v>
      </c>
      <c r="M548" t="s">
        <v>8</v>
      </c>
      <c r="N548" t="s">
        <v>637</v>
      </c>
      <c r="O548" t="s">
        <v>57</v>
      </c>
      <c r="P548" t="s">
        <v>958</v>
      </c>
    </row>
    <row r="549" spans="1:16" x14ac:dyDescent="0.25">
      <c r="A549" t="s">
        <v>0</v>
      </c>
      <c r="B549" s="2">
        <v>44679</v>
      </c>
      <c r="C549" s="5" t="s">
        <v>43</v>
      </c>
      <c r="D549" t="s">
        <v>1003</v>
      </c>
      <c r="E549" t="s">
        <v>1004</v>
      </c>
      <c r="F549" t="s">
        <v>4</v>
      </c>
      <c r="G549" t="s">
        <v>5</v>
      </c>
      <c r="H549" s="3">
        <v>1793.55</v>
      </c>
      <c r="I549" t="s">
        <v>98</v>
      </c>
      <c r="J549" t="s">
        <v>93</v>
      </c>
      <c r="K549" t="s">
        <v>8</v>
      </c>
      <c r="L549" t="s">
        <v>8</v>
      </c>
      <c r="M549" t="s">
        <v>8</v>
      </c>
      <c r="N549" t="s">
        <v>99</v>
      </c>
      <c r="O549" t="s">
        <v>95</v>
      </c>
      <c r="P549" t="s">
        <v>257</v>
      </c>
    </row>
    <row r="550" spans="1:16" x14ac:dyDescent="0.25">
      <c r="A550" t="s">
        <v>0</v>
      </c>
      <c r="B550" s="2">
        <v>44679</v>
      </c>
      <c r="C550" s="5" t="s">
        <v>43</v>
      </c>
      <c r="D550" t="s">
        <v>881</v>
      </c>
      <c r="E550" t="s">
        <v>882</v>
      </c>
      <c r="F550" t="s">
        <v>4</v>
      </c>
      <c r="G550" t="s">
        <v>5</v>
      </c>
      <c r="H550" s="3">
        <v>1210.8699999999999</v>
      </c>
      <c r="I550" t="s">
        <v>1065</v>
      </c>
      <c r="J550" t="s">
        <v>66</v>
      </c>
      <c r="K550" t="s">
        <v>8</v>
      </c>
      <c r="L550" t="s">
        <v>8</v>
      </c>
      <c r="M550" t="s">
        <v>8</v>
      </c>
      <c r="N550" t="s">
        <v>67</v>
      </c>
      <c r="O550" t="s">
        <v>57</v>
      </c>
      <c r="P550" t="s">
        <v>71</v>
      </c>
    </row>
    <row r="551" spans="1:16" x14ac:dyDescent="0.25">
      <c r="A551" t="s">
        <v>0</v>
      </c>
      <c r="B551" s="2">
        <v>44679</v>
      </c>
      <c r="C551" s="5" t="s">
        <v>43</v>
      </c>
      <c r="D551" t="s">
        <v>266</v>
      </c>
      <c r="E551" t="s">
        <v>267</v>
      </c>
      <c r="F551" t="s">
        <v>4</v>
      </c>
      <c r="G551" t="s">
        <v>5</v>
      </c>
      <c r="H551" s="3">
        <v>1136.58</v>
      </c>
      <c r="I551" t="s">
        <v>268</v>
      </c>
      <c r="J551" t="s">
        <v>8</v>
      </c>
      <c r="K551" t="s">
        <v>1167</v>
      </c>
      <c r="L551" t="s">
        <v>8</v>
      </c>
      <c r="M551" t="s">
        <v>270</v>
      </c>
      <c r="N551" t="s">
        <v>1169</v>
      </c>
      <c r="O551" t="s">
        <v>272</v>
      </c>
      <c r="P551" t="s">
        <v>43</v>
      </c>
    </row>
    <row r="552" spans="1:16" x14ac:dyDescent="0.25">
      <c r="A552" t="s">
        <v>0</v>
      </c>
      <c r="B552" s="2">
        <v>44679</v>
      </c>
      <c r="C552" s="5" t="s">
        <v>43</v>
      </c>
      <c r="D552" t="s">
        <v>951</v>
      </c>
      <c r="E552" t="s">
        <v>952</v>
      </c>
      <c r="F552" t="s">
        <v>4</v>
      </c>
      <c r="G552" t="s">
        <v>5</v>
      </c>
      <c r="H552" s="3">
        <v>1119.6600000000001</v>
      </c>
      <c r="I552" t="s">
        <v>953</v>
      </c>
      <c r="J552" t="s">
        <v>66</v>
      </c>
      <c r="K552" t="s">
        <v>8</v>
      </c>
      <c r="L552" t="s">
        <v>8</v>
      </c>
      <c r="M552" t="s">
        <v>8</v>
      </c>
      <c r="N552" t="s">
        <v>637</v>
      </c>
      <c r="O552" t="s">
        <v>57</v>
      </c>
      <c r="P552" t="s">
        <v>1179</v>
      </c>
    </row>
    <row r="553" spans="1:16" x14ac:dyDescent="0.25">
      <c r="A553" t="s">
        <v>0</v>
      </c>
      <c r="B553" s="2">
        <v>44679</v>
      </c>
      <c r="C553" s="5" t="s">
        <v>43</v>
      </c>
      <c r="D553" t="s">
        <v>951</v>
      </c>
      <c r="E553" t="s">
        <v>952</v>
      </c>
      <c r="F553" t="s">
        <v>4</v>
      </c>
      <c r="G553" t="s">
        <v>5</v>
      </c>
      <c r="H553" s="3">
        <v>1000.57</v>
      </c>
      <c r="I553" t="s">
        <v>1178</v>
      </c>
      <c r="J553" t="s">
        <v>66</v>
      </c>
      <c r="K553" t="s">
        <v>8</v>
      </c>
      <c r="L553" t="s">
        <v>8</v>
      </c>
      <c r="M553" t="s">
        <v>8</v>
      </c>
      <c r="N553" t="s">
        <v>637</v>
      </c>
      <c r="O553" t="s">
        <v>57</v>
      </c>
      <c r="P553" t="s">
        <v>1214</v>
      </c>
    </row>
    <row r="554" spans="1:16" x14ac:dyDescent="0.25">
      <c r="A554" t="s">
        <v>0</v>
      </c>
      <c r="B554" s="2">
        <v>44679</v>
      </c>
      <c r="C554" s="5" t="s">
        <v>43</v>
      </c>
      <c r="D554" t="s">
        <v>514</v>
      </c>
      <c r="E554" t="s">
        <v>515</v>
      </c>
      <c r="F554" t="s">
        <v>4</v>
      </c>
      <c r="G554" t="s">
        <v>5</v>
      </c>
      <c r="H554" s="3">
        <v>994.82</v>
      </c>
      <c r="I554" t="s">
        <v>1220</v>
      </c>
      <c r="J554" t="s">
        <v>66</v>
      </c>
      <c r="K554" t="s">
        <v>8</v>
      </c>
      <c r="L554" t="s">
        <v>8</v>
      </c>
      <c r="M554" t="s">
        <v>8</v>
      </c>
      <c r="N554" t="s">
        <v>67</v>
      </c>
      <c r="O554" t="s">
        <v>57</v>
      </c>
      <c r="P554" t="s">
        <v>568</v>
      </c>
    </row>
    <row r="555" spans="1:16" x14ac:dyDescent="0.25">
      <c r="A555" t="s">
        <v>0</v>
      </c>
      <c r="B555" s="2">
        <v>44679</v>
      </c>
      <c r="C555" s="5" t="s">
        <v>43</v>
      </c>
      <c r="D555" t="s">
        <v>316</v>
      </c>
      <c r="E555" t="s">
        <v>317</v>
      </c>
      <c r="F555" t="s">
        <v>4</v>
      </c>
      <c r="G555" t="s">
        <v>5</v>
      </c>
      <c r="H555" s="3">
        <v>921</v>
      </c>
      <c r="I555" t="s">
        <v>318</v>
      </c>
      <c r="J555" t="s">
        <v>66</v>
      </c>
      <c r="K555" t="s">
        <v>8</v>
      </c>
      <c r="L555" t="s">
        <v>8</v>
      </c>
      <c r="M555" t="s">
        <v>8</v>
      </c>
      <c r="N555" t="s">
        <v>67</v>
      </c>
      <c r="O555" t="s">
        <v>57</v>
      </c>
      <c r="P555" t="s">
        <v>570</v>
      </c>
    </row>
    <row r="556" spans="1:16" x14ac:dyDescent="0.25">
      <c r="A556" t="s">
        <v>0</v>
      </c>
      <c r="B556" s="2">
        <v>44679</v>
      </c>
      <c r="C556" s="5" t="s">
        <v>43</v>
      </c>
      <c r="D556" t="s">
        <v>1184</v>
      </c>
      <c r="E556" t="s">
        <v>1185</v>
      </c>
      <c r="F556" t="s">
        <v>4</v>
      </c>
      <c r="G556" t="s">
        <v>5</v>
      </c>
      <c r="H556" s="3">
        <v>877.64</v>
      </c>
      <c r="I556" t="s">
        <v>1186</v>
      </c>
      <c r="J556" t="s">
        <v>66</v>
      </c>
      <c r="K556" t="s">
        <v>8</v>
      </c>
      <c r="L556" t="s">
        <v>8</v>
      </c>
      <c r="M556" t="s">
        <v>8</v>
      </c>
      <c r="N556" t="s">
        <v>637</v>
      </c>
      <c r="O556" t="s">
        <v>57</v>
      </c>
      <c r="P556" t="s">
        <v>1284</v>
      </c>
    </row>
    <row r="557" spans="1:16" x14ac:dyDescent="0.25">
      <c r="A557" t="s">
        <v>0</v>
      </c>
      <c r="B557" s="2">
        <v>44679</v>
      </c>
      <c r="C557" s="5" t="s">
        <v>43</v>
      </c>
      <c r="D557" t="s">
        <v>266</v>
      </c>
      <c r="E557" t="s">
        <v>267</v>
      </c>
      <c r="F557" t="s">
        <v>4</v>
      </c>
      <c r="G557" t="s">
        <v>5</v>
      </c>
      <c r="H557" s="3">
        <v>789.89</v>
      </c>
      <c r="I557" t="s">
        <v>268</v>
      </c>
      <c r="J557" t="s">
        <v>8</v>
      </c>
      <c r="K557" t="s">
        <v>1240</v>
      </c>
      <c r="L557" t="s">
        <v>8</v>
      </c>
      <c r="M557" t="s">
        <v>270</v>
      </c>
      <c r="N557" t="s">
        <v>1347</v>
      </c>
      <c r="O557" t="s">
        <v>272</v>
      </c>
      <c r="P557" t="s">
        <v>22</v>
      </c>
    </row>
    <row r="558" spans="1:16" x14ac:dyDescent="0.25">
      <c r="A558" t="s">
        <v>0</v>
      </c>
      <c r="B558" s="2">
        <v>44679</v>
      </c>
      <c r="C558" s="5" t="s">
        <v>43</v>
      </c>
      <c r="D558" t="s">
        <v>301</v>
      </c>
      <c r="E558" t="s">
        <v>302</v>
      </c>
      <c r="F558" t="s">
        <v>4</v>
      </c>
      <c r="G558" t="s">
        <v>5</v>
      </c>
      <c r="H558" s="3">
        <v>633.5</v>
      </c>
      <c r="I558" t="s">
        <v>268</v>
      </c>
      <c r="J558" t="s">
        <v>8</v>
      </c>
      <c r="K558" t="s">
        <v>378</v>
      </c>
      <c r="L558" t="s">
        <v>8</v>
      </c>
      <c r="M558" t="s">
        <v>270</v>
      </c>
      <c r="N558" t="s">
        <v>844</v>
      </c>
      <c r="O558" t="s">
        <v>272</v>
      </c>
      <c r="P558" t="s">
        <v>43</v>
      </c>
    </row>
    <row r="559" spans="1:16" x14ac:dyDescent="0.25">
      <c r="A559" t="s">
        <v>0</v>
      </c>
      <c r="B559" s="2">
        <v>44679</v>
      </c>
      <c r="C559" s="5" t="s">
        <v>43</v>
      </c>
      <c r="D559" t="s">
        <v>1477</v>
      </c>
      <c r="E559" t="s">
        <v>1478</v>
      </c>
      <c r="F559" t="s">
        <v>4</v>
      </c>
      <c r="G559" t="s">
        <v>5</v>
      </c>
      <c r="H559" s="3">
        <v>500</v>
      </c>
      <c r="I559" t="s">
        <v>1479</v>
      </c>
      <c r="J559" t="s">
        <v>66</v>
      </c>
      <c r="K559" t="s">
        <v>8</v>
      </c>
      <c r="L559" t="s">
        <v>8</v>
      </c>
      <c r="M559" t="s">
        <v>8</v>
      </c>
      <c r="N559" t="s">
        <v>637</v>
      </c>
      <c r="O559" t="s">
        <v>57</v>
      </c>
      <c r="P559" t="s">
        <v>1480</v>
      </c>
    </row>
    <row r="560" spans="1:16" x14ac:dyDescent="0.25">
      <c r="A560" t="s">
        <v>0</v>
      </c>
      <c r="B560" s="2">
        <v>44679</v>
      </c>
      <c r="C560" s="5" t="s">
        <v>43</v>
      </c>
      <c r="D560" t="s">
        <v>1506</v>
      </c>
      <c r="E560" t="s">
        <v>1507</v>
      </c>
      <c r="F560" t="s">
        <v>4</v>
      </c>
      <c r="G560" t="s">
        <v>5</v>
      </c>
      <c r="H560" s="3">
        <v>412.74</v>
      </c>
      <c r="I560" t="s">
        <v>1508</v>
      </c>
      <c r="J560" t="s">
        <v>66</v>
      </c>
      <c r="K560" t="s">
        <v>8</v>
      </c>
      <c r="L560" t="s">
        <v>8</v>
      </c>
      <c r="M560" t="s">
        <v>8</v>
      </c>
      <c r="N560" t="s">
        <v>637</v>
      </c>
      <c r="O560" t="s">
        <v>57</v>
      </c>
      <c r="P560" t="s">
        <v>1596</v>
      </c>
    </row>
    <row r="561" spans="1:16" x14ac:dyDescent="0.25">
      <c r="A561" t="s">
        <v>0</v>
      </c>
      <c r="B561" s="2">
        <v>44679</v>
      </c>
      <c r="C561" s="5" t="s">
        <v>43</v>
      </c>
      <c r="D561" t="s">
        <v>380</v>
      </c>
      <c r="E561" t="s">
        <v>381</v>
      </c>
      <c r="F561" t="s">
        <v>4</v>
      </c>
      <c r="G561" t="s">
        <v>5</v>
      </c>
      <c r="H561" s="3">
        <v>392.58</v>
      </c>
      <c r="I561" t="s">
        <v>1587</v>
      </c>
      <c r="J561" t="s">
        <v>66</v>
      </c>
      <c r="K561" t="s">
        <v>8</v>
      </c>
      <c r="L561" t="s">
        <v>8</v>
      </c>
      <c r="M561" t="s">
        <v>8</v>
      </c>
      <c r="N561" t="s">
        <v>637</v>
      </c>
      <c r="O561" t="s">
        <v>57</v>
      </c>
      <c r="P561" t="s">
        <v>1611</v>
      </c>
    </row>
    <row r="562" spans="1:16" x14ac:dyDescent="0.25">
      <c r="A562" t="s">
        <v>0</v>
      </c>
      <c r="B562" s="2">
        <v>44679</v>
      </c>
      <c r="C562" s="5" t="s">
        <v>43</v>
      </c>
      <c r="D562" t="s">
        <v>2</v>
      </c>
      <c r="E562" t="s">
        <v>3</v>
      </c>
      <c r="F562" t="s">
        <v>4</v>
      </c>
      <c r="G562" t="s">
        <v>5</v>
      </c>
      <c r="H562" s="3">
        <v>320</v>
      </c>
      <c r="I562" t="s">
        <v>1675</v>
      </c>
      <c r="J562" t="s">
        <v>1605</v>
      </c>
      <c r="K562" t="s">
        <v>8</v>
      </c>
      <c r="L562" t="s">
        <v>1676</v>
      </c>
      <c r="M562" t="s">
        <v>8</v>
      </c>
      <c r="N562" t="s">
        <v>1677</v>
      </c>
      <c r="O562" t="s">
        <v>16</v>
      </c>
      <c r="P562" t="s">
        <v>1</v>
      </c>
    </row>
    <row r="563" spans="1:16" x14ac:dyDescent="0.25">
      <c r="A563" t="s">
        <v>0</v>
      </c>
      <c r="B563" s="2">
        <v>44679</v>
      </c>
      <c r="C563" s="5" t="s">
        <v>43</v>
      </c>
      <c r="D563" t="s">
        <v>1506</v>
      </c>
      <c r="E563" t="s">
        <v>1507</v>
      </c>
      <c r="F563" t="s">
        <v>4</v>
      </c>
      <c r="G563" t="s">
        <v>5</v>
      </c>
      <c r="H563" s="3">
        <v>302.08</v>
      </c>
      <c r="I563" t="s">
        <v>1601</v>
      </c>
      <c r="J563" t="s">
        <v>66</v>
      </c>
      <c r="K563" t="s">
        <v>8</v>
      </c>
      <c r="L563" t="s">
        <v>8</v>
      </c>
      <c r="M563" t="s">
        <v>8</v>
      </c>
      <c r="N563" t="s">
        <v>637</v>
      </c>
      <c r="O563" t="s">
        <v>57</v>
      </c>
      <c r="P563" t="s">
        <v>1693</v>
      </c>
    </row>
    <row r="564" spans="1:16" x14ac:dyDescent="0.25">
      <c r="A564" t="s">
        <v>0</v>
      </c>
      <c r="B564" s="2">
        <v>44679</v>
      </c>
      <c r="C564" s="5" t="s">
        <v>43</v>
      </c>
      <c r="D564" t="s">
        <v>1839</v>
      </c>
      <c r="E564" t="s">
        <v>1840</v>
      </c>
      <c r="F564" t="s">
        <v>4</v>
      </c>
      <c r="G564" t="s">
        <v>5</v>
      </c>
      <c r="H564" s="3">
        <v>152.9</v>
      </c>
      <c r="I564" t="s">
        <v>338</v>
      </c>
      <c r="J564" t="s">
        <v>248</v>
      </c>
      <c r="K564" t="s">
        <v>8</v>
      </c>
      <c r="L564" t="s">
        <v>8</v>
      </c>
      <c r="M564" t="s">
        <v>8</v>
      </c>
      <c r="N564" t="s">
        <v>339</v>
      </c>
      <c r="O564" t="s">
        <v>95</v>
      </c>
      <c r="P564" t="s">
        <v>1304</v>
      </c>
    </row>
    <row r="565" spans="1:16" x14ac:dyDescent="0.25">
      <c r="A565" t="s">
        <v>0</v>
      </c>
      <c r="B565" s="2">
        <v>44679</v>
      </c>
      <c r="C565" s="5" t="s">
        <v>43</v>
      </c>
      <c r="D565" t="s">
        <v>624</v>
      </c>
      <c r="E565" t="s">
        <v>625</v>
      </c>
      <c r="F565" t="s">
        <v>4</v>
      </c>
      <c r="G565" t="s">
        <v>5</v>
      </c>
      <c r="H565" s="3">
        <v>74.099999999999994</v>
      </c>
      <c r="I565" t="s">
        <v>1841</v>
      </c>
      <c r="J565" t="s">
        <v>66</v>
      </c>
      <c r="K565" t="s">
        <v>8</v>
      </c>
      <c r="L565" t="s">
        <v>8</v>
      </c>
      <c r="M565" t="s">
        <v>8</v>
      </c>
      <c r="N565" t="s">
        <v>67</v>
      </c>
      <c r="O565" t="s">
        <v>57</v>
      </c>
      <c r="P565" t="s">
        <v>1976</v>
      </c>
    </row>
    <row r="566" spans="1:16" x14ac:dyDescent="0.25">
      <c r="A566" t="s">
        <v>0</v>
      </c>
      <c r="B566" s="2">
        <v>44679</v>
      </c>
      <c r="C566" s="5" t="s">
        <v>43</v>
      </c>
      <c r="D566" t="s">
        <v>1207</v>
      </c>
      <c r="E566" t="s">
        <v>1208</v>
      </c>
      <c r="F566" t="s">
        <v>4</v>
      </c>
      <c r="G566" t="s">
        <v>5</v>
      </c>
      <c r="H566" s="3">
        <v>-8.67</v>
      </c>
      <c r="I566" t="s">
        <v>2162</v>
      </c>
      <c r="J566" t="s">
        <v>2163</v>
      </c>
      <c r="K566" t="s">
        <v>8</v>
      </c>
      <c r="L566" t="s">
        <v>8</v>
      </c>
      <c r="M566" t="s">
        <v>8</v>
      </c>
      <c r="N566" t="s">
        <v>67</v>
      </c>
      <c r="O566" t="s">
        <v>57</v>
      </c>
      <c r="P566" t="s">
        <v>2164</v>
      </c>
    </row>
    <row r="567" spans="1:16" x14ac:dyDescent="0.25">
      <c r="A567" t="s">
        <v>0</v>
      </c>
      <c r="B567" s="2">
        <v>44679</v>
      </c>
      <c r="C567" s="5" t="s">
        <v>43</v>
      </c>
      <c r="D567" t="s">
        <v>644</v>
      </c>
      <c r="E567" t="s">
        <v>645</v>
      </c>
      <c r="F567" t="s">
        <v>4</v>
      </c>
      <c r="G567" t="s">
        <v>5</v>
      </c>
      <c r="H567" s="3">
        <v>-26.35</v>
      </c>
      <c r="I567" t="s">
        <v>2167</v>
      </c>
      <c r="J567" t="s">
        <v>2163</v>
      </c>
      <c r="K567" t="s">
        <v>8</v>
      </c>
      <c r="L567" t="s">
        <v>8</v>
      </c>
      <c r="M567" t="s">
        <v>8</v>
      </c>
      <c r="N567" t="s">
        <v>637</v>
      </c>
      <c r="O567" t="s">
        <v>57</v>
      </c>
      <c r="P567" t="s">
        <v>2178</v>
      </c>
    </row>
    <row r="568" spans="1:16" x14ac:dyDescent="0.25">
      <c r="A568" t="s">
        <v>0</v>
      </c>
      <c r="B568" s="2">
        <v>44679</v>
      </c>
      <c r="C568" s="5" t="s">
        <v>43</v>
      </c>
      <c r="D568" t="s">
        <v>108</v>
      </c>
      <c r="E568" t="s">
        <v>109</v>
      </c>
      <c r="F568" t="s">
        <v>4</v>
      </c>
      <c r="G568" t="s">
        <v>5</v>
      </c>
      <c r="H568" s="3">
        <v>-64.64</v>
      </c>
      <c r="I568" t="s">
        <v>2175</v>
      </c>
      <c r="J568" t="s">
        <v>2163</v>
      </c>
      <c r="K568" t="s">
        <v>8</v>
      </c>
      <c r="L568" t="s">
        <v>8</v>
      </c>
      <c r="M568" t="s">
        <v>8</v>
      </c>
      <c r="N568" t="s">
        <v>637</v>
      </c>
      <c r="O568" t="s">
        <v>57</v>
      </c>
      <c r="P568" t="s">
        <v>2189</v>
      </c>
    </row>
    <row r="569" spans="1:16" x14ac:dyDescent="0.25">
      <c r="A569" t="s">
        <v>0</v>
      </c>
      <c r="B569" s="2">
        <v>44679</v>
      </c>
      <c r="C569" s="5" t="s">
        <v>43</v>
      </c>
      <c r="D569" t="s">
        <v>2191</v>
      </c>
      <c r="E569" t="s">
        <v>2192</v>
      </c>
      <c r="F569" t="s">
        <v>4</v>
      </c>
      <c r="G569" t="s">
        <v>5</v>
      </c>
      <c r="H569" s="3">
        <v>-91.45</v>
      </c>
      <c r="I569" t="s">
        <v>2193</v>
      </c>
      <c r="J569" t="s">
        <v>2163</v>
      </c>
      <c r="K569" t="s">
        <v>8</v>
      </c>
      <c r="L569" t="s">
        <v>8</v>
      </c>
      <c r="M569" t="s">
        <v>8</v>
      </c>
      <c r="N569" t="s">
        <v>637</v>
      </c>
      <c r="O569" t="s">
        <v>57</v>
      </c>
      <c r="P569" t="s">
        <v>2196</v>
      </c>
    </row>
    <row r="570" spans="1:16" x14ac:dyDescent="0.25">
      <c r="A570" t="s">
        <v>0</v>
      </c>
      <c r="B570" s="2">
        <v>44679</v>
      </c>
      <c r="C570" s="5" t="s">
        <v>43</v>
      </c>
      <c r="D570" t="s">
        <v>108</v>
      </c>
      <c r="E570" t="s">
        <v>109</v>
      </c>
      <c r="F570" t="s">
        <v>4</v>
      </c>
      <c r="G570" t="s">
        <v>5</v>
      </c>
      <c r="H570" s="3">
        <v>-473.46</v>
      </c>
      <c r="I570" t="s">
        <v>2221</v>
      </c>
      <c r="J570" t="s">
        <v>2163</v>
      </c>
      <c r="K570" t="s">
        <v>8</v>
      </c>
      <c r="L570" t="s">
        <v>8</v>
      </c>
      <c r="M570" t="s">
        <v>8</v>
      </c>
      <c r="N570" t="s">
        <v>67</v>
      </c>
      <c r="O570" t="s">
        <v>57</v>
      </c>
      <c r="P570" t="s">
        <v>2225</v>
      </c>
    </row>
    <row r="571" spans="1:16" x14ac:dyDescent="0.25">
      <c r="A571" t="s">
        <v>0</v>
      </c>
      <c r="B571" s="2">
        <v>44679</v>
      </c>
      <c r="C571" s="5" t="s">
        <v>43</v>
      </c>
      <c r="D571" t="s">
        <v>316</v>
      </c>
      <c r="E571" t="s">
        <v>317</v>
      </c>
      <c r="F571" t="s">
        <v>4</v>
      </c>
      <c r="G571" t="s">
        <v>5</v>
      </c>
      <c r="H571" s="3">
        <v>-500</v>
      </c>
      <c r="I571" t="s">
        <v>2229</v>
      </c>
      <c r="J571" t="s">
        <v>2163</v>
      </c>
      <c r="K571" t="s">
        <v>8</v>
      </c>
      <c r="L571" t="s">
        <v>8</v>
      </c>
      <c r="M571" t="s">
        <v>8</v>
      </c>
      <c r="N571" t="s">
        <v>67</v>
      </c>
      <c r="O571" t="s">
        <v>57</v>
      </c>
      <c r="P571" t="s">
        <v>2230</v>
      </c>
    </row>
    <row r="572" spans="1:16" x14ac:dyDescent="0.25">
      <c r="A572" t="s">
        <v>0</v>
      </c>
      <c r="B572" s="2">
        <v>44679</v>
      </c>
      <c r="C572" s="5" t="s">
        <v>43</v>
      </c>
      <c r="D572" t="s">
        <v>644</v>
      </c>
      <c r="E572" t="s">
        <v>645</v>
      </c>
      <c r="F572" t="s">
        <v>4</v>
      </c>
      <c r="G572" t="s">
        <v>5</v>
      </c>
      <c r="H572" s="3">
        <v>-536.45000000000005</v>
      </c>
      <c r="I572" t="s">
        <v>2228</v>
      </c>
      <c r="J572" t="s">
        <v>2163</v>
      </c>
      <c r="K572" t="s">
        <v>8</v>
      </c>
      <c r="L572" t="s">
        <v>8</v>
      </c>
      <c r="M572" t="s">
        <v>8</v>
      </c>
      <c r="N572" t="s">
        <v>67</v>
      </c>
      <c r="O572" t="s">
        <v>57</v>
      </c>
      <c r="P572" t="s">
        <v>176</v>
      </c>
    </row>
    <row r="573" spans="1:16" x14ac:dyDescent="0.25">
      <c r="A573" t="s">
        <v>0</v>
      </c>
      <c r="B573" s="2">
        <v>44679</v>
      </c>
      <c r="C573" s="5" t="s">
        <v>43</v>
      </c>
      <c r="D573" t="s">
        <v>108</v>
      </c>
      <c r="E573" t="s">
        <v>109</v>
      </c>
      <c r="F573" t="s">
        <v>4</v>
      </c>
      <c r="G573" t="s">
        <v>5</v>
      </c>
      <c r="H573" s="3">
        <v>-759.22</v>
      </c>
      <c r="I573" t="s">
        <v>2233</v>
      </c>
      <c r="J573" t="s">
        <v>2163</v>
      </c>
      <c r="K573" t="s">
        <v>8</v>
      </c>
      <c r="L573" t="s">
        <v>8</v>
      </c>
      <c r="M573" t="s">
        <v>8</v>
      </c>
      <c r="N573" t="s">
        <v>67</v>
      </c>
      <c r="O573" t="s">
        <v>57</v>
      </c>
      <c r="P573" t="s">
        <v>2238</v>
      </c>
    </row>
    <row r="574" spans="1:16" x14ac:dyDescent="0.25">
      <c r="A574" t="s">
        <v>0</v>
      </c>
      <c r="B574" s="2">
        <v>44679</v>
      </c>
      <c r="C574" s="5" t="s">
        <v>43</v>
      </c>
      <c r="D574" t="s">
        <v>2191</v>
      </c>
      <c r="E574" t="s">
        <v>2192</v>
      </c>
      <c r="F574" t="s">
        <v>4</v>
      </c>
      <c r="G574" t="s">
        <v>5</v>
      </c>
      <c r="H574" s="3">
        <v>-853.18</v>
      </c>
      <c r="I574" t="s">
        <v>2217</v>
      </c>
      <c r="J574" t="s">
        <v>2163</v>
      </c>
      <c r="K574" t="s">
        <v>8</v>
      </c>
      <c r="L574" t="s">
        <v>8</v>
      </c>
      <c r="M574" t="s">
        <v>8</v>
      </c>
      <c r="N574" t="s">
        <v>67</v>
      </c>
      <c r="O574" t="s">
        <v>57</v>
      </c>
      <c r="P574" t="s">
        <v>148</v>
      </c>
    </row>
    <row r="575" spans="1:16" x14ac:dyDescent="0.25">
      <c r="A575" t="s">
        <v>0</v>
      </c>
      <c r="B575" s="2">
        <v>44679</v>
      </c>
      <c r="C575" s="5" t="s">
        <v>43</v>
      </c>
      <c r="D575" t="s">
        <v>108</v>
      </c>
      <c r="E575" t="s">
        <v>109</v>
      </c>
      <c r="F575" t="s">
        <v>4</v>
      </c>
      <c r="G575" t="s">
        <v>5</v>
      </c>
      <c r="H575" s="3">
        <v>-961.3</v>
      </c>
      <c r="I575" t="s">
        <v>2218</v>
      </c>
      <c r="J575" t="s">
        <v>2163</v>
      </c>
      <c r="K575" t="s">
        <v>8</v>
      </c>
      <c r="L575" t="s">
        <v>8</v>
      </c>
      <c r="M575" t="s">
        <v>8</v>
      </c>
      <c r="N575" t="s">
        <v>67</v>
      </c>
      <c r="O575" t="s">
        <v>57</v>
      </c>
      <c r="P575" t="s">
        <v>383</v>
      </c>
    </row>
    <row r="576" spans="1:16" x14ac:dyDescent="0.25">
      <c r="A576" t="s">
        <v>0</v>
      </c>
      <c r="B576" s="2">
        <v>44679</v>
      </c>
      <c r="C576" s="5" t="s">
        <v>43</v>
      </c>
      <c r="D576" t="s">
        <v>1207</v>
      </c>
      <c r="E576" t="s">
        <v>1208</v>
      </c>
      <c r="F576" t="s">
        <v>4</v>
      </c>
      <c r="G576" t="s">
        <v>5</v>
      </c>
      <c r="H576" s="3">
        <v>-1087.46</v>
      </c>
      <c r="I576" t="s">
        <v>2244</v>
      </c>
      <c r="J576" t="s">
        <v>2163</v>
      </c>
      <c r="K576" t="s">
        <v>8</v>
      </c>
      <c r="L576" t="s">
        <v>8</v>
      </c>
      <c r="M576" t="s">
        <v>8</v>
      </c>
      <c r="N576" t="s">
        <v>67</v>
      </c>
      <c r="O576" t="s">
        <v>57</v>
      </c>
      <c r="P576" t="s">
        <v>115</v>
      </c>
    </row>
    <row r="577" spans="1:16" x14ac:dyDescent="0.25">
      <c r="A577" t="s">
        <v>0</v>
      </c>
      <c r="B577" s="2">
        <v>44679</v>
      </c>
      <c r="C577" s="5" t="s">
        <v>43</v>
      </c>
      <c r="D577" t="s">
        <v>951</v>
      </c>
      <c r="E577" t="s">
        <v>952</v>
      </c>
      <c r="F577" t="s">
        <v>4</v>
      </c>
      <c r="G577" t="s">
        <v>5</v>
      </c>
      <c r="H577" s="3">
        <v>-1338.25</v>
      </c>
      <c r="I577" t="s">
        <v>1359</v>
      </c>
      <c r="J577" t="s">
        <v>2163</v>
      </c>
      <c r="K577" t="s">
        <v>8</v>
      </c>
      <c r="L577" t="s">
        <v>8</v>
      </c>
      <c r="M577" t="s">
        <v>8</v>
      </c>
      <c r="N577" t="s">
        <v>637</v>
      </c>
      <c r="O577" t="s">
        <v>57</v>
      </c>
      <c r="P577" t="s">
        <v>2248</v>
      </c>
    </row>
    <row r="578" spans="1:16" x14ac:dyDescent="0.25">
      <c r="A578" t="s">
        <v>0</v>
      </c>
      <c r="B578" s="2">
        <v>44680</v>
      </c>
      <c r="C578" t="s">
        <v>43</v>
      </c>
      <c r="D578" t="s">
        <v>108</v>
      </c>
      <c r="E578" t="s">
        <v>109</v>
      </c>
      <c r="F578" t="s">
        <v>4</v>
      </c>
      <c r="G578" t="s">
        <v>5</v>
      </c>
      <c r="H578" s="3">
        <v>61158.23</v>
      </c>
      <c r="I578" t="s">
        <v>143</v>
      </c>
      <c r="J578" t="s">
        <v>109</v>
      </c>
      <c r="K578" t="s">
        <v>8</v>
      </c>
      <c r="L578" t="s">
        <v>8</v>
      </c>
      <c r="M578" t="s">
        <v>8</v>
      </c>
      <c r="N578" t="s">
        <v>144</v>
      </c>
      <c r="O578" t="s">
        <v>112</v>
      </c>
      <c r="P578" t="s">
        <v>118</v>
      </c>
    </row>
    <row r="579" spans="1:16" x14ac:dyDescent="0.25">
      <c r="A579" t="s">
        <v>0</v>
      </c>
      <c r="B579" s="2">
        <v>44680</v>
      </c>
      <c r="C579" t="s">
        <v>43</v>
      </c>
      <c r="D579" t="s">
        <v>152</v>
      </c>
      <c r="E579" t="s">
        <v>153</v>
      </c>
      <c r="F579" t="s">
        <v>4</v>
      </c>
      <c r="G579" t="s">
        <v>5</v>
      </c>
      <c r="H579" s="3">
        <v>24163.21</v>
      </c>
      <c r="I579" t="s">
        <v>236</v>
      </c>
      <c r="J579" t="s">
        <v>109</v>
      </c>
      <c r="K579" t="s">
        <v>8</v>
      </c>
      <c r="L579" t="s">
        <v>8</v>
      </c>
      <c r="M579" t="s">
        <v>8</v>
      </c>
      <c r="N579" t="s">
        <v>144</v>
      </c>
      <c r="O579" t="s">
        <v>112</v>
      </c>
      <c r="P579" t="s">
        <v>155</v>
      </c>
    </row>
    <row r="580" spans="1:16" x14ac:dyDescent="0.25">
      <c r="A580" t="s">
        <v>0</v>
      </c>
      <c r="B580" s="2">
        <v>44680</v>
      </c>
      <c r="C580" s="5" t="s">
        <v>43</v>
      </c>
      <c r="D580" t="s">
        <v>644</v>
      </c>
      <c r="E580" t="s">
        <v>645</v>
      </c>
      <c r="F580" t="s">
        <v>4</v>
      </c>
      <c r="G580" t="s">
        <v>5</v>
      </c>
      <c r="H580" s="3">
        <v>4568.8900000000003</v>
      </c>
      <c r="I580" t="s">
        <v>730</v>
      </c>
      <c r="J580" t="s">
        <v>109</v>
      </c>
      <c r="K580" t="s">
        <v>8</v>
      </c>
      <c r="L580" t="s">
        <v>8</v>
      </c>
      <c r="M580" t="s">
        <v>8</v>
      </c>
      <c r="N580" t="s">
        <v>144</v>
      </c>
      <c r="O580" t="s">
        <v>112</v>
      </c>
      <c r="P580" t="s">
        <v>215</v>
      </c>
    </row>
    <row r="581" spans="1:16" x14ac:dyDescent="0.25">
      <c r="A581" t="s">
        <v>0</v>
      </c>
      <c r="B581" s="2">
        <v>44680</v>
      </c>
      <c r="C581" s="5" t="s">
        <v>43</v>
      </c>
      <c r="D581" t="s">
        <v>881</v>
      </c>
      <c r="E581" t="s">
        <v>882</v>
      </c>
      <c r="F581" t="s">
        <v>4</v>
      </c>
      <c r="G581" t="s">
        <v>5</v>
      </c>
      <c r="H581" s="3">
        <v>2352.63</v>
      </c>
      <c r="I581" t="s">
        <v>910</v>
      </c>
      <c r="J581" t="s">
        <v>109</v>
      </c>
      <c r="K581" t="s">
        <v>8</v>
      </c>
      <c r="L581" t="s">
        <v>8</v>
      </c>
      <c r="M581" t="s">
        <v>8</v>
      </c>
      <c r="N581" t="s">
        <v>144</v>
      </c>
      <c r="O581" t="s">
        <v>112</v>
      </c>
      <c r="P581" t="s">
        <v>911</v>
      </c>
    </row>
    <row r="582" spans="1:16" x14ac:dyDescent="0.25">
      <c r="A582" t="s">
        <v>0</v>
      </c>
      <c r="B582" s="2">
        <v>44680</v>
      </c>
      <c r="C582" s="5" t="s">
        <v>43</v>
      </c>
      <c r="D582" t="s">
        <v>969</v>
      </c>
      <c r="E582" t="s">
        <v>970</v>
      </c>
      <c r="F582" t="s">
        <v>4</v>
      </c>
      <c r="G582" t="s">
        <v>5</v>
      </c>
      <c r="H582" s="3">
        <v>1882.92</v>
      </c>
      <c r="I582" t="s">
        <v>984</v>
      </c>
      <c r="J582" t="s">
        <v>972</v>
      </c>
      <c r="K582" t="s">
        <v>8</v>
      </c>
      <c r="L582" t="s">
        <v>8</v>
      </c>
      <c r="M582" t="s">
        <v>8</v>
      </c>
      <c r="N582" t="s">
        <v>985</v>
      </c>
      <c r="O582" t="s">
        <v>974</v>
      </c>
      <c r="P582" t="s">
        <v>342</v>
      </c>
    </row>
    <row r="583" spans="1:16" x14ac:dyDescent="0.25">
      <c r="A583" t="s">
        <v>0</v>
      </c>
      <c r="B583" s="2">
        <v>44680</v>
      </c>
      <c r="C583" s="5" t="s">
        <v>43</v>
      </c>
      <c r="D583" t="s">
        <v>1050</v>
      </c>
      <c r="E583" t="s">
        <v>1051</v>
      </c>
      <c r="F583" t="s">
        <v>4</v>
      </c>
      <c r="G583" t="s">
        <v>5</v>
      </c>
      <c r="H583" s="3">
        <v>1665.46</v>
      </c>
      <c r="I583" t="s">
        <v>1052</v>
      </c>
      <c r="J583" t="s">
        <v>1051</v>
      </c>
      <c r="K583" t="s">
        <v>8</v>
      </c>
      <c r="L583" t="s">
        <v>8</v>
      </c>
      <c r="M583" t="s">
        <v>8</v>
      </c>
      <c r="N583" t="s">
        <v>1053</v>
      </c>
      <c r="O583" t="s">
        <v>1054</v>
      </c>
      <c r="P583" t="s">
        <v>367</v>
      </c>
    </row>
    <row r="584" spans="1:16" x14ac:dyDescent="0.25">
      <c r="A584" t="s">
        <v>0</v>
      </c>
      <c r="B584" s="2">
        <v>44680</v>
      </c>
      <c r="C584" s="5" t="s">
        <v>43</v>
      </c>
      <c r="D584" t="s">
        <v>108</v>
      </c>
      <c r="E584" t="s">
        <v>109</v>
      </c>
      <c r="F584" t="s">
        <v>4</v>
      </c>
      <c r="G584" t="s">
        <v>5</v>
      </c>
      <c r="H584" s="3">
        <v>1297.1099999999999</v>
      </c>
      <c r="I584" t="s">
        <v>1129</v>
      </c>
      <c r="J584" t="s">
        <v>109</v>
      </c>
      <c r="K584" t="s">
        <v>8</v>
      </c>
      <c r="L584" t="s">
        <v>8</v>
      </c>
      <c r="M584" t="s">
        <v>8</v>
      </c>
      <c r="N584" t="s">
        <v>144</v>
      </c>
      <c r="O584" t="s">
        <v>112</v>
      </c>
      <c r="P584" t="s">
        <v>1122</v>
      </c>
    </row>
    <row r="585" spans="1:16" x14ac:dyDescent="0.25">
      <c r="A585" t="s">
        <v>0</v>
      </c>
      <c r="B585" s="2">
        <v>44680</v>
      </c>
      <c r="C585" s="5" t="s">
        <v>43</v>
      </c>
      <c r="D585" t="s">
        <v>152</v>
      </c>
      <c r="E585" t="s">
        <v>153</v>
      </c>
      <c r="F585" t="s">
        <v>4</v>
      </c>
      <c r="G585" t="s">
        <v>5</v>
      </c>
      <c r="H585" s="3">
        <v>678.64</v>
      </c>
      <c r="I585" t="s">
        <v>1387</v>
      </c>
      <c r="J585" t="s">
        <v>153</v>
      </c>
      <c r="K585" t="s">
        <v>8</v>
      </c>
      <c r="L585" t="s">
        <v>8</v>
      </c>
      <c r="M585" t="s">
        <v>8</v>
      </c>
      <c r="N585" t="s">
        <v>1388</v>
      </c>
      <c r="O585" t="s">
        <v>1054</v>
      </c>
      <c r="P585" t="s">
        <v>361</v>
      </c>
    </row>
    <row r="586" spans="1:16" x14ac:dyDescent="0.25">
      <c r="A586" t="s">
        <v>0</v>
      </c>
      <c r="B586" s="2">
        <v>44680</v>
      </c>
      <c r="C586" s="5" t="s">
        <v>43</v>
      </c>
      <c r="D586" t="s">
        <v>1050</v>
      </c>
      <c r="E586" t="s">
        <v>1051</v>
      </c>
      <c r="F586" t="s">
        <v>4</v>
      </c>
      <c r="G586" t="s">
        <v>5</v>
      </c>
      <c r="H586" s="3">
        <v>460.13</v>
      </c>
      <c r="I586" t="s">
        <v>1509</v>
      </c>
      <c r="J586" t="s">
        <v>1051</v>
      </c>
      <c r="K586" t="s">
        <v>8</v>
      </c>
      <c r="L586" t="s">
        <v>8</v>
      </c>
      <c r="M586" t="s">
        <v>8</v>
      </c>
      <c r="N586" t="s">
        <v>1510</v>
      </c>
      <c r="O586" t="s">
        <v>1054</v>
      </c>
      <c r="P586" t="s">
        <v>367</v>
      </c>
    </row>
    <row r="587" spans="1:16" x14ac:dyDescent="0.25">
      <c r="A587" t="s">
        <v>0</v>
      </c>
      <c r="B587" s="2">
        <v>44680</v>
      </c>
      <c r="C587" s="5" t="s">
        <v>43</v>
      </c>
      <c r="D587" t="s">
        <v>969</v>
      </c>
      <c r="E587" t="s">
        <v>970</v>
      </c>
      <c r="F587" t="s">
        <v>4</v>
      </c>
      <c r="G587" t="s">
        <v>5</v>
      </c>
      <c r="H587" s="3">
        <v>420.36</v>
      </c>
      <c r="I587" t="s">
        <v>1577</v>
      </c>
      <c r="J587" t="s">
        <v>1483</v>
      </c>
      <c r="K587" t="s">
        <v>8</v>
      </c>
      <c r="L587" t="s">
        <v>8</v>
      </c>
      <c r="M587" t="s">
        <v>8</v>
      </c>
      <c r="N587" t="s">
        <v>1578</v>
      </c>
      <c r="O587" t="s">
        <v>974</v>
      </c>
      <c r="P587" t="s">
        <v>1</v>
      </c>
    </row>
    <row r="588" spans="1:16" x14ac:dyDescent="0.25">
      <c r="A588" t="s">
        <v>0</v>
      </c>
      <c r="B588" s="2">
        <v>44680</v>
      </c>
      <c r="C588" s="5" t="s">
        <v>43</v>
      </c>
      <c r="D588" t="s">
        <v>1050</v>
      </c>
      <c r="E588" t="s">
        <v>1051</v>
      </c>
      <c r="F588" t="s">
        <v>4</v>
      </c>
      <c r="G588" t="s">
        <v>5</v>
      </c>
      <c r="H588" s="3">
        <v>414</v>
      </c>
      <c r="I588" t="s">
        <v>1592</v>
      </c>
      <c r="J588" t="s">
        <v>1051</v>
      </c>
      <c r="K588" t="s">
        <v>8</v>
      </c>
      <c r="L588" t="s">
        <v>8</v>
      </c>
      <c r="M588" t="s">
        <v>8</v>
      </c>
      <c r="N588" t="s">
        <v>1593</v>
      </c>
      <c r="O588" t="s">
        <v>1054</v>
      </c>
      <c r="P588" t="s">
        <v>1594</v>
      </c>
    </row>
    <row r="589" spans="1:16" x14ac:dyDescent="0.25">
      <c r="A589" t="s">
        <v>0</v>
      </c>
      <c r="B589" s="2">
        <v>44680</v>
      </c>
      <c r="C589" s="5" t="s">
        <v>43</v>
      </c>
      <c r="D589" t="s">
        <v>152</v>
      </c>
      <c r="E589" t="s">
        <v>153</v>
      </c>
      <c r="F589" t="s">
        <v>4</v>
      </c>
      <c r="G589" t="s">
        <v>5</v>
      </c>
      <c r="H589" s="3">
        <v>272.16000000000003</v>
      </c>
      <c r="I589" t="s">
        <v>1724</v>
      </c>
      <c r="J589" t="s">
        <v>153</v>
      </c>
      <c r="K589" t="s">
        <v>8</v>
      </c>
      <c r="L589" t="s">
        <v>8</v>
      </c>
      <c r="M589" t="s">
        <v>8</v>
      </c>
      <c r="N589" t="s">
        <v>1388</v>
      </c>
      <c r="O589" t="s">
        <v>1054</v>
      </c>
      <c r="P589" t="s">
        <v>190</v>
      </c>
    </row>
    <row r="590" spans="1:16" x14ac:dyDescent="0.25">
      <c r="A590" t="s">
        <v>0</v>
      </c>
      <c r="B590" s="2">
        <v>44680</v>
      </c>
      <c r="C590" s="5" t="s">
        <v>43</v>
      </c>
      <c r="D590" t="s">
        <v>403</v>
      </c>
      <c r="E590" t="s">
        <v>404</v>
      </c>
      <c r="F590" t="s">
        <v>4</v>
      </c>
      <c r="G590" t="s">
        <v>5</v>
      </c>
      <c r="H590" s="3">
        <v>-10242.74</v>
      </c>
      <c r="I590" t="s">
        <v>2278</v>
      </c>
      <c r="J590" t="s">
        <v>406</v>
      </c>
      <c r="K590" t="s">
        <v>8</v>
      </c>
      <c r="L590" t="s">
        <v>8</v>
      </c>
      <c r="M590" t="s">
        <v>8</v>
      </c>
      <c r="N590" t="s">
        <v>2279</v>
      </c>
      <c r="O590" t="s">
        <v>2257</v>
      </c>
      <c r="P590" t="s">
        <v>409</v>
      </c>
    </row>
    <row r="591" spans="1:16" x14ac:dyDescent="0.25">
      <c r="A591" t="s">
        <v>0</v>
      </c>
      <c r="B591" s="2">
        <v>44683</v>
      </c>
      <c r="C591" t="s">
        <v>43</v>
      </c>
      <c r="D591" t="s">
        <v>216</v>
      </c>
      <c r="E591" t="s">
        <v>217</v>
      </c>
      <c r="F591" t="s">
        <v>4</v>
      </c>
      <c r="G591" t="s">
        <v>5</v>
      </c>
      <c r="H591" s="3">
        <v>26211.599999999999</v>
      </c>
      <c r="I591" t="s">
        <v>218</v>
      </c>
      <c r="J591" t="s">
        <v>8</v>
      </c>
      <c r="K591" t="s">
        <v>219</v>
      </c>
      <c r="L591" t="s">
        <v>8</v>
      </c>
      <c r="M591" t="s">
        <v>220</v>
      </c>
      <c r="N591" t="s">
        <v>224</v>
      </c>
      <c r="O591" t="s">
        <v>95</v>
      </c>
      <c r="P591" t="s">
        <v>225</v>
      </c>
    </row>
    <row r="592" spans="1:16" x14ac:dyDescent="0.25">
      <c r="A592" t="s">
        <v>0</v>
      </c>
      <c r="B592" s="2">
        <v>44683</v>
      </c>
      <c r="C592" s="5" t="s">
        <v>43</v>
      </c>
      <c r="D592" t="s">
        <v>398</v>
      </c>
      <c r="E592" t="s">
        <v>399</v>
      </c>
      <c r="F592" t="s">
        <v>4</v>
      </c>
      <c r="G592" t="s">
        <v>5</v>
      </c>
      <c r="H592" s="3">
        <v>4568.99</v>
      </c>
      <c r="I592" t="s">
        <v>400</v>
      </c>
      <c r="J592" t="s">
        <v>8</v>
      </c>
      <c r="K592" t="s">
        <v>219</v>
      </c>
      <c r="L592" t="s">
        <v>8</v>
      </c>
      <c r="M592" t="s">
        <v>220</v>
      </c>
      <c r="N592" t="s">
        <v>224</v>
      </c>
      <c r="O592" t="s">
        <v>95</v>
      </c>
      <c r="P592" t="s">
        <v>599</v>
      </c>
    </row>
    <row r="593" spans="1:16" x14ac:dyDescent="0.25">
      <c r="A593" t="s">
        <v>0</v>
      </c>
      <c r="B593" s="2">
        <v>44683</v>
      </c>
      <c r="C593" s="5" t="s">
        <v>43</v>
      </c>
      <c r="D593" t="s">
        <v>651</v>
      </c>
      <c r="E593" t="s">
        <v>652</v>
      </c>
      <c r="F593" t="s">
        <v>4</v>
      </c>
      <c r="G593" t="s">
        <v>5</v>
      </c>
      <c r="H593" s="3">
        <v>3997.66</v>
      </c>
      <c r="I593" t="s">
        <v>653</v>
      </c>
      <c r="J593" t="s">
        <v>8</v>
      </c>
      <c r="K593" t="s">
        <v>219</v>
      </c>
      <c r="L593" t="s">
        <v>8</v>
      </c>
      <c r="M593" t="s">
        <v>220</v>
      </c>
      <c r="N593" t="s">
        <v>224</v>
      </c>
      <c r="O593" t="s">
        <v>95</v>
      </c>
      <c r="P593" t="s">
        <v>747</v>
      </c>
    </row>
    <row r="594" spans="1:16" x14ac:dyDescent="0.25">
      <c r="A594" t="s">
        <v>0</v>
      </c>
      <c r="B594" s="2">
        <v>44683</v>
      </c>
      <c r="C594" s="5" t="s">
        <v>43</v>
      </c>
      <c r="D594" t="s">
        <v>885</v>
      </c>
      <c r="E594" t="s">
        <v>886</v>
      </c>
      <c r="F594" t="s">
        <v>4</v>
      </c>
      <c r="G594" t="s">
        <v>5</v>
      </c>
      <c r="H594" s="3">
        <v>1513.12</v>
      </c>
      <c r="I594" t="s">
        <v>887</v>
      </c>
      <c r="J594" t="s">
        <v>8</v>
      </c>
      <c r="K594" t="s">
        <v>219</v>
      </c>
      <c r="L594" t="s">
        <v>8</v>
      </c>
      <c r="M594" t="s">
        <v>220</v>
      </c>
      <c r="N594" t="s">
        <v>224</v>
      </c>
      <c r="O594" t="s">
        <v>95</v>
      </c>
      <c r="P594" t="s">
        <v>1091</v>
      </c>
    </row>
    <row r="595" spans="1:16" x14ac:dyDescent="0.25">
      <c r="A595" t="s">
        <v>0</v>
      </c>
      <c r="B595" s="2">
        <v>44683</v>
      </c>
      <c r="C595" s="5" t="s">
        <v>43</v>
      </c>
      <c r="D595" t="s">
        <v>753</v>
      </c>
      <c r="E595" t="s">
        <v>754</v>
      </c>
      <c r="F595" t="s">
        <v>4</v>
      </c>
      <c r="G595" t="s">
        <v>5</v>
      </c>
      <c r="H595" s="3">
        <v>-1593.46</v>
      </c>
      <c r="I595" t="s">
        <v>755</v>
      </c>
      <c r="J595" t="s">
        <v>8</v>
      </c>
      <c r="K595" t="s">
        <v>219</v>
      </c>
      <c r="L595" t="s">
        <v>8</v>
      </c>
      <c r="M595" t="s">
        <v>220</v>
      </c>
      <c r="N595" t="s">
        <v>224</v>
      </c>
      <c r="O595" t="s">
        <v>95</v>
      </c>
      <c r="P595" t="s">
        <v>963</v>
      </c>
    </row>
    <row r="596" spans="1:16" x14ac:dyDescent="0.25">
      <c r="A596" t="s">
        <v>0</v>
      </c>
      <c r="B596" s="2">
        <v>44683</v>
      </c>
      <c r="C596" s="5" t="s">
        <v>43</v>
      </c>
      <c r="D596" t="s">
        <v>2289</v>
      </c>
      <c r="E596" t="s">
        <v>2290</v>
      </c>
      <c r="F596" t="s">
        <v>4</v>
      </c>
      <c r="G596" t="s">
        <v>5</v>
      </c>
      <c r="H596" s="3">
        <v>-1135069.6499999999</v>
      </c>
      <c r="I596" t="s">
        <v>2291</v>
      </c>
      <c r="J596" t="s">
        <v>8</v>
      </c>
      <c r="K596" t="s">
        <v>2292</v>
      </c>
      <c r="L596" t="s">
        <v>8</v>
      </c>
      <c r="M596" t="s">
        <v>220</v>
      </c>
      <c r="N596" t="s">
        <v>2301</v>
      </c>
      <c r="O596" t="s">
        <v>95</v>
      </c>
      <c r="P596" t="s">
        <v>2294</v>
      </c>
    </row>
    <row r="597" spans="1:16" x14ac:dyDescent="0.25">
      <c r="A597" t="s">
        <v>0</v>
      </c>
      <c r="B597" s="2">
        <v>44684</v>
      </c>
      <c r="C597" s="5" t="s">
        <v>77</v>
      </c>
      <c r="D597" t="s">
        <v>390</v>
      </c>
      <c r="E597" t="s">
        <v>391</v>
      </c>
      <c r="F597" t="s">
        <v>4</v>
      </c>
      <c r="G597" t="s">
        <v>5</v>
      </c>
      <c r="H597" s="3">
        <v>3794</v>
      </c>
      <c r="I597" t="s">
        <v>759</v>
      </c>
      <c r="J597" t="s">
        <v>393</v>
      </c>
      <c r="K597" t="s">
        <v>8</v>
      </c>
      <c r="L597" t="s">
        <v>760</v>
      </c>
      <c r="M597" t="s">
        <v>8</v>
      </c>
      <c r="N597" t="s">
        <v>761</v>
      </c>
      <c r="O597" t="s">
        <v>396</v>
      </c>
      <c r="P597" t="s">
        <v>82</v>
      </c>
    </row>
    <row r="598" spans="1:16" x14ac:dyDescent="0.25">
      <c r="A598" t="s">
        <v>0</v>
      </c>
      <c r="B598" s="2">
        <v>44684</v>
      </c>
      <c r="C598" s="5" t="s">
        <v>77</v>
      </c>
      <c r="D598" t="s">
        <v>390</v>
      </c>
      <c r="E598" t="s">
        <v>391</v>
      </c>
      <c r="F598" t="s">
        <v>4</v>
      </c>
      <c r="G598" t="s">
        <v>5</v>
      </c>
      <c r="H598" s="3">
        <v>865.92</v>
      </c>
      <c r="I598" t="s">
        <v>1286</v>
      </c>
      <c r="J598" t="s">
        <v>393</v>
      </c>
      <c r="K598" t="s">
        <v>8</v>
      </c>
      <c r="L598" t="s">
        <v>760</v>
      </c>
      <c r="M598" t="s">
        <v>8</v>
      </c>
      <c r="N598" t="s">
        <v>761</v>
      </c>
      <c r="O598" t="s">
        <v>396</v>
      </c>
      <c r="P598" t="s">
        <v>87</v>
      </c>
    </row>
    <row r="599" spans="1:16" x14ac:dyDescent="0.25">
      <c r="A599" t="s">
        <v>0</v>
      </c>
      <c r="B599" s="2">
        <v>44684</v>
      </c>
      <c r="C599" s="5" t="s">
        <v>77</v>
      </c>
      <c r="D599" t="s">
        <v>294</v>
      </c>
      <c r="E599" t="s">
        <v>295</v>
      </c>
      <c r="F599" t="s">
        <v>4</v>
      </c>
      <c r="G599" t="s">
        <v>5</v>
      </c>
      <c r="H599" s="3">
        <v>573.21</v>
      </c>
      <c r="I599" t="s">
        <v>1424</v>
      </c>
      <c r="J599" t="s">
        <v>297</v>
      </c>
      <c r="K599" t="s">
        <v>8</v>
      </c>
      <c r="L599" t="s">
        <v>1425</v>
      </c>
      <c r="M599" t="s">
        <v>8</v>
      </c>
      <c r="N599" t="s">
        <v>1426</v>
      </c>
      <c r="O599" t="s">
        <v>29</v>
      </c>
      <c r="P599" t="s">
        <v>1</v>
      </c>
    </row>
    <row r="600" spans="1:16" x14ac:dyDescent="0.25">
      <c r="A600" t="s">
        <v>0</v>
      </c>
      <c r="B600" s="2">
        <v>44684</v>
      </c>
      <c r="C600" s="5" t="s">
        <v>77</v>
      </c>
      <c r="D600" t="s">
        <v>390</v>
      </c>
      <c r="E600" t="s">
        <v>391</v>
      </c>
      <c r="F600" t="s">
        <v>4</v>
      </c>
      <c r="G600" t="s">
        <v>5</v>
      </c>
      <c r="H600" s="3">
        <v>519.52</v>
      </c>
      <c r="I600" t="s">
        <v>1464</v>
      </c>
      <c r="J600" t="s">
        <v>393</v>
      </c>
      <c r="K600" t="s">
        <v>8</v>
      </c>
      <c r="L600" t="s">
        <v>760</v>
      </c>
      <c r="M600" t="s">
        <v>8</v>
      </c>
      <c r="N600" t="s">
        <v>761</v>
      </c>
      <c r="O600" t="s">
        <v>396</v>
      </c>
      <c r="P600" t="s">
        <v>17</v>
      </c>
    </row>
    <row r="601" spans="1:16" x14ac:dyDescent="0.25">
      <c r="A601" t="s">
        <v>0</v>
      </c>
      <c r="B601" s="2">
        <v>44684</v>
      </c>
      <c r="C601" s="5" t="s">
        <v>77</v>
      </c>
      <c r="D601" t="s">
        <v>390</v>
      </c>
      <c r="E601" t="s">
        <v>391</v>
      </c>
      <c r="F601" t="s">
        <v>4</v>
      </c>
      <c r="G601" t="s">
        <v>5</v>
      </c>
      <c r="H601" s="3">
        <v>432.96</v>
      </c>
      <c r="I601" t="s">
        <v>1553</v>
      </c>
      <c r="J601" t="s">
        <v>393</v>
      </c>
      <c r="K601" t="s">
        <v>8</v>
      </c>
      <c r="L601" t="s">
        <v>760</v>
      </c>
      <c r="M601" t="s">
        <v>8</v>
      </c>
      <c r="N601" t="s">
        <v>761</v>
      </c>
      <c r="O601" t="s">
        <v>396</v>
      </c>
      <c r="P601" t="s">
        <v>30</v>
      </c>
    </row>
    <row r="602" spans="1:16" x14ac:dyDescent="0.25">
      <c r="A602" t="s">
        <v>0</v>
      </c>
      <c r="B602" s="2">
        <v>44684</v>
      </c>
      <c r="C602" s="5" t="s">
        <v>77</v>
      </c>
      <c r="D602" t="s">
        <v>390</v>
      </c>
      <c r="E602" t="s">
        <v>391</v>
      </c>
      <c r="F602" t="s">
        <v>4</v>
      </c>
      <c r="G602" t="s">
        <v>5</v>
      </c>
      <c r="H602" s="3">
        <v>129.91999999999999</v>
      </c>
      <c r="I602" t="s">
        <v>1880</v>
      </c>
      <c r="J602" t="s">
        <v>393</v>
      </c>
      <c r="K602" t="s">
        <v>8</v>
      </c>
      <c r="L602" t="s">
        <v>760</v>
      </c>
      <c r="M602" t="s">
        <v>8</v>
      </c>
      <c r="N602" t="s">
        <v>761</v>
      </c>
      <c r="O602" t="s">
        <v>396</v>
      </c>
      <c r="P602" t="s">
        <v>12</v>
      </c>
    </row>
    <row r="603" spans="1:16" x14ac:dyDescent="0.25">
      <c r="A603" t="s">
        <v>0</v>
      </c>
      <c r="B603" s="2">
        <v>44684</v>
      </c>
      <c r="C603" s="5" t="s">
        <v>77</v>
      </c>
      <c r="D603" t="s">
        <v>390</v>
      </c>
      <c r="E603" t="s">
        <v>391</v>
      </c>
      <c r="F603" t="s">
        <v>4</v>
      </c>
      <c r="G603" t="s">
        <v>5</v>
      </c>
      <c r="H603" s="3">
        <v>129.87</v>
      </c>
      <c r="I603" t="s">
        <v>1881</v>
      </c>
      <c r="J603" t="s">
        <v>393</v>
      </c>
      <c r="K603" t="s">
        <v>8</v>
      </c>
      <c r="L603" t="s">
        <v>760</v>
      </c>
      <c r="M603" t="s">
        <v>8</v>
      </c>
      <c r="N603" t="s">
        <v>761</v>
      </c>
      <c r="O603" t="s">
        <v>396</v>
      </c>
      <c r="P603" t="s">
        <v>43</v>
      </c>
    </row>
    <row r="604" spans="1:16" x14ac:dyDescent="0.25">
      <c r="A604" t="s">
        <v>0</v>
      </c>
      <c r="B604" s="2">
        <v>44684</v>
      </c>
      <c r="C604" s="5" t="s">
        <v>77</v>
      </c>
      <c r="D604" t="s">
        <v>390</v>
      </c>
      <c r="E604" t="s">
        <v>391</v>
      </c>
      <c r="F604" t="s">
        <v>4</v>
      </c>
      <c r="G604" t="s">
        <v>5</v>
      </c>
      <c r="H604" s="3">
        <v>86.72</v>
      </c>
      <c r="I604" t="s">
        <v>1953</v>
      </c>
      <c r="J604" t="s">
        <v>393</v>
      </c>
      <c r="K604" t="s">
        <v>8</v>
      </c>
      <c r="L604" t="s">
        <v>760</v>
      </c>
      <c r="M604" t="s">
        <v>8</v>
      </c>
      <c r="N604" t="s">
        <v>761</v>
      </c>
      <c r="O604" t="s">
        <v>396</v>
      </c>
      <c r="P604" t="s">
        <v>72</v>
      </c>
    </row>
    <row r="605" spans="1:16" x14ac:dyDescent="0.25">
      <c r="A605" t="s">
        <v>0</v>
      </c>
      <c r="B605" s="2">
        <v>44684</v>
      </c>
      <c r="C605" s="5" t="s">
        <v>77</v>
      </c>
      <c r="D605" t="s">
        <v>390</v>
      </c>
      <c r="E605" t="s">
        <v>391</v>
      </c>
      <c r="F605" t="s">
        <v>4</v>
      </c>
      <c r="G605" t="s">
        <v>5</v>
      </c>
      <c r="H605" s="3">
        <v>48.75</v>
      </c>
      <c r="I605" t="s">
        <v>2052</v>
      </c>
      <c r="J605" t="s">
        <v>393</v>
      </c>
      <c r="K605" t="s">
        <v>8</v>
      </c>
      <c r="L605" t="s">
        <v>760</v>
      </c>
      <c r="M605" t="s">
        <v>8</v>
      </c>
      <c r="N605" t="s">
        <v>761</v>
      </c>
      <c r="O605" t="s">
        <v>396</v>
      </c>
      <c r="P605" t="s">
        <v>22</v>
      </c>
    </row>
    <row r="606" spans="1:16" x14ac:dyDescent="0.25">
      <c r="A606" t="s">
        <v>0</v>
      </c>
      <c r="B606" s="2">
        <v>44684</v>
      </c>
      <c r="C606" s="5" t="s">
        <v>77</v>
      </c>
      <c r="D606" t="s">
        <v>390</v>
      </c>
      <c r="E606" t="s">
        <v>391</v>
      </c>
      <c r="F606" t="s">
        <v>4</v>
      </c>
      <c r="G606" t="s">
        <v>5</v>
      </c>
      <c r="H606" s="3">
        <v>32.700000000000003</v>
      </c>
      <c r="I606" t="s">
        <v>2085</v>
      </c>
      <c r="J606" t="s">
        <v>393</v>
      </c>
      <c r="K606" t="s">
        <v>8</v>
      </c>
      <c r="L606" t="s">
        <v>760</v>
      </c>
      <c r="M606" t="s">
        <v>8</v>
      </c>
      <c r="N606" t="s">
        <v>761</v>
      </c>
      <c r="O606" t="s">
        <v>396</v>
      </c>
      <c r="P606" t="s">
        <v>1</v>
      </c>
    </row>
    <row r="607" spans="1:16" x14ac:dyDescent="0.25">
      <c r="A607" t="s">
        <v>0</v>
      </c>
      <c r="B607" s="2">
        <v>44684</v>
      </c>
      <c r="C607" s="5" t="s">
        <v>77</v>
      </c>
      <c r="D607" t="s">
        <v>390</v>
      </c>
      <c r="E607" t="s">
        <v>391</v>
      </c>
      <c r="F607" t="s">
        <v>4</v>
      </c>
      <c r="G607" t="s">
        <v>5</v>
      </c>
      <c r="H607" s="3">
        <v>5.42</v>
      </c>
      <c r="I607" t="s">
        <v>2154</v>
      </c>
      <c r="J607" t="s">
        <v>393</v>
      </c>
      <c r="K607" t="s">
        <v>8</v>
      </c>
      <c r="L607" t="s">
        <v>760</v>
      </c>
      <c r="M607" t="s">
        <v>8</v>
      </c>
      <c r="N607" t="s">
        <v>761</v>
      </c>
      <c r="O607" t="s">
        <v>396</v>
      </c>
      <c r="P607" t="s">
        <v>77</v>
      </c>
    </row>
    <row r="608" spans="1:16" x14ac:dyDescent="0.25">
      <c r="A608" t="s">
        <v>0</v>
      </c>
      <c r="B608" s="2">
        <v>44685</v>
      </c>
      <c r="C608" s="5" t="s">
        <v>77</v>
      </c>
      <c r="D608" t="s">
        <v>624</v>
      </c>
      <c r="E608" t="s">
        <v>625</v>
      </c>
      <c r="F608" t="s">
        <v>4</v>
      </c>
      <c r="G608" t="s">
        <v>5</v>
      </c>
      <c r="H608" s="3">
        <v>-45264.49</v>
      </c>
      <c r="I608" t="s">
        <v>2282</v>
      </c>
      <c r="J608" t="s">
        <v>2283</v>
      </c>
      <c r="K608" t="s">
        <v>8</v>
      </c>
      <c r="L608" t="s">
        <v>8</v>
      </c>
      <c r="M608" t="s">
        <v>8</v>
      </c>
      <c r="N608" t="s">
        <v>2284</v>
      </c>
      <c r="O608" t="s">
        <v>974</v>
      </c>
      <c r="P608" t="s">
        <v>342</v>
      </c>
    </row>
    <row r="609" spans="1:16" x14ac:dyDescent="0.25">
      <c r="A609" t="s">
        <v>0</v>
      </c>
      <c r="B609" s="2">
        <v>44687</v>
      </c>
      <c r="C609" t="s">
        <v>77</v>
      </c>
      <c r="D609" t="s">
        <v>403</v>
      </c>
      <c r="E609" t="s">
        <v>404</v>
      </c>
      <c r="F609" t="s">
        <v>4</v>
      </c>
      <c r="G609" t="s">
        <v>5</v>
      </c>
      <c r="H609" s="3">
        <v>10242.74</v>
      </c>
      <c r="I609" t="s">
        <v>405</v>
      </c>
      <c r="J609" t="s">
        <v>406</v>
      </c>
      <c r="K609" t="s">
        <v>8</v>
      </c>
      <c r="L609" t="s">
        <v>8</v>
      </c>
      <c r="M609" t="s">
        <v>8</v>
      </c>
      <c r="N609" t="s">
        <v>407</v>
      </c>
      <c r="O609" t="s">
        <v>408</v>
      </c>
      <c r="P609" t="s">
        <v>409</v>
      </c>
    </row>
    <row r="610" spans="1:16" x14ac:dyDescent="0.25">
      <c r="A610" t="s">
        <v>0</v>
      </c>
      <c r="B610" s="2">
        <v>44687</v>
      </c>
      <c r="C610" s="5" t="s">
        <v>77</v>
      </c>
      <c r="D610" t="s">
        <v>403</v>
      </c>
      <c r="E610" t="s">
        <v>404</v>
      </c>
      <c r="F610" t="s">
        <v>4</v>
      </c>
      <c r="G610" t="s">
        <v>5</v>
      </c>
      <c r="H610" s="3">
        <v>-10242.74</v>
      </c>
      <c r="I610" t="s">
        <v>405</v>
      </c>
      <c r="J610" t="s">
        <v>406</v>
      </c>
      <c r="K610" t="s">
        <v>8</v>
      </c>
      <c r="L610" t="s">
        <v>8</v>
      </c>
      <c r="M610" t="s">
        <v>8</v>
      </c>
      <c r="N610" t="s">
        <v>2280</v>
      </c>
      <c r="O610" t="s">
        <v>408</v>
      </c>
      <c r="P610" t="s">
        <v>409</v>
      </c>
    </row>
    <row r="611" spans="1:16" x14ac:dyDescent="0.25">
      <c r="A611" t="s">
        <v>0</v>
      </c>
      <c r="B611" s="2">
        <v>44691</v>
      </c>
      <c r="C611" s="5" t="s">
        <v>77</v>
      </c>
      <c r="D611" t="s">
        <v>410</v>
      </c>
      <c r="E611" t="s">
        <v>411</v>
      </c>
      <c r="F611" t="s">
        <v>4</v>
      </c>
      <c r="G611" t="s">
        <v>5</v>
      </c>
      <c r="H611" s="3">
        <v>10193.99</v>
      </c>
      <c r="I611" t="s">
        <v>425</v>
      </c>
      <c r="J611" t="s">
        <v>413</v>
      </c>
      <c r="K611" t="s">
        <v>8</v>
      </c>
      <c r="L611" t="s">
        <v>426</v>
      </c>
      <c r="M611" t="s">
        <v>8</v>
      </c>
      <c r="N611" t="s">
        <v>427</v>
      </c>
      <c r="O611" t="s">
        <v>16</v>
      </c>
      <c r="P611" t="s">
        <v>1</v>
      </c>
    </row>
    <row r="612" spans="1:16" x14ac:dyDescent="0.25">
      <c r="A612" t="s">
        <v>0</v>
      </c>
      <c r="B612" s="2">
        <v>44691</v>
      </c>
      <c r="C612" s="5" t="s">
        <v>77</v>
      </c>
      <c r="D612" t="s">
        <v>697</v>
      </c>
      <c r="E612" t="s">
        <v>698</v>
      </c>
      <c r="F612" t="s">
        <v>4</v>
      </c>
      <c r="G612" t="s">
        <v>5</v>
      </c>
      <c r="H612" s="3">
        <v>4780.07</v>
      </c>
      <c r="I612" t="s">
        <v>709</v>
      </c>
      <c r="J612" t="s">
        <v>700</v>
      </c>
      <c r="K612" t="s">
        <v>8</v>
      </c>
      <c r="L612" t="s">
        <v>710</v>
      </c>
      <c r="M612" t="s">
        <v>8</v>
      </c>
      <c r="N612" t="s">
        <v>711</v>
      </c>
      <c r="O612" t="s">
        <v>29</v>
      </c>
      <c r="P612" t="s">
        <v>1</v>
      </c>
    </row>
    <row r="613" spans="1:16" x14ac:dyDescent="0.25">
      <c r="A613" t="s">
        <v>0</v>
      </c>
      <c r="B613" s="2">
        <v>44691</v>
      </c>
      <c r="C613" s="5" t="s">
        <v>77</v>
      </c>
      <c r="D613" t="s">
        <v>390</v>
      </c>
      <c r="E613" t="s">
        <v>391</v>
      </c>
      <c r="F613" t="s">
        <v>4</v>
      </c>
      <c r="G613" t="s">
        <v>5</v>
      </c>
      <c r="H613" s="3">
        <v>2111.0700000000002</v>
      </c>
      <c r="I613" t="s">
        <v>917</v>
      </c>
      <c r="J613" t="s">
        <v>809</v>
      </c>
      <c r="K613" t="s">
        <v>8</v>
      </c>
      <c r="L613" t="s">
        <v>947</v>
      </c>
      <c r="M613" t="s">
        <v>8</v>
      </c>
      <c r="N613" t="s">
        <v>948</v>
      </c>
      <c r="O613" t="s">
        <v>16</v>
      </c>
      <c r="P613" t="s">
        <v>1</v>
      </c>
    </row>
    <row r="614" spans="1:16" x14ac:dyDescent="0.25">
      <c r="A614" t="s">
        <v>0</v>
      </c>
      <c r="B614" s="2">
        <v>44692</v>
      </c>
      <c r="C614" s="5" t="s">
        <v>77</v>
      </c>
      <c r="D614" t="s">
        <v>1201</v>
      </c>
      <c r="E614" t="s">
        <v>1202</v>
      </c>
      <c r="F614" t="s">
        <v>4</v>
      </c>
      <c r="G614" t="s">
        <v>5</v>
      </c>
      <c r="H614" s="3">
        <v>97.2</v>
      </c>
      <c r="I614" t="s">
        <v>1944</v>
      </c>
      <c r="J614" t="s">
        <v>1620</v>
      </c>
      <c r="K614" t="s">
        <v>8</v>
      </c>
      <c r="L614" t="s">
        <v>8</v>
      </c>
      <c r="M614" t="s">
        <v>8</v>
      </c>
      <c r="N614" t="s">
        <v>1945</v>
      </c>
      <c r="O614" t="s">
        <v>389</v>
      </c>
      <c r="P614" t="s">
        <v>1</v>
      </c>
    </row>
    <row r="615" spans="1:16" x14ac:dyDescent="0.25">
      <c r="A615" t="s">
        <v>0</v>
      </c>
      <c r="B615" s="2">
        <v>44693</v>
      </c>
      <c r="C615" s="5" t="s">
        <v>77</v>
      </c>
      <c r="D615" t="s">
        <v>410</v>
      </c>
      <c r="E615" t="s">
        <v>411</v>
      </c>
      <c r="F615" t="s">
        <v>4</v>
      </c>
      <c r="G615" t="s">
        <v>5</v>
      </c>
      <c r="H615" s="3">
        <v>5881.5</v>
      </c>
      <c r="I615" t="s">
        <v>633</v>
      </c>
      <c r="J615" t="s">
        <v>413</v>
      </c>
      <c r="K615" t="s">
        <v>8</v>
      </c>
      <c r="L615" t="s">
        <v>634</v>
      </c>
      <c r="M615" t="s">
        <v>8</v>
      </c>
      <c r="N615" t="s">
        <v>635</v>
      </c>
      <c r="O615" t="s">
        <v>524</v>
      </c>
      <c r="P615" t="s">
        <v>1</v>
      </c>
    </row>
    <row r="616" spans="1:16" x14ac:dyDescent="0.25">
      <c r="A616" t="s">
        <v>0</v>
      </c>
      <c r="B616" s="2">
        <v>44693</v>
      </c>
      <c r="C616" s="5" t="s">
        <v>77</v>
      </c>
      <c r="D616" t="s">
        <v>410</v>
      </c>
      <c r="E616" t="s">
        <v>411</v>
      </c>
      <c r="F616" t="s">
        <v>4</v>
      </c>
      <c r="G616" t="s">
        <v>5</v>
      </c>
      <c r="H616" s="3">
        <v>3191.1</v>
      </c>
      <c r="I616" t="s">
        <v>819</v>
      </c>
      <c r="J616" t="s">
        <v>413</v>
      </c>
      <c r="K616" t="s">
        <v>8</v>
      </c>
      <c r="L616" t="s">
        <v>820</v>
      </c>
      <c r="M616" t="s">
        <v>8</v>
      </c>
      <c r="N616" t="s">
        <v>821</v>
      </c>
      <c r="O616" t="s">
        <v>524</v>
      </c>
      <c r="P616" t="s">
        <v>12</v>
      </c>
    </row>
    <row r="617" spans="1:16" x14ac:dyDescent="0.25">
      <c r="A617" t="s">
        <v>0</v>
      </c>
      <c r="B617" s="2">
        <v>44693</v>
      </c>
      <c r="C617" s="5" t="s">
        <v>77</v>
      </c>
      <c r="D617" t="s">
        <v>410</v>
      </c>
      <c r="E617" t="s">
        <v>411</v>
      </c>
      <c r="F617" t="s">
        <v>4</v>
      </c>
      <c r="G617" t="s">
        <v>5</v>
      </c>
      <c r="H617" s="3">
        <v>1787.71</v>
      </c>
      <c r="I617" t="s">
        <v>1006</v>
      </c>
      <c r="J617" t="s">
        <v>413</v>
      </c>
      <c r="K617" t="s">
        <v>8</v>
      </c>
      <c r="L617" t="s">
        <v>1007</v>
      </c>
      <c r="M617" t="s">
        <v>8</v>
      </c>
      <c r="N617" t="s">
        <v>1008</v>
      </c>
      <c r="O617" t="s">
        <v>524</v>
      </c>
      <c r="P617" t="s">
        <v>43</v>
      </c>
    </row>
    <row r="618" spans="1:16" x14ac:dyDescent="0.25">
      <c r="A618" t="s">
        <v>0</v>
      </c>
      <c r="B618" s="2">
        <v>44693</v>
      </c>
      <c r="C618" s="5" t="s">
        <v>77</v>
      </c>
      <c r="D618" t="s">
        <v>410</v>
      </c>
      <c r="E618" t="s">
        <v>411</v>
      </c>
      <c r="F618" t="s">
        <v>4</v>
      </c>
      <c r="G618" t="s">
        <v>5</v>
      </c>
      <c r="H618" s="3">
        <v>1276.44</v>
      </c>
      <c r="I618" t="s">
        <v>1006</v>
      </c>
      <c r="J618" t="s">
        <v>413</v>
      </c>
      <c r="K618" t="s">
        <v>8</v>
      </c>
      <c r="L618" t="s">
        <v>1007</v>
      </c>
      <c r="M618" t="s">
        <v>8</v>
      </c>
      <c r="N618" t="s">
        <v>1008</v>
      </c>
      <c r="O618" t="s">
        <v>524</v>
      </c>
      <c r="P618" t="s">
        <v>1</v>
      </c>
    </row>
    <row r="619" spans="1:16" x14ac:dyDescent="0.25">
      <c r="A619" t="s">
        <v>0</v>
      </c>
      <c r="B619" s="2">
        <v>44693</v>
      </c>
      <c r="C619" s="5" t="s">
        <v>77</v>
      </c>
      <c r="D619" t="s">
        <v>410</v>
      </c>
      <c r="E619" t="s">
        <v>411</v>
      </c>
      <c r="F619" t="s">
        <v>4</v>
      </c>
      <c r="G619" t="s">
        <v>5</v>
      </c>
      <c r="H619" s="3">
        <v>1046.04</v>
      </c>
      <c r="I619" t="s">
        <v>819</v>
      </c>
      <c r="J619" t="s">
        <v>413</v>
      </c>
      <c r="K619" t="s">
        <v>8</v>
      </c>
      <c r="L619" t="s">
        <v>820</v>
      </c>
      <c r="M619" t="s">
        <v>8</v>
      </c>
      <c r="N619" t="s">
        <v>821</v>
      </c>
      <c r="O619" t="s">
        <v>524</v>
      </c>
      <c r="P619" t="s">
        <v>17</v>
      </c>
    </row>
    <row r="620" spans="1:16" x14ac:dyDescent="0.25">
      <c r="A620" t="s">
        <v>0</v>
      </c>
      <c r="B620" s="2">
        <v>44693</v>
      </c>
      <c r="C620" s="5" t="s">
        <v>77</v>
      </c>
      <c r="D620" t="s">
        <v>410</v>
      </c>
      <c r="E620" t="s">
        <v>411</v>
      </c>
      <c r="F620" t="s">
        <v>4</v>
      </c>
      <c r="G620" t="s">
        <v>5</v>
      </c>
      <c r="H620" s="3">
        <v>1034.99</v>
      </c>
      <c r="I620" t="s">
        <v>819</v>
      </c>
      <c r="J620" t="s">
        <v>413</v>
      </c>
      <c r="K620" t="s">
        <v>8</v>
      </c>
      <c r="L620" t="s">
        <v>820</v>
      </c>
      <c r="M620" t="s">
        <v>8</v>
      </c>
      <c r="N620" t="s">
        <v>821</v>
      </c>
      <c r="O620" t="s">
        <v>524</v>
      </c>
      <c r="P620" t="s">
        <v>43</v>
      </c>
    </row>
    <row r="621" spans="1:16" x14ac:dyDescent="0.25">
      <c r="A621" t="s">
        <v>0</v>
      </c>
      <c r="B621" s="2">
        <v>44693</v>
      </c>
      <c r="C621" s="5" t="s">
        <v>77</v>
      </c>
      <c r="D621" t="s">
        <v>410</v>
      </c>
      <c r="E621" t="s">
        <v>411</v>
      </c>
      <c r="F621" t="s">
        <v>4</v>
      </c>
      <c r="G621" t="s">
        <v>5</v>
      </c>
      <c r="H621" s="3">
        <v>677.52</v>
      </c>
      <c r="I621" t="s">
        <v>1006</v>
      </c>
      <c r="J621" t="s">
        <v>413</v>
      </c>
      <c r="K621" t="s">
        <v>8</v>
      </c>
      <c r="L621" t="s">
        <v>1007</v>
      </c>
      <c r="M621" t="s">
        <v>8</v>
      </c>
      <c r="N621" t="s">
        <v>1008</v>
      </c>
      <c r="O621" t="s">
        <v>524</v>
      </c>
      <c r="P621" t="s">
        <v>17</v>
      </c>
    </row>
    <row r="622" spans="1:16" x14ac:dyDescent="0.25">
      <c r="A622" t="s">
        <v>0</v>
      </c>
      <c r="B622" s="2">
        <v>44693</v>
      </c>
      <c r="C622" s="5" t="s">
        <v>77</v>
      </c>
      <c r="D622" t="s">
        <v>410</v>
      </c>
      <c r="E622" t="s">
        <v>411</v>
      </c>
      <c r="F622" t="s">
        <v>4</v>
      </c>
      <c r="G622" t="s">
        <v>5</v>
      </c>
      <c r="H622" s="3">
        <v>454.8</v>
      </c>
      <c r="I622" t="s">
        <v>1006</v>
      </c>
      <c r="J622" t="s">
        <v>413</v>
      </c>
      <c r="K622" t="s">
        <v>8</v>
      </c>
      <c r="L622" t="s">
        <v>1007</v>
      </c>
      <c r="M622" t="s">
        <v>8</v>
      </c>
      <c r="N622" t="s">
        <v>1008</v>
      </c>
      <c r="O622" t="s">
        <v>524</v>
      </c>
      <c r="P622" t="s">
        <v>12</v>
      </c>
    </row>
    <row r="623" spans="1:16" x14ac:dyDescent="0.25">
      <c r="A623" t="s">
        <v>0</v>
      </c>
      <c r="B623" s="2">
        <v>44693</v>
      </c>
      <c r="C623" s="5" t="s">
        <v>77</v>
      </c>
      <c r="D623" t="s">
        <v>410</v>
      </c>
      <c r="E623" t="s">
        <v>411</v>
      </c>
      <c r="F623" t="s">
        <v>4</v>
      </c>
      <c r="G623" t="s">
        <v>5</v>
      </c>
      <c r="H623" s="3">
        <v>423.44</v>
      </c>
      <c r="I623" t="s">
        <v>1006</v>
      </c>
      <c r="J623" t="s">
        <v>413</v>
      </c>
      <c r="K623" t="s">
        <v>8</v>
      </c>
      <c r="L623" t="s">
        <v>1007</v>
      </c>
      <c r="M623" t="s">
        <v>8</v>
      </c>
      <c r="N623" t="s">
        <v>1008</v>
      </c>
      <c r="O623" t="s">
        <v>524</v>
      </c>
      <c r="P623" t="s">
        <v>77</v>
      </c>
    </row>
    <row r="624" spans="1:16" x14ac:dyDescent="0.25">
      <c r="A624" t="s">
        <v>0</v>
      </c>
      <c r="B624" s="2">
        <v>44693</v>
      </c>
      <c r="C624" s="5" t="s">
        <v>77</v>
      </c>
      <c r="D624" t="s">
        <v>410</v>
      </c>
      <c r="E624" t="s">
        <v>411</v>
      </c>
      <c r="F624" t="s">
        <v>4</v>
      </c>
      <c r="G624" t="s">
        <v>5</v>
      </c>
      <c r="H624" s="3">
        <v>54.88</v>
      </c>
      <c r="I624" t="s">
        <v>819</v>
      </c>
      <c r="J624" t="s">
        <v>413</v>
      </c>
      <c r="K624" t="s">
        <v>8</v>
      </c>
      <c r="L624" t="s">
        <v>820</v>
      </c>
      <c r="M624" t="s">
        <v>8</v>
      </c>
      <c r="N624" t="s">
        <v>821</v>
      </c>
      <c r="O624" t="s">
        <v>524</v>
      </c>
      <c r="P624" t="s">
        <v>1</v>
      </c>
    </row>
    <row r="625" spans="1:16" x14ac:dyDescent="0.25">
      <c r="A625" t="s">
        <v>0</v>
      </c>
      <c r="B625" s="2">
        <v>44693</v>
      </c>
      <c r="C625" s="5" t="s">
        <v>77</v>
      </c>
      <c r="D625" t="s">
        <v>1331</v>
      </c>
      <c r="E625" t="s">
        <v>1332</v>
      </c>
      <c r="F625" t="s">
        <v>4</v>
      </c>
      <c r="G625" t="s">
        <v>5</v>
      </c>
      <c r="H625" s="3">
        <v>805.23</v>
      </c>
      <c r="I625" t="s">
        <v>1333</v>
      </c>
      <c r="J625" t="s">
        <v>1334</v>
      </c>
      <c r="K625" t="s">
        <v>8</v>
      </c>
      <c r="L625" t="s">
        <v>1335</v>
      </c>
      <c r="M625" t="s">
        <v>8</v>
      </c>
      <c r="N625" t="s">
        <v>1336</v>
      </c>
      <c r="O625" t="s">
        <v>29</v>
      </c>
      <c r="P625" t="s">
        <v>1</v>
      </c>
    </row>
    <row r="626" spans="1:16" x14ac:dyDescent="0.25">
      <c r="A626" t="s">
        <v>0</v>
      </c>
      <c r="B626" s="2">
        <v>44693</v>
      </c>
      <c r="C626" s="5" t="s">
        <v>77</v>
      </c>
      <c r="D626" t="s">
        <v>673</v>
      </c>
      <c r="E626" t="s">
        <v>674</v>
      </c>
      <c r="F626" t="s">
        <v>4</v>
      </c>
      <c r="G626" t="s">
        <v>5</v>
      </c>
      <c r="H626" s="3">
        <v>60</v>
      </c>
      <c r="I626" t="s">
        <v>2023</v>
      </c>
      <c r="J626" t="s">
        <v>676</v>
      </c>
      <c r="K626" t="s">
        <v>8</v>
      </c>
      <c r="L626" t="s">
        <v>2024</v>
      </c>
      <c r="M626" t="s">
        <v>8</v>
      </c>
      <c r="N626" t="s">
        <v>2025</v>
      </c>
      <c r="O626" t="s">
        <v>524</v>
      </c>
      <c r="P626" t="s">
        <v>17</v>
      </c>
    </row>
    <row r="627" spans="1:16" x14ac:dyDescent="0.25">
      <c r="A627" t="s">
        <v>0</v>
      </c>
      <c r="B627" s="2">
        <v>44694</v>
      </c>
      <c r="C627" s="5" t="s">
        <v>77</v>
      </c>
      <c r="D627" t="s">
        <v>384</v>
      </c>
      <c r="E627" t="s">
        <v>385</v>
      </c>
      <c r="F627" t="s">
        <v>4</v>
      </c>
      <c r="G627" t="s">
        <v>5</v>
      </c>
      <c r="H627" s="3">
        <v>900.88</v>
      </c>
      <c r="I627" t="s">
        <v>871</v>
      </c>
      <c r="J627" t="s">
        <v>1242</v>
      </c>
      <c r="K627" t="s">
        <v>8</v>
      </c>
      <c r="L627" t="s">
        <v>8</v>
      </c>
      <c r="M627" t="s">
        <v>8</v>
      </c>
      <c r="N627" t="s">
        <v>1243</v>
      </c>
      <c r="O627" t="s">
        <v>389</v>
      </c>
      <c r="P627" t="s">
        <v>1</v>
      </c>
    </row>
    <row r="628" spans="1:16" x14ac:dyDescent="0.25">
      <c r="A628" t="s">
        <v>0</v>
      </c>
      <c r="B628" s="2">
        <v>44694</v>
      </c>
      <c r="C628" s="5" t="s">
        <v>77</v>
      </c>
      <c r="D628" t="s">
        <v>384</v>
      </c>
      <c r="E628" t="s">
        <v>385</v>
      </c>
      <c r="F628" t="s">
        <v>4</v>
      </c>
      <c r="G628" t="s">
        <v>5</v>
      </c>
      <c r="H628" s="3">
        <v>794.76</v>
      </c>
      <c r="I628" t="s">
        <v>871</v>
      </c>
      <c r="J628" t="s">
        <v>680</v>
      </c>
      <c r="K628" t="s">
        <v>8</v>
      </c>
      <c r="L628" t="s">
        <v>8</v>
      </c>
      <c r="M628" t="s">
        <v>8</v>
      </c>
      <c r="N628" t="s">
        <v>1346</v>
      </c>
      <c r="O628" t="s">
        <v>389</v>
      </c>
      <c r="P628" t="s">
        <v>1</v>
      </c>
    </row>
    <row r="629" spans="1:16" x14ac:dyDescent="0.25">
      <c r="A629" t="s">
        <v>0</v>
      </c>
      <c r="B629" s="2">
        <v>44694</v>
      </c>
      <c r="C629" s="5" t="s">
        <v>77</v>
      </c>
      <c r="D629" t="s">
        <v>384</v>
      </c>
      <c r="E629" t="s">
        <v>385</v>
      </c>
      <c r="F629" t="s">
        <v>4</v>
      </c>
      <c r="G629" t="s">
        <v>5</v>
      </c>
      <c r="H629" s="3">
        <v>730.9</v>
      </c>
      <c r="I629" t="s">
        <v>871</v>
      </c>
      <c r="J629" t="s">
        <v>912</v>
      </c>
      <c r="K629" t="s">
        <v>8</v>
      </c>
      <c r="L629" t="s">
        <v>8</v>
      </c>
      <c r="M629" t="s">
        <v>8</v>
      </c>
      <c r="N629" t="s">
        <v>1364</v>
      </c>
      <c r="O629" t="s">
        <v>389</v>
      </c>
      <c r="P629" t="s">
        <v>1</v>
      </c>
    </row>
    <row r="630" spans="1:16" x14ac:dyDescent="0.25">
      <c r="A630" t="s">
        <v>0</v>
      </c>
      <c r="B630" s="2">
        <v>44694</v>
      </c>
      <c r="C630" s="5" t="s">
        <v>77</v>
      </c>
      <c r="D630" t="s">
        <v>384</v>
      </c>
      <c r="E630" t="s">
        <v>385</v>
      </c>
      <c r="F630" t="s">
        <v>4</v>
      </c>
      <c r="G630" t="s">
        <v>5</v>
      </c>
      <c r="H630" s="3">
        <v>500</v>
      </c>
      <c r="I630" t="s">
        <v>1218</v>
      </c>
      <c r="J630" t="s">
        <v>680</v>
      </c>
      <c r="K630" t="s">
        <v>8</v>
      </c>
      <c r="L630" t="s">
        <v>8</v>
      </c>
      <c r="M630" t="s">
        <v>8</v>
      </c>
      <c r="N630" t="s">
        <v>1346</v>
      </c>
      <c r="O630" t="s">
        <v>389</v>
      </c>
      <c r="P630" t="s">
        <v>12</v>
      </c>
    </row>
    <row r="631" spans="1:16" x14ac:dyDescent="0.25">
      <c r="A631" t="s">
        <v>0</v>
      </c>
      <c r="B631" s="2">
        <v>44694</v>
      </c>
      <c r="C631" s="5" t="s">
        <v>77</v>
      </c>
      <c r="D631" t="s">
        <v>384</v>
      </c>
      <c r="E631" t="s">
        <v>385</v>
      </c>
      <c r="F631" t="s">
        <v>4</v>
      </c>
      <c r="G631" t="s">
        <v>5</v>
      </c>
      <c r="H631" s="3">
        <v>334.02</v>
      </c>
      <c r="I631" t="s">
        <v>1652</v>
      </c>
      <c r="J631" t="s">
        <v>1104</v>
      </c>
      <c r="K631" t="s">
        <v>8</v>
      </c>
      <c r="L631" t="s">
        <v>8</v>
      </c>
      <c r="M631" t="s">
        <v>8</v>
      </c>
      <c r="N631" t="s">
        <v>1653</v>
      </c>
      <c r="O631" t="s">
        <v>389</v>
      </c>
      <c r="P631" t="s">
        <v>77</v>
      </c>
    </row>
    <row r="632" spans="1:16" x14ac:dyDescent="0.25">
      <c r="A632" t="s">
        <v>0</v>
      </c>
      <c r="B632" s="2">
        <v>44694</v>
      </c>
      <c r="C632" s="5" t="s">
        <v>77</v>
      </c>
      <c r="D632" t="s">
        <v>384</v>
      </c>
      <c r="E632" t="s">
        <v>385</v>
      </c>
      <c r="F632" t="s">
        <v>4</v>
      </c>
      <c r="G632" t="s">
        <v>5</v>
      </c>
      <c r="H632" s="3">
        <v>283.2</v>
      </c>
      <c r="I632" t="s">
        <v>1722</v>
      </c>
      <c r="J632" t="s">
        <v>1104</v>
      </c>
      <c r="K632" t="s">
        <v>8</v>
      </c>
      <c r="L632" t="s">
        <v>8</v>
      </c>
      <c r="M632" t="s">
        <v>8</v>
      </c>
      <c r="N632" t="s">
        <v>1653</v>
      </c>
      <c r="O632" t="s">
        <v>389</v>
      </c>
      <c r="P632" t="s">
        <v>72</v>
      </c>
    </row>
    <row r="633" spans="1:16" x14ac:dyDescent="0.25">
      <c r="A633" t="s">
        <v>0</v>
      </c>
      <c r="B633" s="2">
        <v>44694</v>
      </c>
      <c r="C633" s="5" t="s">
        <v>77</v>
      </c>
      <c r="D633" t="s">
        <v>1373</v>
      </c>
      <c r="E633" t="s">
        <v>1374</v>
      </c>
      <c r="F633" t="s">
        <v>4</v>
      </c>
      <c r="G633" t="s">
        <v>5</v>
      </c>
      <c r="H633" s="3">
        <v>244.84</v>
      </c>
      <c r="I633" t="s">
        <v>1740</v>
      </c>
      <c r="J633" t="s">
        <v>1741</v>
      </c>
      <c r="K633" t="s">
        <v>8</v>
      </c>
      <c r="L633" t="s">
        <v>8</v>
      </c>
      <c r="M633" t="s">
        <v>8</v>
      </c>
      <c r="N633" t="s">
        <v>1742</v>
      </c>
      <c r="O633" t="s">
        <v>389</v>
      </c>
      <c r="P633" t="s">
        <v>1</v>
      </c>
    </row>
    <row r="634" spans="1:16" x14ac:dyDescent="0.25">
      <c r="A634" t="s">
        <v>0</v>
      </c>
      <c r="B634" s="2">
        <v>44694</v>
      </c>
      <c r="C634" s="5" t="s">
        <v>77</v>
      </c>
      <c r="D634" t="s">
        <v>384</v>
      </c>
      <c r="E634" t="s">
        <v>385</v>
      </c>
      <c r="F634" t="s">
        <v>4</v>
      </c>
      <c r="G634" t="s">
        <v>5</v>
      </c>
      <c r="H634" s="3">
        <v>220</v>
      </c>
      <c r="I634" t="s">
        <v>935</v>
      </c>
      <c r="J634" t="s">
        <v>1104</v>
      </c>
      <c r="K634" t="s">
        <v>8</v>
      </c>
      <c r="L634" t="s">
        <v>8</v>
      </c>
      <c r="M634" t="s">
        <v>8</v>
      </c>
      <c r="N634" t="s">
        <v>1653</v>
      </c>
      <c r="O634" t="s">
        <v>389</v>
      </c>
      <c r="P634" t="s">
        <v>17</v>
      </c>
    </row>
    <row r="635" spans="1:16" x14ac:dyDescent="0.25">
      <c r="A635" t="s">
        <v>0</v>
      </c>
      <c r="B635" s="2">
        <v>44694</v>
      </c>
      <c r="C635" s="5" t="s">
        <v>77</v>
      </c>
      <c r="D635" t="s">
        <v>384</v>
      </c>
      <c r="E635" t="s">
        <v>385</v>
      </c>
      <c r="F635" t="s">
        <v>4</v>
      </c>
      <c r="G635" t="s">
        <v>5</v>
      </c>
      <c r="H635" s="3">
        <v>196.4</v>
      </c>
      <c r="I635" t="s">
        <v>1757</v>
      </c>
      <c r="J635" t="s">
        <v>912</v>
      </c>
      <c r="K635" t="s">
        <v>8</v>
      </c>
      <c r="L635" t="s">
        <v>8</v>
      </c>
      <c r="M635" t="s">
        <v>8</v>
      </c>
      <c r="N635" t="s">
        <v>1364</v>
      </c>
      <c r="O635" t="s">
        <v>389</v>
      </c>
      <c r="P635" t="s">
        <v>17</v>
      </c>
    </row>
    <row r="636" spans="1:16" x14ac:dyDescent="0.25">
      <c r="A636" t="s">
        <v>0</v>
      </c>
      <c r="B636" s="2">
        <v>44694</v>
      </c>
      <c r="C636" s="5" t="s">
        <v>77</v>
      </c>
      <c r="D636" t="s">
        <v>1201</v>
      </c>
      <c r="E636" t="s">
        <v>1202</v>
      </c>
      <c r="F636" t="s">
        <v>4</v>
      </c>
      <c r="G636" t="s">
        <v>5</v>
      </c>
      <c r="H636" s="3">
        <v>158.4</v>
      </c>
      <c r="I636" t="s">
        <v>1830</v>
      </c>
      <c r="J636" t="s">
        <v>1104</v>
      </c>
      <c r="K636" t="s">
        <v>8</v>
      </c>
      <c r="L636" t="s">
        <v>8</v>
      </c>
      <c r="M636" t="s">
        <v>8</v>
      </c>
      <c r="N636" t="s">
        <v>1653</v>
      </c>
      <c r="O636" t="s">
        <v>389</v>
      </c>
      <c r="P636" t="s">
        <v>82</v>
      </c>
    </row>
    <row r="637" spans="1:16" x14ac:dyDescent="0.25">
      <c r="A637" t="s">
        <v>0</v>
      </c>
      <c r="B637" s="2">
        <v>44694</v>
      </c>
      <c r="C637" s="5" t="s">
        <v>77</v>
      </c>
      <c r="D637" t="s">
        <v>384</v>
      </c>
      <c r="E637" t="s">
        <v>385</v>
      </c>
      <c r="F637" t="s">
        <v>4</v>
      </c>
      <c r="G637" t="s">
        <v>5</v>
      </c>
      <c r="H637" s="3">
        <v>129</v>
      </c>
      <c r="I637" t="s">
        <v>871</v>
      </c>
      <c r="J637" t="s">
        <v>1104</v>
      </c>
      <c r="K637" t="s">
        <v>8</v>
      </c>
      <c r="L637" t="s">
        <v>8</v>
      </c>
      <c r="M637" t="s">
        <v>8</v>
      </c>
      <c r="N637" t="s">
        <v>1653</v>
      </c>
      <c r="O637" t="s">
        <v>389</v>
      </c>
      <c r="P637" t="s">
        <v>1</v>
      </c>
    </row>
    <row r="638" spans="1:16" x14ac:dyDescent="0.25">
      <c r="A638" t="s">
        <v>0</v>
      </c>
      <c r="B638" s="2">
        <v>44694</v>
      </c>
      <c r="C638" s="5" t="s">
        <v>77</v>
      </c>
      <c r="D638" t="s">
        <v>1201</v>
      </c>
      <c r="E638" t="s">
        <v>1202</v>
      </c>
      <c r="F638" t="s">
        <v>4</v>
      </c>
      <c r="G638" t="s">
        <v>5</v>
      </c>
      <c r="H638" s="3">
        <v>104.4</v>
      </c>
      <c r="I638" t="s">
        <v>1928</v>
      </c>
      <c r="J638" t="s">
        <v>1921</v>
      </c>
      <c r="K638" t="s">
        <v>8</v>
      </c>
      <c r="L638" t="s">
        <v>8</v>
      </c>
      <c r="M638" t="s">
        <v>8</v>
      </c>
      <c r="N638" t="s">
        <v>1929</v>
      </c>
      <c r="O638" t="s">
        <v>389</v>
      </c>
      <c r="P638" t="s">
        <v>1</v>
      </c>
    </row>
    <row r="639" spans="1:16" x14ac:dyDescent="0.25">
      <c r="A639" t="s">
        <v>0</v>
      </c>
      <c r="B639" s="2">
        <v>44694</v>
      </c>
      <c r="C639" s="5" t="s">
        <v>77</v>
      </c>
      <c r="D639" t="s">
        <v>1201</v>
      </c>
      <c r="E639" t="s">
        <v>1202</v>
      </c>
      <c r="F639" t="s">
        <v>4</v>
      </c>
      <c r="G639" t="s">
        <v>5</v>
      </c>
      <c r="H639" s="3">
        <v>86.4</v>
      </c>
      <c r="I639" t="s">
        <v>1956</v>
      </c>
      <c r="J639" t="s">
        <v>912</v>
      </c>
      <c r="K639" t="s">
        <v>8</v>
      </c>
      <c r="L639" t="s">
        <v>8</v>
      </c>
      <c r="M639" t="s">
        <v>8</v>
      </c>
      <c r="N639" t="s">
        <v>1364</v>
      </c>
      <c r="O639" t="s">
        <v>389</v>
      </c>
      <c r="P639" t="s">
        <v>43</v>
      </c>
    </row>
    <row r="640" spans="1:16" x14ac:dyDescent="0.25">
      <c r="A640" t="s">
        <v>0</v>
      </c>
      <c r="B640" s="2">
        <v>44694</v>
      </c>
      <c r="C640" s="5" t="s">
        <v>77</v>
      </c>
      <c r="D640" t="s">
        <v>384</v>
      </c>
      <c r="E640" t="s">
        <v>385</v>
      </c>
      <c r="F640" t="s">
        <v>4</v>
      </c>
      <c r="G640" t="s">
        <v>5</v>
      </c>
      <c r="H640" s="3">
        <v>60</v>
      </c>
      <c r="I640" t="s">
        <v>737</v>
      </c>
      <c r="J640" t="s">
        <v>1104</v>
      </c>
      <c r="K640" t="s">
        <v>8</v>
      </c>
      <c r="L640" t="s">
        <v>8</v>
      </c>
      <c r="M640" t="s">
        <v>8</v>
      </c>
      <c r="N640" t="s">
        <v>1653</v>
      </c>
      <c r="O640" t="s">
        <v>389</v>
      </c>
      <c r="P640" t="s">
        <v>43</v>
      </c>
    </row>
    <row r="641" spans="1:16" x14ac:dyDescent="0.25">
      <c r="A641" t="s">
        <v>0</v>
      </c>
      <c r="B641" s="2">
        <v>44694</v>
      </c>
      <c r="C641" s="5" t="s">
        <v>77</v>
      </c>
      <c r="D641" t="s">
        <v>1201</v>
      </c>
      <c r="E641" t="s">
        <v>1202</v>
      </c>
      <c r="F641" t="s">
        <v>4</v>
      </c>
      <c r="G641" t="s">
        <v>5</v>
      </c>
      <c r="H641" s="3">
        <v>57.6</v>
      </c>
      <c r="I641" t="s">
        <v>2031</v>
      </c>
      <c r="J641" t="s">
        <v>1718</v>
      </c>
      <c r="K641" t="s">
        <v>8</v>
      </c>
      <c r="L641" t="s">
        <v>8</v>
      </c>
      <c r="M641" t="s">
        <v>8</v>
      </c>
      <c r="N641" t="s">
        <v>2032</v>
      </c>
      <c r="O641" t="s">
        <v>389</v>
      </c>
      <c r="P641" t="s">
        <v>12</v>
      </c>
    </row>
    <row r="642" spans="1:16" x14ac:dyDescent="0.25">
      <c r="A642" t="s">
        <v>0</v>
      </c>
      <c r="B642" s="2">
        <v>44694</v>
      </c>
      <c r="C642" s="5" t="s">
        <v>77</v>
      </c>
      <c r="D642" t="s">
        <v>1597</v>
      </c>
      <c r="E642" t="s">
        <v>1598</v>
      </c>
      <c r="F642" t="s">
        <v>4</v>
      </c>
      <c r="G642" t="s">
        <v>5</v>
      </c>
      <c r="H642" s="3">
        <v>56</v>
      </c>
      <c r="I642" t="s">
        <v>2035</v>
      </c>
      <c r="J642" t="s">
        <v>1718</v>
      </c>
      <c r="K642" t="s">
        <v>8</v>
      </c>
      <c r="L642" t="s">
        <v>8</v>
      </c>
      <c r="M642" t="s">
        <v>8</v>
      </c>
      <c r="N642" t="s">
        <v>2032</v>
      </c>
      <c r="O642" t="s">
        <v>389</v>
      </c>
      <c r="P642" t="s">
        <v>77</v>
      </c>
    </row>
    <row r="643" spans="1:16" x14ac:dyDescent="0.25">
      <c r="A643" t="s">
        <v>0</v>
      </c>
      <c r="B643" s="2">
        <v>44694</v>
      </c>
      <c r="C643" s="5" t="s">
        <v>77</v>
      </c>
      <c r="D643" t="s">
        <v>384</v>
      </c>
      <c r="E643" t="s">
        <v>385</v>
      </c>
      <c r="F643" t="s">
        <v>4</v>
      </c>
      <c r="G643" t="s">
        <v>5</v>
      </c>
      <c r="H643" s="3">
        <v>44.02</v>
      </c>
      <c r="I643" t="s">
        <v>1142</v>
      </c>
      <c r="J643" t="s">
        <v>912</v>
      </c>
      <c r="K643" t="s">
        <v>8</v>
      </c>
      <c r="L643" t="s">
        <v>8</v>
      </c>
      <c r="M643" t="s">
        <v>8</v>
      </c>
      <c r="N643" t="s">
        <v>1364</v>
      </c>
      <c r="O643" t="s">
        <v>389</v>
      </c>
      <c r="P643" t="s">
        <v>12</v>
      </c>
    </row>
    <row r="644" spans="1:16" x14ac:dyDescent="0.25">
      <c r="A644" t="s">
        <v>0</v>
      </c>
      <c r="B644" s="2">
        <v>44694</v>
      </c>
      <c r="C644" s="5" t="s">
        <v>77</v>
      </c>
      <c r="D644" t="s">
        <v>1201</v>
      </c>
      <c r="E644" t="s">
        <v>1202</v>
      </c>
      <c r="F644" t="s">
        <v>4</v>
      </c>
      <c r="G644" t="s">
        <v>5</v>
      </c>
      <c r="H644" s="3">
        <v>27</v>
      </c>
      <c r="I644" t="s">
        <v>2098</v>
      </c>
      <c r="J644" t="s">
        <v>1414</v>
      </c>
      <c r="K644" t="s">
        <v>8</v>
      </c>
      <c r="L644" t="s">
        <v>8</v>
      </c>
      <c r="M644" t="s">
        <v>8</v>
      </c>
      <c r="N644" t="s">
        <v>2099</v>
      </c>
      <c r="O644" t="s">
        <v>389</v>
      </c>
      <c r="P644" t="s">
        <v>1</v>
      </c>
    </row>
    <row r="645" spans="1:16" x14ac:dyDescent="0.25">
      <c r="A645" t="s">
        <v>0</v>
      </c>
      <c r="B645" s="2">
        <v>44694</v>
      </c>
      <c r="C645" s="5" t="s">
        <v>77</v>
      </c>
      <c r="D645" t="s">
        <v>1201</v>
      </c>
      <c r="E645" t="s">
        <v>1202</v>
      </c>
      <c r="F645" t="s">
        <v>4</v>
      </c>
      <c r="G645" t="s">
        <v>5</v>
      </c>
      <c r="H645" s="3">
        <v>23.4</v>
      </c>
      <c r="I645" t="s">
        <v>2119</v>
      </c>
      <c r="J645" t="s">
        <v>1985</v>
      </c>
      <c r="K645" t="s">
        <v>8</v>
      </c>
      <c r="L645" t="s">
        <v>8</v>
      </c>
      <c r="M645" t="s">
        <v>8</v>
      </c>
      <c r="N645" t="s">
        <v>2120</v>
      </c>
      <c r="O645" t="s">
        <v>389</v>
      </c>
      <c r="P645" t="s">
        <v>1</v>
      </c>
    </row>
    <row r="646" spans="1:16" x14ac:dyDescent="0.25">
      <c r="A646" t="s">
        <v>0</v>
      </c>
      <c r="B646" s="2">
        <v>44694</v>
      </c>
      <c r="C646" s="5" t="s">
        <v>77</v>
      </c>
      <c r="D646" t="s">
        <v>1201</v>
      </c>
      <c r="E646" t="s">
        <v>1202</v>
      </c>
      <c r="F646" t="s">
        <v>4</v>
      </c>
      <c r="G646" t="s">
        <v>5</v>
      </c>
      <c r="H646" s="3">
        <v>22.5</v>
      </c>
      <c r="I646" t="s">
        <v>2123</v>
      </c>
      <c r="J646" t="s">
        <v>680</v>
      </c>
      <c r="K646" t="s">
        <v>8</v>
      </c>
      <c r="L646" t="s">
        <v>8</v>
      </c>
      <c r="M646" t="s">
        <v>8</v>
      </c>
      <c r="N646" t="s">
        <v>1346</v>
      </c>
      <c r="O646" t="s">
        <v>389</v>
      </c>
      <c r="P646" t="s">
        <v>17</v>
      </c>
    </row>
    <row r="647" spans="1:16" x14ac:dyDescent="0.25">
      <c r="A647" t="s">
        <v>0</v>
      </c>
      <c r="B647" s="2">
        <v>44694</v>
      </c>
      <c r="C647" s="5" t="s">
        <v>77</v>
      </c>
      <c r="D647" t="s">
        <v>1373</v>
      </c>
      <c r="E647" t="s">
        <v>1374</v>
      </c>
      <c r="F647" t="s">
        <v>4</v>
      </c>
      <c r="G647" t="s">
        <v>5</v>
      </c>
      <c r="H647" s="3">
        <v>19.940000000000001</v>
      </c>
      <c r="I647" t="s">
        <v>2129</v>
      </c>
      <c r="J647" t="s">
        <v>1718</v>
      </c>
      <c r="K647" t="s">
        <v>8</v>
      </c>
      <c r="L647" t="s">
        <v>8</v>
      </c>
      <c r="M647" t="s">
        <v>8</v>
      </c>
      <c r="N647" t="s">
        <v>2032</v>
      </c>
      <c r="O647" t="s">
        <v>389</v>
      </c>
      <c r="P647" t="s">
        <v>17</v>
      </c>
    </row>
    <row r="648" spans="1:16" x14ac:dyDescent="0.25">
      <c r="A648" t="s">
        <v>0</v>
      </c>
      <c r="B648" s="2">
        <v>44695</v>
      </c>
      <c r="C648" s="5" t="s">
        <v>77</v>
      </c>
      <c r="D648" t="s">
        <v>1201</v>
      </c>
      <c r="E648" t="s">
        <v>1202</v>
      </c>
      <c r="F648" t="s">
        <v>4</v>
      </c>
      <c r="G648" t="s">
        <v>5</v>
      </c>
      <c r="H648" s="3">
        <v>360</v>
      </c>
      <c r="I648" t="s">
        <v>1634</v>
      </c>
      <c r="J648" t="s">
        <v>1204</v>
      </c>
      <c r="K648" t="s">
        <v>8</v>
      </c>
      <c r="L648" t="s">
        <v>8</v>
      </c>
      <c r="M648" t="s">
        <v>8</v>
      </c>
      <c r="N648" t="s">
        <v>1635</v>
      </c>
      <c r="O648" t="s">
        <v>389</v>
      </c>
      <c r="P648" t="s">
        <v>1</v>
      </c>
    </row>
    <row r="649" spans="1:16" x14ac:dyDescent="0.25">
      <c r="A649" t="s">
        <v>0</v>
      </c>
      <c r="B649" s="2">
        <v>44696</v>
      </c>
      <c r="C649" s="5" t="s">
        <v>77</v>
      </c>
      <c r="D649" t="s">
        <v>384</v>
      </c>
      <c r="E649" t="s">
        <v>385</v>
      </c>
      <c r="F649" t="s">
        <v>4</v>
      </c>
      <c r="G649" t="s">
        <v>5</v>
      </c>
      <c r="H649" s="3">
        <v>250</v>
      </c>
      <c r="I649" t="s">
        <v>1735</v>
      </c>
      <c r="J649" t="s">
        <v>1417</v>
      </c>
      <c r="K649" t="s">
        <v>8</v>
      </c>
      <c r="L649" t="s">
        <v>8</v>
      </c>
      <c r="M649" t="s">
        <v>8</v>
      </c>
      <c r="N649" t="s">
        <v>1736</v>
      </c>
      <c r="O649" t="s">
        <v>389</v>
      </c>
      <c r="P649" t="s">
        <v>1</v>
      </c>
    </row>
    <row r="650" spans="1:16" x14ac:dyDescent="0.25">
      <c r="A650" t="s">
        <v>0</v>
      </c>
      <c r="B650" s="2">
        <v>44697</v>
      </c>
      <c r="C650" s="5" t="s">
        <v>77</v>
      </c>
      <c r="D650" t="s">
        <v>2</v>
      </c>
      <c r="E650" t="s">
        <v>3</v>
      </c>
      <c r="F650" t="s">
        <v>4</v>
      </c>
      <c r="G650" t="s">
        <v>5</v>
      </c>
      <c r="H650" s="3">
        <v>2395.6</v>
      </c>
      <c r="I650" t="s">
        <v>902</v>
      </c>
      <c r="J650" t="s">
        <v>460</v>
      </c>
      <c r="K650" t="s">
        <v>8</v>
      </c>
      <c r="L650" t="s">
        <v>8</v>
      </c>
      <c r="M650" t="s">
        <v>8</v>
      </c>
      <c r="N650" t="s">
        <v>903</v>
      </c>
      <c r="O650" t="s">
        <v>29</v>
      </c>
      <c r="P650" t="s">
        <v>12</v>
      </c>
    </row>
    <row r="651" spans="1:16" x14ac:dyDescent="0.25">
      <c r="A651" t="s">
        <v>0</v>
      </c>
      <c r="B651" s="2">
        <v>44697</v>
      </c>
      <c r="C651" s="5" t="s">
        <v>77</v>
      </c>
      <c r="D651" t="s">
        <v>373</v>
      </c>
      <c r="E651" t="s">
        <v>374</v>
      </c>
      <c r="F651" t="s">
        <v>4</v>
      </c>
      <c r="G651" t="s">
        <v>5</v>
      </c>
      <c r="H651" s="3">
        <v>833.94</v>
      </c>
      <c r="I651" t="s">
        <v>1301</v>
      </c>
      <c r="J651" t="s">
        <v>1302</v>
      </c>
      <c r="K651" t="s">
        <v>8</v>
      </c>
      <c r="L651" t="s">
        <v>8</v>
      </c>
      <c r="M651" t="s">
        <v>8</v>
      </c>
      <c r="N651" t="s">
        <v>1306</v>
      </c>
      <c r="O651" t="s">
        <v>1307</v>
      </c>
      <c r="P651" t="s">
        <v>1304</v>
      </c>
    </row>
    <row r="652" spans="1:16" x14ac:dyDescent="0.25">
      <c r="A652" t="s">
        <v>0</v>
      </c>
      <c r="B652" s="2">
        <v>44698</v>
      </c>
      <c r="C652" s="5" t="s">
        <v>77</v>
      </c>
      <c r="D652" t="s">
        <v>1045</v>
      </c>
      <c r="E652" t="s">
        <v>1046</v>
      </c>
      <c r="F652" t="s">
        <v>4</v>
      </c>
      <c r="G652" t="s">
        <v>5</v>
      </c>
      <c r="H652" s="3">
        <v>1716.69</v>
      </c>
      <c r="I652" t="s">
        <v>1047</v>
      </c>
      <c r="J652" t="s">
        <v>1048</v>
      </c>
      <c r="K652" t="s">
        <v>8</v>
      </c>
      <c r="L652" t="s">
        <v>8</v>
      </c>
      <c r="M652" t="s">
        <v>8</v>
      </c>
      <c r="N652" t="s">
        <v>1049</v>
      </c>
      <c r="O652" t="s">
        <v>389</v>
      </c>
      <c r="P652" t="s">
        <v>12</v>
      </c>
    </row>
    <row r="653" spans="1:16" x14ac:dyDescent="0.25">
      <c r="A653" t="s">
        <v>0</v>
      </c>
      <c r="B653" s="2">
        <v>44698</v>
      </c>
      <c r="C653" s="5" t="s">
        <v>77</v>
      </c>
      <c r="D653" t="s">
        <v>1244</v>
      </c>
      <c r="E653" t="s">
        <v>1245</v>
      </c>
      <c r="F653" t="s">
        <v>4</v>
      </c>
      <c r="G653" t="s">
        <v>5</v>
      </c>
      <c r="H653" s="3">
        <v>900</v>
      </c>
      <c r="I653" t="s">
        <v>1256</v>
      </c>
      <c r="J653" t="s">
        <v>1257</v>
      </c>
      <c r="K653" t="s">
        <v>8</v>
      </c>
      <c r="L653" t="s">
        <v>8</v>
      </c>
      <c r="M653" t="s">
        <v>8</v>
      </c>
      <c r="N653" t="s">
        <v>1258</v>
      </c>
      <c r="O653" t="s">
        <v>16</v>
      </c>
      <c r="P653" t="s">
        <v>1</v>
      </c>
    </row>
    <row r="654" spans="1:16" x14ac:dyDescent="0.25">
      <c r="A654" t="s">
        <v>0</v>
      </c>
      <c r="B654" s="2">
        <v>44698</v>
      </c>
      <c r="C654" s="5" t="s">
        <v>77</v>
      </c>
      <c r="D654" t="s">
        <v>1045</v>
      </c>
      <c r="E654" t="s">
        <v>1046</v>
      </c>
      <c r="F654" t="s">
        <v>4</v>
      </c>
      <c r="G654" t="s">
        <v>5</v>
      </c>
      <c r="H654" s="3">
        <v>230</v>
      </c>
      <c r="I654" t="s">
        <v>1047</v>
      </c>
      <c r="J654" t="s">
        <v>1048</v>
      </c>
      <c r="K654" t="s">
        <v>8</v>
      </c>
      <c r="L654" t="s">
        <v>8</v>
      </c>
      <c r="M654" t="s">
        <v>8</v>
      </c>
      <c r="N654" t="s">
        <v>1049</v>
      </c>
      <c r="O654" t="s">
        <v>389</v>
      </c>
      <c r="P654" t="s">
        <v>43</v>
      </c>
    </row>
    <row r="655" spans="1:16" x14ac:dyDescent="0.25">
      <c r="A655" t="s">
        <v>0</v>
      </c>
      <c r="B655" s="2">
        <v>44698</v>
      </c>
      <c r="C655" s="5" t="s">
        <v>77</v>
      </c>
      <c r="D655" t="s">
        <v>1201</v>
      </c>
      <c r="E655" t="s">
        <v>1202</v>
      </c>
      <c r="F655" t="s">
        <v>4</v>
      </c>
      <c r="G655" t="s">
        <v>5</v>
      </c>
      <c r="H655" s="3">
        <v>151.19999999999999</v>
      </c>
      <c r="I655" t="s">
        <v>1847</v>
      </c>
      <c r="J655" t="s">
        <v>1048</v>
      </c>
      <c r="K655" t="s">
        <v>8</v>
      </c>
      <c r="L655" t="s">
        <v>8</v>
      </c>
      <c r="M655" t="s">
        <v>8</v>
      </c>
      <c r="N655" t="s">
        <v>1049</v>
      </c>
      <c r="O655" t="s">
        <v>389</v>
      </c>
      <c r="P655" t="s">
        <v>1</v>
      </c>
    </row>
    <row r="656" spans="1:16" x14ac:dyDescent="0.25">
      <c r="A656" t="s">
        <v>0</v>
      </c>
      <c r="B656" s="2">
        <v>44698</v>
      </c>
      <c r="C656" s="5" t="s">
        <v>77</v>
      </c>
      <c r="D656" t="s">
        <v>1045</v>
      </c>
      <c r="E656" t="s">
        <v>1046</v>
      </c>
      <c r="F656" t="s">
        <v>4</v>
      </c>
      <c r="G656" t="s">
        <v>5</v>
      </c>
      <c r="H656" s="3">
        <v>110</v>
      </c>
      <c r="I656" t="s">
        <v>1047</v>
      </c>
      <c r="J656" t="s">
        <v>1048</v>
      </c>
      <c r="K656" t="s">
        <v>8</v>
      </c>
      <c r="L656" t="s">
        <v>8</v>
      </c>
      <c r="M656" t="s">
        <v>8</v>
      </c>
      <c r="N656" t="s">
        <v>1049</v>
      </c>
      <c r="O656" t="s">
        <v>389</v>
      </c>
      <c r="P656" t="s">
        <v>17</v>
      </c>
    </row>
    <row r="657" spans="1:16" x14ac:dyDescent="0.25">
      <c r="A657" t="s">
        <v>0</v>
      </c>
      <c r="B657" s="2">
        <v>44699</v>
      </c>
      <c r="C657" s="5" t="s">
        <v>77</v>
      </c>
      <c r="D657" t="s">
        <v>2</v>
      </c>
      <c r="E657" t="s">
        <v>3</v>
      </c>
      <c r="F657" t="s">
        <v>4</v>
      </c>
      <c r="G657" t="s">
        <v>5</v>
      </c>
      <c r="H657" s="3">
        <v>9557.0499999999993</v>
      </c>
      <c r="I657" t="s">
        <v>466</v>
      </c>
      <c r="J657" t="s">
        <v>460</v>
      </c>
      <c r="K657" t="s">
        <v>8</v>
      </c>
      <c r="L657" t="s">
        <v>467</v>
      </c>
      <c r="M657" t="s">
        <v>8</v>
      </c>
      <c r="N657" t="s">
        <v>468</v>
      </c>
      <c r="O657" t="s">
        <v>29</v>
      </c>
      <c r="P657" t="s">
        <v>1</v>
      </c>
    </row>
    <row r="658" spans="1:16" x14ac:dyDescent="0.25">
      <c r="A658" t="s">
        <v>0</v>
      </c>
      <c r="B658" s="2">
        <v>44699</v>
      </c>
      <c r="C658" s="5" t="s">
        <v>77</v>
      </c>
      <c r="D658" t="s">
        <v>539</v>
      </c>
      <c r="E658" t="s">
        <v>540</v>
      </c>
      <c r="F658" t="s">
        <v>4</v>
      </c>
      <c r="G658" t="s">
        <v>5</v>
      </c>
      <c r="H658" s="3">
        <v>8135.89</v>
      </c>
      <c r="I658" t="s">
        <v>541</v>
      </c>
      <c r="J658" t="s">
        <v>542</v>
      </c>
      <c r="K658" t="s">
        <v>8</v>
      </c>
      <c r="L658" t="s">
        <v>545</v>
      </c>
      <c r="M658" t="s">
        <v>8</v>
      </c>
      <c r="N658" t="s">
        <v>546</v>
      </c>
      <c r="O658" t="s">
        <v>16</v>
      </c>
      <c r="P658" t="s">
        <v>12</v>
      </c>
    </row>
    <row r="659" spans="1:16" x14ac:dyDescent="0.25">
      <c r="A659" t="s">
        <v>0</v>
      </c>
      <c r="B659" s="2">
        <v>44699</v>
      </c>
      <c r="C659" s="5" t="s">
        <v>77</v>
      </c>
      <c r="D659" t="s">
        <v>539</v>
      </c>
      <c r="E659" t="s">
        <v>540</v>
      </c>
      <c r="F659" t="s">
        <v>4</v>
      </c>
      <c r="G659" t="s">
        <v>5</v>
      </c>
      <c r="H659" s="3">
        <v>3483.6</v>
      </c>
      <c r="I659" t="s">
        <v>778</v>
      </c>
      <c r="J659" t="s">
        <v>542</v>
      </c>
      <c r="K659" t="s">
        <v>8</v>
      </c>
      <c r="L659" t="s">
        <v>779</v>
      </c>
      <c r="M659" t="s">
        <v>8</v>
      </c>
      <c r="N659" t="s">
        <v>780</v>
      </c>
      <c r="O659" t="s">
        <v>16</v>
      </c>
      <c r="P659" t="s">
        <v>12</v>
      </c>
    </row>
    <row r="660" spans="1:16" x14ac:dyDescent="0.25">
      <c r="A660" t="s">
        <v>0</v>
      </c>
      <c r="B660" s="2">
        <v>44699</v>
      </c>
      <c r="C660" s="5" t="s">
        <v>77</v>
      </c>
      <c r="D660" t="s">
        <v>1244</v>
      </c>
      <c r="E660" t="s">
        <v>1245</v>
      </c>
      <c r="F660" t="s">
        <v>4</v>
      </c>
      <c r="G660" t="s">
        <v>5</v>
      </c>
      <c r="H660" s="3">
        <v>900</v>
      </c>
      <c r="I660" t="s">
        <v>1259</v>
      </c>
      <c r="J660" t="s">
        <v>1257</v>
      </c>
      <c r="K660" t="s">
        <v>8</v>
      </c>
      <c r="L660" t="s">
        <v>8</v>
      </c>
      <c r="M660" t="s">
        <v>8</v>
      </c>
      <c r="N660" t="s">
        <v>1260</v>
      </c>
      <c r="O660" t="s">
        <v>29</v>
      </c>
      <c r="P660" t="s">
        <v>1</v>
      </c>
    </row>
    <row r="661" spans="1:16" x14ac:dyDescent="0.25">
      <c r="A661" t="s">
        <v>0</v>
      </c>
      <c r="B661" s="2">
        <v>44699</v>
      </c>
      <c r="C661" s="5" t="s">
        <v>77</v>
      </c>
      <c r="D661" t="s">
        <v>1373</v>
      </c>
      <c r="E661" t="s">
        <v>1374</v>
      </c>
      <c r="F661" t="s">
        <v>4</v>
      </c>
      <c r="G661" t="s">
        <v>5</v>
      </c>
      <c r="H661" s="3">
        <v>22.93</v>
      </c>
      <c r="I661" t="s">
        <v>2121</v>
      </c>
      <c r="J661" t="s">
        <v>1414</v>
      </c>
      <c r="K661" t="s">
        <v>8</v>
      </c>
      <c r="L661" t="s">
        <v>8</v>
      </c>
      <c r="M661" t="s">
        <v>8</v>
      </c>
      <c r="N661" t="s">
        <v>2122</v>
      </c>
      <c r="O661" t="s">
        <v>389</v>
      </c>
      <c r="P661" t="s">
        <v>1</v>
      </c>
    </row>
    <row r="662" spans="1:16" x14ac:dyDescent="0.25">
      <c r="A662" t="s">
        <v>0</v>
      </c>
      <c r="B662" s="2">
        <v>44700</v>
      </c>
      <c r="C662" s="5" t="s">
        <v>77</v>
      </c>
      <c r="D662" t="s">
        <v>384</v>
      </c>
      <c r="E662" t="s">
        <v>385</v>
      </c>
      <c r="F662" t="s">
        <v>4</v>
      </c>
      <c r="G662" t="s">
        <v>5</v>
      </c>
      <c r="H662" s="3">
        <v>2389.96</v>
      </c>
      <c r="I662" t="s">
        <v>904</v>
      </c>
      <c r="J662" t="s">
        <v>387</v>
      </c>
      <c r="K662" t="s">
        <v>8</v>
      </c>
      <c r="L662" t="s">
        <v>8</v>
      </c>
      <c r="M662" t="s">
        <v>8</v>
      </c>
      <c r="N662" t="s">
        <v>905</v>
      </c>
      <c r="O662" t="s">
        <v>389</v>
      </c>
      <c r="P662" t="s">
        <v>12</v>
      </c>
    </row>
    <row r="663" spans="1:16" x14ac:dyDescent="0.25">
      <c r="A663" t="s">
        <v>0</v>
      </c>
      <c r="B663" s="2">
        <v>44700</v>
      </c>
      <c r="C663" s="5" t="s">
        <v>77</v>
      </c>
      <c r="D663" t="s">
        <v>1517</v>
      </c>
      <c r="E663" t="s">
        <v>1518</v>
      </c>
      <c r="F663" t="s">
        <v>4</v>
      </c>
      <c r="G663" t="s">
        <v>5</v>
      </c>
      <c r="H663" s="3">
        <v>438.9</v>
      </c>
      <c r="I663" t="s">
        <v>1532</v>
      </c>
      <c r="J663" t="s">
        <v>1520</v>
      </c>
      <c r="K663" t="s">
        <v>8</v>
      </c>
      <c r="L663" t="s">
        <v>1533</v>
      </c>
      <c r="M663" t="s">
        <v>8</v>
      </c>
      <c r="N663" t="s">
        <v>1534</v>
      </c>
      <c r="O663" t="s">
        <v>16</v>
      </c>
      <c r="P663" t="s">
        <v>1</v>
      </c>
    </row>
    <row r="664" spans="1:16" x14ac:dyDescent="0.25">
      <c r="A664" t="s">
        <v>0</v>
      </c>
      <c r="B664" s="2">
        <v>44700</v>
      </c>
      <c r="C664" s="5" t="s">
        <v>77</v>
      </c>
      <c r="D664" t="s">
        <v>1597</v>
      </c>
      <c r="E664" t="s">
        <v>1598</v>
      </c>
      <c r="F664" t="s">
        <v>4</v>
      </c>
      <c r="G664" t="s">
        <v>5</v>
      </c>
      <c r="H664" s="3">
        <v>246.9</v>
      </c>
      <c r="I664" t="s">
        <v>1739</v>
      </c>
      <c r="J664" t="s">
        <v>387</v>
      </c>
      <c r="K664" t="s">
        <v>8</v>
      </c>
      <c r="L664" t="s">
        <v>8</v>
      </c>
      <c r="M664" t="s">
        <v>8</v>
      </c>
      <c r="N664" t="s">
        <v>905</v>
      </c>
      <c r="O664" t="s">
        <v>389</v>
      </c>
      <c r="P664" t="s">
        <v>246</v>
      </c>
    </row>
    <row r="665" spans="1:16" x14ac:dyDescent="0.25">
      <c r="A665" t="s">
        <v>0</v>
      </c>
      <c r="B665" s="2">
        <v>44700</v>
      </c>
      <c r="C665" s="5" t="s">
        <v>77</v>
      </c>
      <c r="D665" t="s">
        <v>384</v>
      </c>
      <c r="E665" t="s">
        <v>385</v>
      </c>
      <c r="F665" t="s">
        <v>4</v>
      </c>
      <c r="G665" t="s">
        <v>5</v>
      </c>
      <c r="H665" s="3">
        <v>149.80000000000001</v>
      </c>
      <c r="I665" t="s">
        <v>1853</v>
      </c>
      <c r="J665" t="s">
        <v>387</v>
      </c>
      <c r="K665" t="s">
        <v>8</v>
      </c>
      <c r="L665" t="s">
        <v>8</v>
      </c>
      <c r="M665" t="s">
        <v>8</v>
      </c>
      <c r="N665" t="s">
        <v>905</v>
      </c>
      <c r="O665" t="s">
        <v>389</v>
      </c>
      <c r="P665" t="s">
        <v>22</v>
      </c>
    </row>
    <row r="666" spans="1:16" x14ac:dyDescent="0.25">
      <c r="A666" t="s">
        <v>0</v>
      </c>
      <c r="B666" s="2">
        <v>44700</v>
      </c>
      <c r="C666" s="5" t="s">
        <v>77</v>
      </c>
      <c r="D666" t="s">
        <v>384</v>
      </c>
      <c r="E666" t="s">
        <v>385</v>
      </c>
      <c r="F666" t="s">
        <v>4</v>
      </c>
      <c r="G666" t="s">
        <v>5</v>
      </c>
      <c r="H666" s="3">
        <v>137.11000000000001</v>
      </c>
      <c r="I666" t="s">
        <v>1869</v>
      </c>
      <c r="J666" t="s">
        <v>387</v>
      </c>
      <c r="K666" t="s">
        <v>8</v>
      </c>
      <c r="L666" t="s">
        <v>8</v>
      </c>
      <c r="M666" t="s">
        <v>8</v>
      </c>
      <c r="N666" t="s">
        <v>905</v>
      </c>
      <c r="O666" t="s">
        <v>389</v>
      </c>
      <c r="P666" t="s">
        <v>82</v>
      </c>
    </row>
    <row r="667" spans="1:16" x14ac:dyDescent="0.25">
      <c r="A667" t="s">
        <v>0</v>
      </c>
      <c r="B667" s="2">
        <v>44700</v>
      </c>
      <c r="C667" s="5" t="s">
        <v>77</v>
      </c>
      <c r="D667" t="s">
        <v>1551</v>
      </c>
      <c r="E667" t="s">
        <v>1552</v>
      </c>
      <c r="F667" t="s">
        <v>4</v>
      </c>
      <c r="G667" t="s">
        <v>5</v>
      </c>
      <c r="H667" s="3">
        <v>69.64</v>
      </c>
      <c r="I667" t="s">
        <v>1739</v>
      </c>
      <c r="J667" t="s">
        <v>387</v>
      </c>
      <c r="K667" t="s">
        <v>8</v>
      </c>
      <c r="L667" t="s">
        <v>8</v>
      </c>
      <c r="M667" t="s">
        <v>8</v>
      </c>
      <c r="N667" t="s">
        <v>905</v>
      </c>
      <c r="O667" t="s">
        <v>389</v>
      </c>
      <c r="P667" t="s">
        <v>30</v>
      </c>
    </row>
    <row r="668" spans="1:16" x14ac:dyDescent="0.25">
      <c r="A668" t="s">
        <v>0</v>
      </c>
      <c r="B668" s="2">
        <v>44700</v>
      </c>
      <c r="C668" s="5" t="s">
        <v>77</v>
      </c>
      <c r="D668" t="s">
        <v>1597</v>
      </c>
      <c r="E668" t="s">
        <v>1598</v>
      </c>
      <c r="F668" t="s">
        <v>4</v>
      </c>
      <c r="G668" t="s">
        <v>5</v>
      </c>
      <c r="H668" s="3">
        <v>33</v>
      </c>
      <c r="I668" t="s">
        <v>2084</v>
      </c>
      <c r="J668" t="s">
        <v>387</v>
      </c>
      <c r="K668" t="s">
        <v>8</v>
      </c>
      <c r="L668" t="s">
        <v>8</v>
      </c>
      <c r="M668" t="s">
        <v>8</v>
      </c>
      <c r="N668" t="s">
        <v>905</v>
      </c>
      <c r="O668" t="s">
        <v>389</v>
      </c>
      <c r="P668" t="s">
        <v>289</v>
      </c>
    </row>
    <row r="669" spans="1:16" x14ac:dyDescent="0.25">
      <c r="A669" t="s">
        <v>0</v>
      </c>
      <c r="B669" s="2">
        <v>44700</v>
      </c>
      <c r="C669" s="5" t="s">
        <v>77</v>
      </c>
      <c r="D669" t="s">
        <v>384</v>
      </c>
      <c r="E669" t="s">
        <v>385</v>
      </c>
      <c r="F669" t="s">
        <v>4</v>
      </c>
      <c r="G669" t="s">
        <v>5</v>
      </c>
      <c r="H669" s="3">
        <v>30.22</v>
      </c>
      <c r="I669" t="s">
        <v>2089</v>
      </c>
      <c r="J669" t="s">
        <v>387</v>
      </c>
      <c r="K669" t="s">
        <v>8</v>
      </c>
      <c r="L669" t="s">
        <v>8</v>
      </c>
      <c r="M669" t="s">
        <v>8</v>
      </c>
      <c r="N669" t="s">
        <v>905</v>
      </c>
      <c r="O669" t="s">
        <v>389</v>
      </c>
      <c r="P669" t="s">
        <v>72</v>
      </c>
    </row>
    <row r="670" spans="1:16" x14ac:dyDescent="0.25">
      <c r="A670" t="s">
        <v>0</v>
      </c>
      <c r="B670" s="2">
        <v>44700</v>
      </c>
      <c r="C670" s="5" t="s">
        <v>77</v>
      </c>
      <c r="D670" t="s">
        <v>384</v>
      </c>
      <c r="E670" t="s">
        <v>385</v>
      </c>
      <c r="F670" t="s">
        <v>4</v>
      </c>
      <c r="G670" t="s">
        <v>5</v>
      </c>
      <c r="H670" s="3">
        <v>4</v>
      </c>
      <c r="I670" t="s">
        <v>1739</v>
      </c>
      <c r="J670" t="s">
        <v>387</v>
      </c>
      <c r="K670" t="s">
        <v>8</v>
      </c>
      <c r="L670" t="s">
        <v>8</v>
      </c>
      <c r="M670" t="s">
        <v>8</v>
      </c>
      <c r="N670" t="s">
        <v>905</v>
      </c>
      <c r="O670" t="s">
        <v>389</v>
      </c>
      <c r="P670" t="s">
        <v>77</v>
      </c>
    </row>
    <row r="671" spans="1:16" x14ac:dyDescent="0.25">
      <c r="A671" t="s">
        <v>0</v>
      </c>
      <c r="B671" s="2">
        <v>44700</v>
      </c>
      <c r="C671" s="5" t="s">
        <v>77</v>
      </c>
      <c r="D671" t="s">
        <v>384</v>
      </c>
      <c r="E671" t="s">
        <v>385</v>
      </c>
      <c r="F671" t="s">
        <v>4</v>
      </c>
      <c r="G671" t="s">
        <v>5</v>
      </c>
      <c r="H671" s="3">
        <v>4</v>
      </c>
      <c r="I671" t="s">
        <v>1739</v>
      </c>
      <c r="J671" t="s">
        <v>387</v>
      </c>
      <c r="K671" t="s">
        <v>8</v>
      </c>
      <c r="L671" t="s">
        <v>8</v>
      </c>
      <c r="M671" t="s">
        <v>8</v>
      </c>
      <c r="N671" t="s">
        <v>905</v>
      </c>
      <c r="O671" t="s">
        <v>389</v>
      </c>
      <c r="P671" t="s">
        <v>43</v>
      </c>
    </row>
    <row r="672" spans="1:16" x14ac:dyDescent="0.25">
      <c r="A672" t="s">
        <v>0</v>
      </c>
      <c r="B672" s="2">
        <v>44701</v>
      </c>
      <c r="C672" s="5" t="s">
        <v>77</v>
      </c>
      <c r="D672" t="s">
        <v>47</v>
      </c>
      <c r="E672" t="s">
        <v>48</v>
      </c>
      <c r="F672" t="s">
        <v>4</v>
      </c>
      <c r="G672" t="s">
        <v>5</v>
      </c>
      <c r="H672" s="3">
        <v>1784.7</v>
      </c>
      <c r="I672" t="s">
        <v>1017</v>
      </c>
      <c r="J672" t="s">
        <v>1011</v>
      </c>
      <c r="K672" t="s">
        <v>8</v>
      </c>
      <c r="L672" t="s">
        <v>1018</v>
      </c>
      <c r="M672" t="s">
        <v>8</v>
      </c>
      <c r="N672" t="s">
        <v>1019</v>
      </c>
      <c r="O672" t="s">
        <v>16</v>
      </c>
      <c r="P672" t="s">
        <v>1</v>
      </c>
    </row>
    <row r="673" spans="1:16" x14ac:dyDescent="0.25">
      <c r="A673" t="s">
        <v>0</v>
      </c>
      <c r="B673" s="2">
        <v>44701</v>
      </c>
      <c r="C673" s="5" t="s">
        <v>77</v>
      </c>
      <c r="D673" t="s">
        <v>2</v>
      </c>
      <c r="E673" t="s">
        <v>3</v>
      </c>
      <c r="F673" t="s">
        <v>4</v>
      </c>
      <c r="G673" t="s">
        <v>5</v>
      </c>
      <c r="H673" s="3">
        <v>319.68</v>
      </c>
      <c r="I673" t="s">
        <v>1685</v>
      </c>
      <c r="J673" t="s">
        <v>1605</v>
      </c>
      <c r="K673" t="s">
        <v>8</v>
      </c>
      <c r="L673" t="s">
        <v>1686</v>
      </c>
      <c r="M673" t="s">
        <v>8</v>
      </c>
      <c r="N673" t="s">
        <v>1687</v>
      </c>
      <c r="O673" t="s">
        <v>16</v>
      </c>
      <c r="P673" t="s">
        <v>1</v>
      </c>
    </row>
    <row r="674" spans="1:16" x14ac:dyDescent="0.25">
      <c r="A674" t="s">
        <v>0</v>
      </c>
      <c r="B674" s="2">
        <v>44704</v>
      </c>
      <c r="C674" s="5" t="s">
        <v>77</v>
      </c>
      <c r="D674" t="s">
        <v>390</v>
      </c>
      <c r="E674" t="s">
        <v>391</v>
      </c>
      <c r="F674" t="s">
        <v>4</v>
      </c>
      <c r="G674" t="s">
        <v>5</v>
      </c>
      <c r="H674" s="3">
        <v>3211.57</v>
      </c>
      <c r="I674" t="s">
        <v>808</v>
      </c>
      <c r="J674" t="s">
        <v>809</v>
      </c>
      <c r="K674" t="s">
        <v>8</v>
      </c>
      <c r="L674" t="s">
        <v>810</v>
      </c>
      <c r="M674" t="s">
        <v>8</v>
      </c>
      <c r="N674" t="s">
        <v>811</v>
      </c>
      <c r="O674" t="s">
        <v>524</v>
      </c>
      <c r="P674" t="s">
        <v>1</v>
      </c>
    </row>
    <row r="675" spans="1:16" x14ac:dyDescent="0.25">
      <c r="A675" t="s">
        <v>0</v>
      </c>
      <c r="B675" s="2">
        <v>44704</v>
      </c>
      <c r="C675" s="5" t="s">
        <v>77</v>
      </c>
      <c r="D675" t="s">
        <v>152</v>
      </c>
      <c r="E675" t="s">
        <v>153</v>
      </c>
      <c r="F675" t="s">
        <v>4</v>
      </c>
      <c r="G675" t="s">
        <v>5</v>
      </c>
      <c r="H675" s="3">
        <v>944.63</v>
      </c>
      <c r="I675" t="s">
        <v>1230</v>
      </c>
      <c r="J675" t="s">
        <v>153</v>
      </c>
      <c r="K675" t="s">
        <v>8</v>
      </c>
      <c r="L675" t="s">
        <v>8</v>
      </c>
      <c r="M675" t="s">
        <v>8</v>
      </c>
      <c r="N675" t="s">
        <v>1231</v>
      </c>
      <c r="O675" t="s">
        <v>1054</v>
      </c>
      <c r="P675" t="s">
        <v>370</v>
      </c>
    </row>
    <row r="676" spans="1:16" x14ac:dyDescent="0.25">
      <c r="A676" t="s">
        <v>0</v>
      </c>
      <c r="B676" s="2">
        <v>44704</v>
      </c>
      <c r="C676" s="5" t="s">
        <v>77</v>
      </c>
      <c r="D676" t="s">
        <v>1207</v>
      </c>
      <c r="E676" t="s">
        <v>1208</v>
      </c>
      <c r="F676" t="s">
        <v>4</v>
      </c>
      <c r="G676" t="s">
        <v>5</v>
      </c>
      <c r="H676" s="3">
        <v>715.96</v>
      </c>
      <c r="I676" t="s">
        <v>1369</v>
      </c>
      <c r="J676" t="s">
        <v>153</v>
      </c>
      <c r="K676" t="s">
        <v>8</v>
      </c>
      <c r="L676" t="s">
        <v>8</v>
      </c>
      <c r="M676" t="s">
        <v>8</v>
      </c>
      <c r="N676" t="s">
        <v>1231</v>
      </c>
      <c r="O676" t="s">
        <v>1054</v>
      </c>
      <c r="P676" t="s">
        <v>198</v>
      </c>
    </row>
    <row r="677" spans="1:16" x14ac:dyDescent="0.25">
      <c r="A677" t="s">
        <v>0</v>
      </c>
      <c r="B677" s="2">
        <v>44704</v>
      </c>
      <c r="C677" s="5" t="s">
        <v>77</v>
      </c>
      <c r="D677" t="s">
        <v>1155</v>
      </c>
      <c r="E677" t="s">
        <v>1156</v>
      </c>
      <c r="F677" t="s">
        <v>4</v>
      </c>
      <c r="G677" t="s">
        <v>5</v>
      </c>
      <c r="H677" s="3">
        <v>286</v>
      </c>
      <c r="I677" t="s">
        <v>1714</v>
      </c>
      <c r="J677" t="s">
        <v>322</v>
      </c>
      <c r="K677" t="s">
        <v>8</v>
      </c>
      <c r="L677" t="s">
        <v>8</v>
      </c>
      <c r="M677" t="s">
        <v>8</v>
      </c>
      <c r="N677" t="s">
        <v>1715</v>
      </c>
      <c r="O677" t="s">
        <v>1363</v>
      </c>
      <c r="P677" t="s">
        <v>30</v>
      </c>
    </row>
    <row r="678" spans="1:16" x14ac:dyDescent="0.25">
      <c r="A678" t="s">
        <v>0</v>
      </c>
      <c r="B678" s="2">
        <v>44704</v>
      </c>
      <c r="C678" s="5" t="s">
        <v>77</v>
      </c>
      <c r="D678" t="s">
        <v>390</v>
      </c>
      <c r="E678" t="s">
        <v>391</v>
      </c>
      <c r="F678" t="s">
        <v>4</v>
      </c>
      <c r="G678" t="s">
        <v>5</v>
      </c>
      <c r="H678" s="3">
        <v>69.03</v>
      </c>
      <c r="I678" t="s">
        <v>1991</v>
      </c>
      <c r="J678" t="s">
        <v>809</v>
      </c>
      <c r="K678" t="s">
        <v>8</v>
      </c>
      <c r="L678" t="s">
        <v>810</v>
      </c>
      <c r="M678" t="s">
        <v>8</v>
      </c>
      <c r="N678" t="s">
        <v>811</v>
      </c>
      <c r="O678" t="s">
        <v>524</v>
      </c>
      <c r="P678" t="s">
        <v>30</v>
      </c>
    </row>
    <row r="679" spans="1:16" x14ac:dyDescent="0.25">
      <c r="A679" t="s">
        <v>0</v>
      </c>
      <c r="B679" s="2">
        <v>44705</v>
      </c>
      <c r="C679" s="5" t="s">
        <v>77</v>
      </c>
      <c r="D679" t="s">
        <v>969</v>
      </c>
      <c r="E679" t="s">
        <v>970</v>
      </c>
      <c r="F679" t="s">
        <v>4</v>
      </c>
      <c r="G679" t="s">
        <v>5</v>
      </c>
      <c r="H679" s="3">
        <v>1882.92</v>
      </c>
      <c r="I679" t="s">
        <v>986</v>
      </c>
      <c r="J679" t="s">
        <v>972</v>
      </c>
      <c r="K679" t="s">
        <v>8</v>
      </c>
      <c r="L679" t="s">
        <v>8</v>
      </c>
      <c r="M679" t="s">
        <v>8</v>
      </c>
      <c r="N679" t="s">
        <v>987</v>
      </c>
      <c r="O679" t="s">
        <v>974</v>
      </c>
      <c r="P679" t="s">
        <v>342</v>
      </c>
    </row>
    <row r="680" spans="1:16" x14ac:dyDescent="0.25">
      <c r="A680" t="s">
        <v>0</v>
      </c>
      <c r="B680" s="2">
        <v>44705</v>
      </c>
      <c r="C680" s="5" t="s">
        <v>77</v>
      </c>
      <c r="D680" t="s">
        <v>152</v>
      </c>
      <c r="E680" t="s">
        <v>153</v>
      </c>
      <c r="F680" t="s">
        <v>4</v>
      </c>
      <c r="G680" t="s">
        <v>5</v>
      </c>
      <c r="H680" s="3">
        <v>737.1</v>
      </c>
      <c r="I680" t="s">
        <v>1361</v>
      </c>
      <c r="J680" t="s">
        <v>153</v>
      </c>
      <c r="K680" t="s">
        <v>8</v>
      </c>
      <c r="L680" t="s">
        <v>8</v>
      </c>
      <c r="M680" t="s">
        <v>8</v>
      </c>
      <c r="N680" t="s">
        <v>1362</v>
      </c>
      <c r="O680" t="s">
        <v>1363</v>
      </c>
      <c r="P680" t="s">
        <v>190</v>
      </c>
    </row>
    <row r="681" spans="1:16" x14ac:dyDescent="0.25">
      <c r="A681" t="s">
        <v>0</v>
      </c>
      <c r="B681" s="2">
        <v>44705</v>
      </c>
      <c r="C681" s="5" t="s">
        <v>77</v>
      </c>
      <c r="D681" t="s">
        <v>861</v>
      </c>
      <c r="E681" t="s">
        <v>862</v>
      </c>
      <c r="F681" t="s">
        <v>4</v>
      </c>
      <c r="G681" t="s">
        <v>5</v>
      </c>
      <c r="H681" s="3">
        <v>423.8</v>
      </c>
      <c r="I681" t="s">
        <v>1561</v>
      </c>
      <c r="J681" t="s">
        <v>1558</v>
      </c>
      <c r="K681" t="s">
        <v>8</v>
      </c>
      <c r="L681" t="s">
        <v>1562</v>
      </c>
      <c r="M681" t="s">
        <v>8</v>
      </c>
      <c r="N681" t="s">
        <v>1563</v>
      </c>
      <c r="O681" t="s">
        <v>16</v>
      </c>
      <c r="P681" t="s">
        <v>1</v>
      </c>
    </row>
    <row r="682" spans="1:16" x14ac:dyDescent="0.25">
      <c r="A682" t="s">
        <v>0</v>
      </c>
      <c r="B682" s="2">
        <v>44705</v>
      </c>
      <c r="C682" s="5" t="s">
        <v>77</v>
      </c>
      <c r="D682" t="s">
        <v>861</v>
      </c>
      <c r="E682" t="s">
        <v>862</v>
      </c>
      <c r="F682" t="s">
        <v>4</v>
      </c>
      <c r="G682" t="s">
        <v>5</v>
      </c>
      <c r="H682" s="3">
        <v>423.8</v>
      </c>
      <c r="I682" t="s">
        <v>1564</v>
      </c>
      <c r="J682" t="s">
        <v>1558</v>
      </c>
      <c r="K682" t="s">
        <v>8</v>
      </c>
      <c r="L682" t="s">
        <v>1565</v>
      </c>
      <c r="M682" t="s">
        <v>8</v>
      </c>
      <c r="N682" t="s">
        <v>1566</v>
      </c>
      <c r="O682" t="s">
        <v>16</v>
      </c>
      <c r="P682" t="s">
        <v>1</v>
      </c>
    </row>
    <row r="683" spans="1:16" x14ac:dyDescent="0.25">
      <c r="A683" t="s">
        <v>0</v>
      </c>
      <c r="B683" s="2">
        <v>44705</v>
      </c>
      <c r="C683" s="5" t="s">
        <v>77</v>
      </c>
      <c r="D683" t="s">
        <v>969</v>
      </c>
      <c r="E683" t="s">
        <v>970</v>
      </c>
      <c r="F683" t="s">
        <v>4</v>
      </c>
      <c r="G683" t="s">
        <v>5</v>
      </c>
      <c r="H683" s="3">
        <v>420.36</v>
      </c>
      <c r="I683" t="s">
        <v>1579</v>
      </c>
      <c r="J683" t="s">
        <v>1483</v>
      </c>
      <c r="K683" t="s">
        <v>8</v>
      </c>
      <c r="L683" t="s">
        <v>8</v>
      </c>
      <c r="M683" t="s">
        <v>8</v>
      </c>
      <c r="N683" t="s">
        <v>1580</v>
      </c>
      <c r="O683" t="s">
        <v>974</v>
      </c>
      <c r="P683" t="s">
        <v>1</v>
      </c>
    </row>
    <row r="684" spans="1:16" x14ac:dyDescent="0.25">
      <c r="A684" t="s">
        <v>0</v>
      </c>
      <c r="B684" s="2">
        <v>44705</v>
      </c>
      <c r="C684" s="5" t="s">
        <v>77</v>
      </c>
      <c r="D684" t="s">
        <v>861</v>
      </c>
      <c r="E684" t="s">
        <v>862</v>
      </c>
      <c r="F684" t="s">
        <v>4</v>
      </c>
      <c r="G684" t="s">
        <v>5</v>
      </c>
      <c r="H684" s="3">
        <v>389.6</v>
      </c>
      <c r="I684" t="s">
        <v>1561</v>
      </c>
      <c r="J684" t="s">
        <v>1558</v>
      </c>
      <c r="K684" t="s">
        <v>8</v>
      </c>
      <c r="L684" t="s">
        <v>1562</v>
      </c>
      <c r="M684" t="s">
        <v>8</v>
      </c>
      <c r="N684" t="s">
        <v>1563</v>
      </c>
      <c r="O684" t="s">
        <v>16</v>
      </c>
      <c r="P684" t="s">
        <v>17</v>
      </c>
    </row>
    <row r="685" spans="1:16" x14ac:dyDescent="0.25">
      <c r="A685" t="s">
        <v>0</v>
      </c>
      <c r="B685" s="2">
        <v>44705</v>
      </c>
      <c r="C685" s="5" t="s">
        <v>77</v>
      </c>
      <c r="D685" t="s">
        <v>861</v>
      </c>
      <c r="E685" t="s">
        <v>862</v>
      </c>
      <c r="F685" t="s">
        <v>4</v>
      </c>
      <c r="G685" t="s">
        <v>5</v>
      </c>
      <c r="H685" s="3">
        <v>389.6</v>
      </c>
      <c r="I685" t="s">
        <v>1564</v>
      </c>
      <c r="J685" t="s">
        <v>1558</v>
      </c>
      <c r="K685" t="s">
        <v>8</v>
      </c>
      <c r="L685" t="s">
        <v>1565</v>
      </c>
      <c r="M685" t="s">
        <v>8</v>
      </c>
      <c r="N685" t="s">
        <v>1566</v>
      </c>
      <c r="O685" t="s">
        <v>16</v>
      </c>
      <c r="P685" t="s">
        <v>17</v>
      </c>
    </row>
    <row r="686" spans="1:16" x14ac:dyDescent="0.25">
      <c r="A686" t="s">
        <v>0</v>
      </c>
      <c r="B686" s="2">
        <v>44705</v>
      </c>
      <c r="C686" s="5" t="s">
        <v>77</v>
      </c>
      <c r="D686" t="s">
        <v>152</v>
      </c>
      <c r="E686" t="s">
        <v>153</v>
      </c>
      <c r="F686" t="s">
        <v>4</v>
      </c>
      <c r="G686" t="s">
        <v>5</v>
      </c>
      <c r="H686" s="3">
        <v>233.28</v>
      </c>
      <c r="I686" t="s">
        <v>1751</v>
      </c>
      <c r="J686" t="s">
        <v>153</v>
      </c>
      <c r="K686" t="s">
        <v>8</v>
      </c>
      <c r="L686" t="s">
        <v>8</v>
      </c>
      <c r="M686" t="s">
        <v>8</v>
      </c>
      <c r="N686" t="s">
        <v>1362</v>
      </c>
      <c r="O686" t="s">
        <v>1363</v>
      </c>
      <c r="P686" t="s">
        <v>246</v>
      </c>
    </row>
    <row r="687" spans="1:16" x14ac:dyDescent="0.25">
      <c r="A687" t="s">
        <v>0</v>
      </c>
      <c r="B687" s="2">
        <v>44705</v>
      </c>
      <c r="C687" s="5" t="s">
        <v>77</v>
      </c>
      <c r="D687" t="s">
        <v>861</v>
      </c>
      <c r="E687" t="s">
        <v>862</v>
      </c>
      <c r="F687" t="s">
        <v>4</v>
      </c>
      <c r="G687" t="s">
        <v>5</v>
      </c>
      <c r="H687" s="3">
        <v>218</v>
      </c>
      <c r="I687" t="s">
        <v>1561</v>
      </c>
      <c r="J687" t="s">
        <v>1558</v>
      </c>
      <c r="K687" t="s">
        <v>8</v>
      </c>
      <c r="L687" t="s">
        <v>1562</v>
      </c>
      <c r="M687" t="s">
        <v>8</v>
      </c>
      <c r="N687" t="s">
        <v>1563</v>
      </c>
      <c r="O687" t="s">
        <v>16</v>
      </c>
      <c r="P687" t="s">
        <v>12</v>
      </c>
    </row>
    <row r="688" spans="1:16" x14ac:dyDescent="0.25">
      <c r="A688" t="s">
        <v>0</v>
      </c>
      <c r="B688" s="2">
        <v>44705</v>
      </c>
      <c r="C688" s="5" t="s">
        <v>77</v>
      </c>
      <c r="D688" t="s">
        <v>861</v>
      </c>
      <c r="E688" t="s">
        <v>862</v>
      </c>
      <c r="F688" t="s">
        <v>4</v>
      </c>
      <c r="G688" t="s">
        <v>5</v>
      </c>
      <c r="H688" s="3">
        <v>218</v>
      </c>
      <c r="I688" t="s">
        <v>1564</v>
      </c>
      <c r="J688" t="s">
        <v>1558</v>
      </c>
      <c r="K688" t="s">
        <v>8</v>
      </c>
      <c r="L688" t="s">
        <v>1565</v>
      </c>
      <c r="M688" t="s">
        <v>8</v>
      </c>
      <c r="N688" t="s">
        <v>1566</v>
      </c>
      <c r="O688" t="s">
        <v>16</v>
      </c>
      <c r="P688" t="s">
        <v>12</v>
      </c>
    </row>
    <row r="689" spans="1:16" x14ac:dyDescent="0.25">
      <c r="A689" t="s">
        <v>0</v>
      </c>
      <c r="B689" s="2">
        <v>44705</v>
      </c>
      <c r="C689" s="5" t="s">
        <v>77</v>
      </c>
      <c r="D689" t="s">
        <v>861</v>
      </c>
      <c r="E689" t="s">
        <v>862</v>
      </c>
      <c r="F689" t="s">
        <v>4</v>
      </c>
      <c r="G689" t="s">
        <v>5</v>
      </c>
      <c r="H689" s="3">
        <v>201.52</v>
      </c>
      <c r="I689" t="s">
        <v>1564</v>
      </c>
      <c r="J689" t="s">
        <v>1558</v>
      </c>
      <c r="K689" t="s">
        <v>8</v>
      </c>
      <c r="L689" t="s">
        <v>1565</v>
      </c>
      <c r="M689" t="s">
        <v>8</v>
      </c>
      <c r="N689" t="s">
        <v>1566</v>
      </c>
      <c r="O689" t="s">
        <v>16</v>
      </c>
      <c r="P689" t="s">
        <v>77</v>
      </c>
    </row>
    <row r="690" spans="1:16" x14ac:dyDescent="0.25">
      <c r="A690" t="s">
        <v>0</v>
      </c>
      <c r="B690" s="2">
        <v>44705</v>
      </c>
      <c r="C690" s="5" t="s">
        <v>77</v>
      </c>
      <c r="D690" t="s">
        <v>861</v>
      </c>
      <c r="E690" t="s">
        <v>862</v>
      </c>
      <c r="F690" t="s">
        <v>4</v>
      </c>
      <c r="G690" t="s">
        <v>5</v>
      </c>
      <c r="H690" s="3">
        <v>201.5</v>
      </c>
      <c r="I690" t="s">
        <v>1561</v>
      </c>
      <c r="J690" t="s">
        <v>1558</v>
      </c>
      <c r="K690" t="s">
        <v>8</v>
      </c>
      <c r="L690" t="s">
        <v>1562</v>
      </c>
      <c r="M690" t="s">
        <v>8</v>
      </c>
      <c r="N690" t="s">
        <v>1563</v>
      </c>
      <c r="O690" t="s">
        <v>16</v>
      </c>
      <c r="P690" t="s">
        <v>77</v>
      </c>
    </row>
    <row r="691" spans="1:16" x14ac:dyDescent="0.25">
      <c r="A691" t="s">
        <v>0</v>
      </c>
      <c r="B691" s="2">
        <v>44705</v>
      </c>
      <c r="C691" s="5" t="s">
        <v>77</v>
      </c>
      <c r="D691" t="s">
        <v>861</v>
      </c>
      <c r="E691" t="s">
        <v>862</v>
      </c>
      <c r="F691" t="s">
        <v>4</v>
      </c>
      <c r="G691" t="s">
        <v>5</v>
      </c>
      <c r="H691" s="3">
        <v>192.24</v>
      </c>
      <c r="I691" t="s">
        <v>1564</v>
      </c>
      <c r="J691" t="s">
        <v>1558</v>
      </c>
      <c r="K691" t="s">
        <v>8</v>
      </c>
      <c r="L691" t="s">
        <v>1565</v>
      </c>
      <c r="M691" t="s">
        <v>8</v>
      </c>
      <c r="N691" t="s">
        <v>1566</v>
      </c>
      <c r="O691" t="s">
        <v>16</v>
      </c>
      <c r="P691" t="s">
        <v>43</v>
      </c>
    </row>
    <row r="692" spans="1:16" x14ac:dyDescent="0.25">
      <c r="A692" t="s">
        <v>0</v>
      </c>
      <c r="B692" s="2">
        <v>44705</v>
      </c>
      <c r="C692" s="5" t="s">
        <v>77</v>
      </c>
      <c r="D692" t="s">
        <v>861</v>
      </c>
      <c r="E692" t="s">
        <v>862</v>
      </c>
      <c r="F692" t="s">
        <v>4</v>
      </c>
      <c r="G692" t="s">
        <v>5</v>
      </c>
      <c r="H692" s="3">
        <v>192.23</v>
      </c>
      <c r="I692" t="s">
        <v>1561</v>
      </c>
      <c r="J692" t="s">
        <v>1558</v>
      </c>
      <c r="K692" t="s">
        <v>8</v>
      </c>
      <c r="L692" t="s">
        <v>1562</v>
      </c>
      <c r="M692" t="s">
        <v>8</v>
      </c>
      <c r="N692" t="s">
        <v>1563</v>
      </c>
      <c r="O692" t="s">
        <v>16</v>
      </c>
      <c r="P692" t="s">
        <v>43</v>
      </c>
    </row>
    <row r="693" spans="1:16" x14ac:dyDescent="0.25">
      <c r="A693" t="s">
        <v>0</v>
      </c>
      <c r="B693" s="2">
        <v>44705</v>
      </c>
      <c r="C693" s="5" t="s">
        <v>77</v>
      </c>
      <c r="D693" t="s">
        <v>861</v>
      </c>
      <c r="E693" t="s">
        <v>862</v>
      </c>
      <c r="F693" t="s">
        <v>4</v>
      </c>
      <c r="G693" t="s">
        <v>5</v>
      </c>
      <c r="H693" s="3">
        <v>-192.23</v>
      </c>
      <c r="I693" t="s">
        <v>2206</v>
      </c>
      <c r="J693" t="s">
        <v>1558</v>
      </c>
      <c r="K693" t="s">
        <v>8</v>
      </c>
      <c r="L693" t="s">
        <v>1562</v>
      </c>
      <c r="M693" t="s">
        <v>8</v>
      </c>
      <c r="N693" t="s">
        <v>2207</v>
      </c>
      <c r="O693" t="s">
        <v>16</v>
      </c>
      <c r="P693" t="s">
        <v>43</v>
      </c>
    </row>
    <row r="694" spans="1:16" x14ac:dyDescent="0.25">
      <c r="A694" t="s">
        <v>0</v>
      </c>
      <c r="B694" s="2">
        <v>44705</v>
      </c>
      <c r="C694" s="5" t="s">
        <v>77</v>
      </c>
      <c r="D694" t="s">
        <v>861</v>
      </c>
      <c r="E694" t="s">
        <v>862</v>
      </c>
      <c r="F694" t="s">
        <v>4</v>
      </c>
      <c r="G694" t="s">
        <v>5</v>
      </c>
      <c r="H694" s="3">
        <v>-201.5</v>
      </c>
      <c r="I694" t="s">
        <v>2208</v>
      </c>
      <c r="J694" t="s">
        <v>1558</v>
      </c>
      <c r="K694" t="s">
        <v>8</v>
      </c>
      <c r="L694" t="s">
        <v>1562</v>
      </c>
      <c r="M694" t="s">
        <v>8</v>
      </c>
      <c r="N694" t="s">
        <v>2207</v>
      </c>
      <c r="O694" t="s">
        <v>16</v>
      </c>
      <c r="P694" t="s">
        <v>77</v>
      </c>
    </row>
    <row r="695" spans="1:16" x14ac:dyDescent="0.25">
      <c r="A695" t="s">
        <v>0</v>
      </c>
      <c r="B695" s="2">
        <v>44705</v>
      </c>
      <c r="C695" s="5" t="s">
        <v>77</v>
      </c>
      <c r="D695" t="s">
        <v>861</v>
      </c>
      <c r="E695" t="s">
        <v>862</v>
      </c>
      <c r="F695" t="s">
        <v>4</v>
      </c>
      <c r="G695" t="s">
        <v>5</v>
      </c>
      <c r="H695" s="3">
        <v>-218</v>
      </c>
      <c r="I695" t="s">
        <v>2209</v>
      </c>
      <c r="J695" t="s">
        <v>1558</v>
      </c>
      <c r="K695" t="s">
        <v>8</v>
      </c>
      <c r="L695" t="s">
        <v>1562</v>
      </c>
      <c r="M695" t="s">
        <v>8</v>
      </c>
      <c r="N695" t="s">
        <v>2207</v>
      </c>
      <c r="O695" t="s">
        <v>16</v>
      </c>
      <c r="P695" t="s">
        <v>12</v>
      </c>
    </row>
    <row r="696" spans="1:16" x14ac:dyDescent="0.25">
      <c r="A696" t="s">
        <v>0</v>
      </c>
      <c r="B696" s="2">
        <v>44705</v>
      </c>
      <c r="C696" s="5" t="s">
        <v>77</v>
      </c>
      <c r="D696" t="s">
        <v>861</v>
      </c>
      <c r="E696" t="s">
        <v>862</v>
      </c>
      <c r="F696" t="s">
        <v>4</v>
      </c>
      <c r="G696" t="s">
        <v>5</v>
      </c>
      <c r="H696" s="3">
        <v>-389.6</v>
      </c>
      <c r="I696" t="s">
        <v>2216</v>
      </c>
      <c r="J696" t="s">
        <v>1558</v>
      </c>
      <c r="K696" t="s">
        <v>8</v>
      </c>
      <c r="L696" t="s">
        <v>1562</v>
      </c>
      <c r="M696" t="s">
        <v>8</v>
      </c>
      <c r="N696" t="s">
        <v>2207</v>
      </c>
      <c r="O696" t="s">
        <v>16</v>
      </c>
      <c r="P696" t="s">
        <v>17</v>
      </c>
    </row>
    <row r="697" spans="1:16" x14ac:dyDescent="0.25">
      <c r="A697" t="s">
        <v>0</v>
      </c>
      <c r="B697" s="2">
        <v>44705</v>
      </c>
      <c r="C697" s="5" t="s">
        <v>77</v>
      </c>
      <c r="D697" t="s">
        <v>861</v>
      </c>
      <c r="E697" t="s">
        <v>862</v>
      </c>
      <c r="F697" t="s">
        <v>4</v>
      </c>
      <c r="G697" t="s">
        <v>5</v>
      </c>
      <c r="H697" s="3">
        <v>-423.8</v>
      </c>
      <c r="I697" t="s">
        <v>2219</v>
      </c>
      <c r="J697" t="s">
        <v>1558</v>
      </c>
      <c r="K697" t="s">
        <v>8</v>
      </c>
      <c r="L697" t="s">
        <v>1562</v>
      </c>
      <c r="M697" t="s">
        <v>8</v>
      </c>
      <c r="N697" t="s">
        <v>2207</v>
      </c>
      <c r="O697" t="s">
        <v>16</v>
      </c>
      <c r="P697" t="s">
        <v>1</v>
      </c>
    </row>
    <row r="698" spans="1:16" x14ac:dyDescent="0.25">
      <c r="A698" t="s">
        <v>0</v>
      </c>
      <c r="B698" s="2">
        <v>44706</v>
      </c>
      <c r="C698" s="5" t="s">
        <v>77</v>
      </c>
      <c r="D698" t="s">
        <v>861</v>
      </c>
      <c r="E698" t="s">
        <v>862</v>
      </c>
      <c r="F698" t="s">
        <v>4</v>
      </c>
      <c r="G698" t="s">
        <v>5</v>
      </c>
      <c r="H698" s="3">
        <v>423.8</v>
      </c>
      <c r="I698" t="s">
        <v>1561</v>
      </c>
      <c r="J698" t="s">
        <v>1558</v>
      </c>
      <c r="K698" t="s">
        <v>8</v>
      </c>
      <c r="L698" t="s">
        <v>1562</v>
      </c>
      <c r="M698" t="s">
        <v>8</v>
      </c>
      <c r="N698" t="s">
        <v>1567</v>
      </c>
      <c r="O698" t="s">
        <v>524</v>
      </c>
      <c r="P698" t="s">
        <v>1</v>
      </c>
    </row>
    <row r="699" spans="1:16" x14ac:dyDescent="0.25">
      <c r="A699" t="s">
        <v>0</v>
      </c>
      <c r="B699" s="2">
        <v>44706</v>
      </c>
      <c r="C699" s="5" t="s">
        <v>77</v>
      </c>
      <c r="D699" t="s">
        <v>861</v>
      </c>
      <c r="E699" t="s">
        <v>862</v>
      </c>
      <c r="F699" t="s">
        <v>4</v>
      </c>
      <c r="G699" t="s">
        <v>5</v>
      </c>
      <c r="H699" s="3">
        <v>389.6</v>
      </c>
      <c r="I699" t="s">
        <v>1561</v>
      </c>
      <c r="J699" t="s">
        <v>1558</v>
      </c>
      <c r="K699" t="s">
        <v>8</v>
      </c>
      <c r="L699" t="s">
        <v>1562</v>
      </c>
      <c r="M699" t="s">
        <v>8</v>
      </c>
      <c r="N699" t="s">
        <v>1567</v>
      </c>
      <c r="O699" t="s">
        <v>524</v>
      </c>
      <c r="P699" t="s">
        <v>17</v>
      </c>
    </row>
    <row r="700" spans="1:16" x14ac:dyDescent="0.25">
      <c r="A700" t="s">
        <v>0</v>
      </c>
      <c r="B700" s="2">
        <v>44706</v>
      </c>
      <c r="C700" s="5" t="s">
        <v>77</v>
      </c>
      <c r="D700" t="s">
        <v>861</v>
      </c>
      <c r="E700" t="s">
        <v>862</v>
      </c>
      <c r="F700" t="s">
        <v>4</v>
      </c>
      <c r="G700" t="s">
        <v>5</v>
      </c>
      <c r="H700" s="3">
        <v>218</v>
      </c>
      <c r="I700" t="s">
        <v>1561</v>
      </c>
      <c r="J700" t="s">
        <v>1558</v>
      </c>
      <c r="K700" t="s">
        <v>8</v>
      </c>
      <c r="L700" t="s">
        <v>1562</v>
      </c>
      <c r="M700" t="s">
        <v>8</v>
      </c>
      <c r="N700" t="s">
        <v>1567</v>
      </c>
      <c r="O700" t="s">
        <v>524</v>
      </c>
      <c r="P700" t="s">
        <v>12</v>
      </c>
    </row>
    <row r="701" spans="1:16" x14ac:dyDescent="0.25">
      <c r="A701" t="s">
        <v>0</v>
      </c>
      <c r="B701" s="2">
        <v>44706</v>
      </c>
      <c r="C701" s="5" t="s">
        <v>77</v>
      </c>
      <c r="D701" t="s">
        <v>861</v>
      </c>
      <c r="E701" t="s">
        <v>862</v>
      </c>
      <c r="F701" t="s">
        <v>4</v>
      </c>
      <c r="G701" t="s">
        <v>5</v>
      </c>
      <c r="H701" s="3">
        <v>201.52</v>
      </c>
      <c r="I701" t="s">
        <v>1561</v>
      </c>
      <c r="J701" t="s">
        <v>1558</v>
      </c>
      <c r="K701" t="s">
        <v>8</v>
      </c>
      <c r="L701" t="s">
        <v>1562</v>
      </c>
      <c r="M701" t="s">
        <v>8</v>
      </c>
      <c r="N701" t="s">
        <v>1567</v>
      </c>
      <c r="O701" t="s">
        <v>524</v>
      </c>
      <c r="P701" t="s">
        <v>77</v>
      </c>
    </row>
    <row r="702" spans="1:16" x14ac:dyDescent="0.25">
      <c r="A702" t="s">
        <v>0</v>
      </c>
      <c r="B702" s="2">
        <v>44706</v>
      </c>
      <c r="C702" s="5" t="s">
        <v>77</v>
      </c>
      <c r="D702" t="s">
        <v>861</v>
      </c>
      <c r="E702" t="s">
        <v>862</v>
      </c>
      <c r="F702" t="s">
        <v>4</v>
      </c>
      <c r="G702" t="s">
        <v>5</v>
      </c>
      <c r="H702" s="3">
        <v>192.21</v>
      </c>
      <c r="I702" t="s">
        <v>1561</v>
      </c>
      <c r="J702" t="s">
        <v>1558</v>
      </c>
      <c r="K702" t="s">
        <v>8</v>
      </c>
      <c r="L702" t="s">
        <v>1562</v>
      </c>
      <c r="M702" t="s">
        <v>8</v>
      </c>
      <c r="N702" t="s">
        <v>1567</v>
      </c>
      <c r="O702" t="s">
        <v>524</v>
      </c>
      <c r="P702" t="s">
        <v>43</v>
      </c>
    </row>
    <row r="703" spans="1:16" x14ac:dyDescent="0.25">
      <c r="A703" t="s">
        <v>0</v>
      </c>
      <c r="B703" s="2">
        <v>44708</v>
      </c>
      <c r="C703" t="s">
        <v>77</v>
      </c>
      <c r="D703" t="s">
        <v>63</v>
      </c>
      <c r="E703" t="s">
        <v>64</v>
      </c>
      <c r="F703" t="s">
        <v>4</v>
      </c>
      <c r="G703" t="s">
        <v>5</v>
      </c>
      <c r="H703" s="3">
        <v>106304.48</v>
      </c>
      <c r="I703" t="s">
        <v>65</v>
      </c>
      <c r="J703" t="s">
        <v>66</v>
      </c>
      <c r="K703" t="s">
        <v>8</v>
      </c>
      <c r="L703" t="s">
        <v>8</v>
      </c>
      <c r="M703" t="s">
        <v>8</v>
      </c>
      <c r="N703" t="s">
        <v>78</v>
      </c>
      <c r="O703" t="s">
        <v>57</v>
      </c>
      <c r="P703" t="s">
        <v>79</v>
      </c>
    </row>
    <row r="704" spans="1:16" x14ac:dyDescent="0.25">
      <c r="A704" t="s">
        <v>0</v>
      </c>
      <c r="B704" s="2">
        <v>44708</v>
      </c>
      <c r="C704" t="s">
        <v>77</v>
      </c>
      <c r="D704" t="s">
        <v>63</v>
      </c>
      <c r="E704" t="s">
        <v>64</v>
      </c>
      <c r="F704" t="s">
        <v>4</v>
      </c>
      <c r="G704" t="s">
        <v>5</v>
      </c>
      <c r="H704" s="3">
        <v>58721.04</v>
      </c>
      <c r="I704" t="s">
        <v>114</v>
      </c>
      <c r="J704" t="s">
        <v>66</v>
      </c>
      <c r="K704" t="s">
        <v>8</v>
      </c>
      <c r="L704" t="s">
        <v>8</v>
      </c>
      <c r="M704" t="s">
        <v>8</v>
      </c>
      <c r="N704" t="s">
        <v>78</v>
      </c>
      <c r="O704" t="s">
        <v>57</v>
      </c>
      <c r="P704" t="s">
        <v>147</v>
      </c>
    </row>
    <row r="705" spans="1:16" x14ac:dyDescent="0.25">
      <c r="A705" t="s">
        <v>0</v>
      </c>
      <c r="B705" s="2">
        <v>44708</v>
      </c>
      <c r="C705" t="s">
        <v>77</v>
      </c>
      <c r="D705" t="s">
        <v>122</v>
      </c>
      <c r="E705" t="s">
        <v>123</v>
      </c>
      <c r="F705" t="s">
        <v>4</v>
      </c>
      <c r="G705" t="s">
        <v>5</v>
      </c>
      <c r="H705" s="3">
        <v>46898.48</v>
      </c>
      <c r="I705" t="s">
        <v>124</v>
      </c>
      <c r="J705" t="s">
        <v>66</v>
      </c>
      <c r="K705" t="s">
        <v>8</v>
      </c>
      <c r="L705" t="s">
        <v>8</v>
      </c>
      <c r="M705" t="s">
        <v>8</v>
      </c>
      <c r="N705" t="s">
        <v>78</v>
      </c>
      <c r="O705" t="s">
        <v>57</v>
      </c>
      <c r="P705" t="s">
        <v>164</v>
      </c>
    </row>
    <row r="706" spans="1:16" x14ac:dyDescent="0.25">
      <c r="A706" t="s">
        <v>0</v>
      </c>
      <c r="B706" s="2">
        <v>44708</v>
      </c>
      <c r="C706" t="s">
        <v>77</v>
      </c>
      <c r="D706" t="s">
        <v>173</v>
      </c>
      <c r="E706" t="s">
        <v>174</v>
      </c>
      <c r="F706" t="s">
        <v>4</v>
      </c>
      <c r="G706" t="s">
        <v>5</v>
      </c>
      <c r="H706" s="3">
        <v>36738.29</v>
      </c>
      <c r="I706" t="s">
        <v>175</v>
      </c>
      <c r="J706" t="s">
        <v>66</v>
      </c>
      <c r="K706" t="s">
        <v>8</v>
      </c>
      <c r="L706" t="s">
        <v>8</v>
      </c>
      <c r="M706" t="s">
        <v>8</v>
      </c>
      <c r="N706" t="s">
        <v>78</v>
      </c>
      <c r="O706" t="s">
        <v>57</v>
      </c>
      <c r="P706" t="s">
        <v>176</v>
      </c>
    </row>
    <row r="707" spans="1:16" x14ac:dyDescent="0.25">
      <c r="A707" t="s">
        <v>0</v>
      </c>
      <c r="B707" s="2">
        <v>44708</v>
      </c>
      <c r="C707" t="s">
        <v>77</v>
      </c>
      <c r="D707" t="s">
        <v>169</v>
      </c>
      <c r="E707" t="s">
        <v>170</v>
      </c>
      <c r="F707" t="s">
        <v>4</v>
      </c>
      <c r="G707" t="s">
        <v>5</v>
      </c>
      <c r="H707" s="3">
        <v>28484.02</v>
      </c>
      <c r="I707" t="s">
        <v>171</v>
      </c>
      <c r="J707" t="s">
        <v>66</v>
      </c>
      <c r="K707" t="s">
        <v>8</v>
      </c>
      <c r="L707" t="s">
        <v>8</v>
      </c>
      <c r="M707" t="s">
        <v>8</v>
      </c>
      <c r="N707" t="s">
        <v>78</v>
      </c>
      <c r="O707" t="s">
        <v>57</v>
      </c>
      <c r="P707" t="s">
        <v>142</v>
      </c>
    </row>
    <row r="708" spans="1:16" x14ac:dyDescent="0.25">
      <c r="A708" t="s">
        <v>0</v>
      </c>
      <c r="B708" s="2">
        <v>44708</v>
      </c>
      <c r="C708" t="s">
        <v>77</v>
      </c>
      <c r="D708" t="s">
        <v>273</v>
      </c>
      <c r="E708" t="s">
        <v>274</v>
      </c>
      <c r="F708" t="s">
        <v>4</v>
      </c>
      <c r="G708" t="s">
        <v>5</v>
      </c>
      <c r="H708" s="3">
        <v>18439.009999999998</v>
      </c>
      <c r="I708" t="s">
        <v>275</v>
      </c>
      <c r="J708" t="s">
        <v>66</v>
      </c>
      <c r="K708" t="s">
        <v>8</v>
      </c>
      <c r="L708" t="s">
        <v>8</v>
      </c>
      <c r="M708" t="s">
        <v>8</v>
      </c>
      <c r="N708" t="s">
        <v>78</v>
      </c>
      <c r="O708" t="s">
        <v>57</v>
      </c>
      <c r="P708" t="s">
        <v>311</v>
      </c>
    </row>
    <row r="709" spans="1:16" x14ac:dyDescent="0.25">
      <c r="A709" t="s">
        <v>0</v>
      </c>
      <c r="B709" s="2">
        <v>44708</v>
      </c>
      <c r="C709" t="s">
        <v>77</v>
      </c>
      <c r="D709" t="s">
        <v>59</v>
      </c>
      <c r="E709" t="s">
        <v>60</v>
      </c>
      <c r="F709" t="s">
        <v>4</v>
      </c>
      <c r="G709" t="s">
        <v>5</v>
      </c>
      <c r="H709" s="3">
        <v>16528.14</v>
      </c>
      <c r="I709" t="s">
        <v>61</v>
      </c>
      <c r="J709" t="s">
        <v>66</v>
      </c>
      <c r="K709" t="s">
        <v>8</v>
      </c>
      <c r="L709" t="s">
        <v>8</v>
      </c>
      <c r="M709" t="s">
        <v>8</v>
      </c>
      <c r="N709" t="s">
        <v>78</v>
      </c>
      <c r="O709" t="s">
        <v>57</v>
      </c>
      <c r="P709" t="s">
        <v>325</v>
      </c>
    </row>
    <row r="710" spans="1:16" x14ac:dyDescent="0.25">
      <c r="A710" t="s">
        <v>0</v>
      </c>
      <c r="B710" s="2">
        <v>44708</v>
      </c>
      <c r="C710" t="s">
        <v>77</v>
      </c>
      <c r="D710" t="s">
        <v>169</v>
      </c>
      <c r="E710" t="s">
        <v>170</v>
      </c>
      <c r="F710" t="s">
        <v>4</v>
      </c>
      <c r="G710" t="s">
        <v>5</v>
      </c>
      <c r="H710" s="3">
        <v>12106.11</v>
      </c>
      <c r="I710" t="s">
        <v>213</v>
      </c>
      <c r="J710" t="s">
        <v>66</v>
      </c>
      <c r="K710" t="s">
        <v>8</v>
      </c>
      <c r="L710" t="s">
        <v>8</v>
      </c>
      <c r="M710" t="s">
        <v>8</v>
      </c>
      <c r="N710" t="s">
        <v>78</v>
      </c>
      <c r="O710" t="s">
        <v>57</v>
      </c>
      <c r="P710" t="s">
        <v>315</v>
      </c>
    </row>
    <row r="711" spans="1:16" x14ac:dyDescent="0.25">
      <c r="A711" t="s">
        <v>0</v>
      </c>
      <c r="B711" s="2">
        <v>44708</v>
      </c>
      <c r="C711" s="5" t="s">
        <v>77</v>
      </c>
      <c r="D711" t="s">
        <v>380</v>
      </c>
      <c r="E711" t="s">
        <v>381</v>
      </c>
      <c r="F711" t="s">
        <v>4</v>
      </c>
      <c r="G711" t="s">
        <v>5</v>
      </c>
      <c r="H711" s="3">
        <v>8010.86</v>
      </c>
      <c r="I711" t="s">
        <v>382</v>
      </c>
      <c r="J711" t="s">
        <v>66</v>
      </c>
      <c r="K711" t="s">
        <v>8</v>
      </c>
      <c r="L711" t="s">
        <v>8</v>
      </c>
      <c r="M711" t="s">
        <v>8</v>
      </c>
      <c r="N711" t="s">
        <v>78</v>
      </c>
      <c r="O711" t="s">
        <v>57</v>
      </c>
      <c r="P711" t="s">
        <v>70</v>
      </c>
    </row>
    <row r="712" spans="1:16" x14ac:dyDescent="0.25">
      <c r="A712" t="s">
        <v>0</v>
      </c>
      <c r="B712" s="2">
        <v>44708</v>
      </c>
      <c r="C712" s="5" t="s">
        <v>77</v>
      </c>
      <c r="D712" t="s">
        <v>534</v>
      </c>
      <c r="E712" t="s">
        <v>535</v>
      </c>
      <c r="F712" t="s">
        <v>4</v>
      </c>
      <c r="G712" t="s">
        <v>5</v>
      </c>
      <c r="H712" s="3">
        <v>7078.03</v>
      </c>
      <c r="I712" t="s">
        <v>536</v>
      </c>
      <c r="J712" t="s">
        <v>66</v>
      </c>
      <c r="K712" t="s">
        <v>8</v>
      </c>
      <c r="L712" t="s">
        <v>8</v>
      </c>
      <c r="M712" t="s">
        <v>8</v>
      </c>
      <c r="N712" t="s">
        <v>78</v>
      </c>
      <c r="O712" t="s">
        <v>57</v>
      </c>
      <c r="P712" t="s">
        <v>580</v>
      </c>
    </row>
    <row r="713" spans="1:16" x14ac:dyDescent="0.25">
      <c r="A713" t="s">
        <v>0</v>
      </c>
      <c r="B713" s="2">
        <v>44708</v>
      </c>
      <c r="C713" s="5" t="s">
        <v>77</v>
      </c>
      <c r="D713" t="s">
        <v>507</v>
      </c>
      <c r="E713" t="s">
        <v>508</v>
      </c>
      <c r="F713" t="s">
        <v>4</v>
      </c>
      <c r="G713" t="s">
        <v>5</v>
      </c>
      <c r="H713" s="3">
        <v>6848.34</v>
      </c>
      <c r="I713" t="s">
        <v>509</v>
      </c>
      <c r="J713" t="s">
        <v>66</v>
      </c>
      <c r="K713" t="s">
        <v>8</v>
      </c>
      <c r="L713" t="s">
        <v>8</v>
      </c>
      <c r="M713" t="s">
        <v>8</v>
      </c>
      <c r="N713" t="s">
        <v>78</v>
      </c>
      <c r="O713" t="s">
        <v>57</v>
      </c>
      <c r="P713" t="s">
        <v>597</v>
      </c>
    </row>
    <row r="714" spans="1:16" x14ac:dyDescent="0.25">
      <c r="A714" t="s">
        <v>0</v>
      </c>
      <c r="B714" s="2">
        <v>44708</v>
      </c>
      <c r="C714" s="5" t="s">
        <v>77</v>
      </c>
      <c r="D714" t="s">
        <v>122</v>
      </c>
      <c r="E714" t="s">
        <v>123</v>
      </c>
      <c r="F714" t="s">
        <v>4</v>
      </c>
      <c r="G714" t="s">
        <v>5</v>
      </c>
      <c r="H714" s="3">
        <v>6817.84</v>
      </c>
      <c r="I714" t="s">
        <v>397</v>
      </c>
      <c r="J714" t="s">
        <v>66</v>
      </c>
      <c r="K714" t="s">
        <v>8</v>
      </c>
      <c r="L714" t="s">
        <v>8</v>
      </c>
      <c r="M714" t="s">
        <v>8</v>
      </c>
      <c r="N714" t="s">
        <v>78</v>
      </c>
      <c r="O714" t="s">
        <v>57</v>
      </c>
      <c r="P714" t="s">
        <v>598</v>
      </c>
    </row>
    <row r="715" spans="1:16" x14ac:dyDescent="0.25">
      <c r="A715" t="s">
        <v>0</v>
      </c>
      <c r="B715" s="2">
        <v>44708</v>
      </c>
      <c r="C715" s="5" t="s">
        <v>77</v>
      </c>
      <c r="D715" t="s">
        <v>624</v>
      </c>
      <c r="E715" t="s">
        <v>625</v>
      </c>
      <c r="F715" t="s">
        <v>4</v>
      </c>
      <c r="G715" t="s">
        <v>5</v>
      </c>
      <c r="H715" s="3">
        <v>6081.16</v>
      </c>
      <c r="I715" t="s">
        <v>626</v>
      </c>
      <c r="J715" t="s">
        <v>66</v>
      </c>
      <c r="K715" t="s">
        <v>8</v>
      </c>
      <c r="L715" t="s">
        <v>8</v>
      </c>
      <c r="M715" t="s">
        <v>8</v>
      </c>
      <c r="N715" t="s">
        <v>78</v>
      </c>
      <c r="O715" t="s">
        <v>57</v>
      </c>
      <c r="P715" t="s">
        <v>458</v>
      </c>
    </row>
    <row r="716" spans="1:16" x14ac:dyDescent="0.25">
      <c r="A716" t="s">
        <v>0</v>
      </c>
      <c r="B716" s="2">
        <v>44708</v>
      </c>
      <c r="C716" s="5" t="s">
        <v>77</v>
      </c>
      <c r="D716" t="s">
        <v>514</v>
      </c>
      <c r="E716" t="s">
        <v>515</v>
      </c>
      <c r="F716" t="s">
        <v>4</v>
      </c>
      <c r="G716" t="s">
        <v>5</v>
      </c>
      <c r="H716" s="3">
        <v>4647.21</v>
      </c>
      <c r="I716" t="s">
        <v>516</v>
      </c>
      <c r="J716" t="s">
        <v>66</v>
      </c>
      <c r="K716" t="s">
        <v>8</v>
      </c>
      <c r="L716" t="s">
        <v>8</v>
      </c>
      <c r="M716" t="s">
        <v>8</v>
      </c>
      <c r="N716" t="s">
        <v>78</v>
      </c>
      <c r="O716" t="s">
        <v>57</v>
      </c>
      <c r="P716" t="s">
        <v>22</v>
      </c>
    </row>
    <row r="717" spans="1:16" x14ac:dyDescent="0.25">
      <c r="A717" t="s">
        <v>0</v>
      </c>
      <c r="B717" s="2">
        <v>44708</v>
      </c>
      <c r="C717" s="5" t="s">
        <v>77</v>
      </c>
      <c r="D717" t="s">
        <v>769</v>
      </c>
      <c r="E717" t="s">
        <v>770</v>
      </c>
      <c r="F717" t="s">
        <v>4</v>
      </c>
      <c r="G717" t="s">
        <v>5</v>
      </c>
      <c r="H717" s="3">
        <v>2660.23</v>
      </c>
      <c r="I717" t="s">
        <v>771</v>
      </c>
      <c r="J717" t="s">
        <v>66</v>
      </c>
      <c r="K717" t="s">
        <v>8</v>
      </c>
      <c r="L717" t="s">
        <v>8</v>
      </c>
      <c r="M717" t="s">
        <v>8</v>
      </c>
      <c r="N717" t="s">
        <v>78</v>
      </c>
      <c r="O717" t="s">
        <v>57</v>
      </c>
      <c r="P717" t="s">
        <v>77</v>
      </c>
    </row>
    <row r="718" spans="1:16" x14ac:dyDescent="0.25">
      <c r="A718" t="s">
        <v>0</v>
      </c>
      <c r="B718" s="2">
        <v>44708</v>
      </c>
      <c r="C718" s="5" t="s">
        <v>77</v>
      </c>
      <c r="D718" t="s">
        <v>514</v>
      </c>
      <c r="E718" t="s">
        <v>515</v>
      </c>
      <c r="F718" t="s">
        <v>4</v>
      </c>
      <c r="G718" t="s">
        <v>5</v>
      </c>
      <c r="H718" s="3">
        <v>2464.98</v>
      </c>
      <c r="I718" t="s">
        <v>889</v>
      </c>
      <c r="J718" t="s">
        <v>66</v>
      </c>
      <c r="K718" t="s">
        <v>8</v>
      </c>
      <c r="L718" t="s">
        <v>8</v>
      </c>
      <c r="M718" t="s">
        <v>8</v>
      </c>
      <c r="N718" t="s">
        <v>78</v>
      </c>
      <c r="O718" t="s">
        <v>57</v>
      </c>
      <c r="P718" t="s">
        <v>798</v>
      </c>
    </row>
    <row r="719" spans="1:16" x14ac:dyDescent="0.25">
      <c r="A719" t="s">
        <v>0</v>
      </c>
      <c r="B719" s="2">
        <v>44708</v>
      </c>
      <c r="C719" s="5" t="s">
        <v>77</v>
      </c>
      <c r="D719" t="s">
        <v>822</v>
      </c>
      <c r="E719" t="s">
        <v>823</v>
      </c>
      <c r="F719" t="s">
        <v>4</v>
      </c>
      <c r="G719" t="s">
        <v>5</v>
      </c>
      <c r="H719" s="3">
        <v>2303.62</v>
      </c>
      <c r="I719" t="s">
        <v>824</v>
      </c>
      <c r="J719" t="s">
        <v>66</v>
      </c>
      <c r="K719" t="s">
        <v>8</v>
      </c>
      <c r="L719" t="s">
        <v>8</v>
      </c>
      <c r="M719" t="s">
        <v>8</v>
      </c>
      <c r="N719" t="s">
        <v>78</v>
      </c>
      <c r="O719" t="s">
        <v>57</v>
      </c>
      <c r="P719" t="s">
        <v>928</v>
      </c>
    </row>
    <row r="720" spans="1:16" x14ac:dyDescent="0.25">
      <c r="A720" t="s">
        <v>0</v>
      </c>
      <c r="B720" s="2">
        <v>44708</v>
      </c>
      <c r="C720" s="5" t="s">
        <v>77</v>
      </c>
      <c r="D720" t="s">
        <v>316</v>
      </c>
      <c r="E720" t="s">
        <v>317</v>
      </c>
      <c r="F720" t="s">
        <v>4</v>
      </c>
      <c r="G720" t="s">
        <v>5</v>
      </c>
      <c r="H720" s="3">
        <v>2285.5</v>
      </c>
      <c r="I720" t="s">
        <v>318</v>
      </c>
      <c r="J720" t="s">
        <v>66</v>
      </c>
      <c r="K720" t="s">
        <v>8</v>
      </c>
      <c r="L720" t="s">
        <v>8</v>
      </c>
      <c r="M720" t="s">
        <v>8</v>
      </c>
      <c r="N720" t="s">
        <v>78</v>
      </c>
      <c r="O720" t="s">
        <v>57</v>
      </c>
      <c r="P720" t="s">
        <v>151</v>
      </c>
    </row>
    <row r="721" spans="1:16" x14ac:dyDescent="0.25">
      <c r="A721" t="s">
        <v>0</v>
      </c>
      <c r="B721" s="2">
        <v>44708</v>
      </c>
      <c r="C721" s="5" t="s">
        <v>77</v>
      </c>
      <c r="D721" t="s">
        <v>954</v>
      </c>
      <c r="E721" t="s">
        <v>955</v>
      </c>
      <c r="F721" t="s">
        <v>4</v>
      </c>
      <c r="G721" t="s">
        <v>5</v>
      </c>
      <c r="H721" s="3">
        <v>2000</v>
      </c>
      <c r="I721" t="s">
        <v>956</v>
      </c>
      <c r="J721" t="s">
        <v>66</v>
      </c>
      <c r="K721" t="s">
        <v>8</v>
      </c>
      <c r="L721" t="s">
        <v>8</v>
      </c>
      <c r="M721" t="s">
        <v>8</v>
      </c>
      <c r="N721" t="s">
        <v>959</v>
      </c>
      <c r="O721" t="s">
        <v>57</v>
      </c>
      <c r="P721" t="s">
        <v>960</v>
      </c>
    </row>
    <row r="722" spans="1:16" x14ac:dyDescent="0.25">
      <c r="A722" t="s">
        <v>0</v>
      </c>
      <c r="B722" s="2">
        <v>44708</v>
      </c>
      <c r="C722" s="5" t="s">
        <v>77</v>
      </c>
      <c r="D722" t="s">
        <v>881</v>
      </c>
      <c r="E722" t="s">
        <v>882</v>
      </c>
      <c r="F722" t="s">
        <v>4</v>
      </c>
      <c r="G722" t="s">
        <v>5</v>
      </c>
      <c r="H722" s="3">
        <v>1321</v>
      </c>
      <c r="I722" t="s">
        <v>1065</v>
      </c>
      <c r="J722" t="s">
        <v>66</v>
      </c>
      <c r="K722" t="s">
        <v>8</v>
      </c>
      <c r="L722" t="s">
        <v>8</v>
      </c>
      <c r="M722" t="s">
        <v>8</v>
      </c>
      <c r="N722" t="s">
        <v>78</v>
      </c>
      <c r="O722" t="s">
        <v>57</v>
      </c>
      <c r="P722" t="s">
        <v>68</v>
      </c>
    </row>
    <row r="723" spans="1:16" x14ac:dyDescent="0.25">
      <c r="A723" t="s">
        <v>0</v>
      </c>
      <c r="B723" s="2">
        <v>44708</v>
      </c>
      <c r="C723" s="5" t="s">
        <v>77</v>
      </c>
      <c r="D723" t="s">
        <v>951</v>
      </c>
      <c r="E723" t="s">
        <v>952</v>
      </c>
      <c r="F723" t="s">
        <v>4</v>
      </c>
      <c r="G723" t="s">
        <v>5</v>
      </c>
      <c r="H723" s="3">
        <v>942.66</v>
      </c>
      <c r="I723" t="s">
        <v>953</v>
      </c>
      <c r="J723" t="s">
        <v>66</v>
      </c>
      <c r="K723" t="s">
        <v>8</v>
      </c>
      <c r="L723" t="s">
        <v>8</v>
      </c>
      <c r="M723" t="s">
        <v>8</v>
      </c>
      <c r="N723" t="s">
        <v>78</v>
      </c>
      <c r="O723" t="s">
        <v>57</v>
      </c>
      <c r="P723" t="s">
        <v>17</v>
      </c>
    </row>
    <row r="724" spans="1:16" x14ac:dyDescent="0.25">
      <c r="A724" t="s">
        <v>0</v>
      </c>
      <c r="B724" s="2">
        <v>44708</v>
      </c>
      <c r="C724" s="5" t="s">
        <v>77</v>
      </c>
      <c r="D724" t="s">
        <v>951</v>
      </c>
      <c r="E724" t="s">
        <v>952</v>
      </c>
      <c r="F724" t="s">
        <v>4</v>
      </c>
      <c r="G724" t="s">
        <v>5</v>
      </c>
      <c r="H724" s="3">
        <v>811.85</v>
      </c>
      <c r="I724" t="s">
        <v>1178</v>
      </c>
      <c r="J724" t="s">
        <v>66</v>
      </c>
      <c r="K724" t="s">
        <v>8</v>
      </c>
      <c r="L724" t="s">
        <v>8</v>
      </c>
      <c r="M724" t="s">
        <v>8</v>
      </c>
      <c r="N724" t="s">
        <v>78</v>
      </c>
      <c r="O724" t="s">
        <v>57</v>
      </c>
      <c r="P724" t="s">
        <v>568</v>
      </c>
    </row>
    <row r="725" spans="1:16" x14ac:dyDescent="0.25">
      <c r="A725" t="s">
        <v>0</v>
      </c>
      <c r="B725" s="2">
        <v>44708</v>
      </c>
      <c r="C725" s="5" t="s">
        <v>77</v>
      </c>
      <c r="D725" t="s">
        <v>1184</v>
      </c>
      <c r="E725" t="s">
        <v>1185</v>
      </c>
      <c r="F725" t="s">
        <v>4</v>
      </c>
      <c r="G725" t="s">
        <v>5</v>
      </c>
      <c r="H725" s="3">
        <v>739.98</v>
      </c>
      <c r="I725" t="s">
        <v>1186</v>
      </c>
      <c r="J725" t="s">
        <v>66</v>
      </c>
      <c r="K725" t="s">
        <v>8</v>
      </c>
      <c r="L725" t="s">
        <v>8</v>
      </c>
      <c r="M725" t="s">
        <v>8</v>
      </c>
      <c r="N725" t="s">
        <v>78</v>
      </c>
      <c r="O725" t="s">
        <v>57</v>
      </c>
      <c r="P725" t="s">
        <v>193</v>
      </c>
    </row>
    <row r="726" spans="1:16" x14ac:dyDescent="0.25">
      <c r="A726" t="s">
        <v>0</v>
      </c>
      <c r="B726" s="2">
        <v>44708</v>
      </c>
      <c r="C726" s="5" t="s">
        <v>77</v>
      </c>
      <c r="D726" t="s">
        <v>514</v>
      </c>
      <c r="E726" t="s">
        <v>515</v>
      </c>
      <c r="F726" t="s">
        <v>4</v>
      </c>
      <c r="G726" t="s">
        <v>5</v>
      </c>
      <c r="H726" s="3">
        <v>375.62</v>
      </c>
      <c r="I726" t="s">
        <v>1220</v>
      </c>
      <c r="J726" t="s">
        <v>66</v>
      </c>
      <c r="K726" t="s">
        <v>8</v>
      </c>
      <c r="L726" t="s">
        <v>8</v>
      </c>
      <c r="M726" t="s">
        <v>8</v>
      </c>
      <c r="N726" t="s">
        <v>78</v>
      </c>
      <c r="O726" t="s">
        <v>57</v>
      </c>
      <c r="P726" t="s">
        <v>87</v>
      </c>
    </row>
    <row r="727" spans="1:16" x14ac:dyDescent="0.25">
      <c r="A727" t="s">
        <v>0</v>
      </c>
      <c r="B727" s="2">
        <v>44708</v>
      </c>
      <c r="C727" s="5" t="s">
        <v>77</v>
      </c>
      <c r="D727" t="s">
        <v>951</v>
      </c>
      <c r="E727" t="s">
        <v>952</v>
      </c>
      <c r="F727" t="s">
        <v>4</v>
      </c>
      <c r="G727" t="s">
        <v>5</v>
      </c>
      <c r="H727" s="3">
        <v>346.23</v>
      </c>
      <c r="I727" t="s">
        <v>1359</v>
      </c>
      <c r="J727" t="s">
        <v>66</v>
      </c>
      <c r="K727" t="s">
        <v>8</v>
      </c>
      <c r="L727" t="s">
        <v>8</v>
      </c>
      <c r="M727" t="s">
        <v>8</v>
      </c>
      <c r="N727" t="s">
        <v>78</v>
      </c>
      <c r="O727" t="s">
        <v>57</v>
      </c>
      <c r="P727" t="s">
        <v>43</v>
      </c>
    </row>
    <row r="728" spans="1:16" x14ac:dyDescent="0.25">
      <c r="A728" t="s">
        <v>0</v>
      </c>
      <c r="B728" s="2">
        <v>44708</v>
      </c>
      <c r="C728" s="5" t="s">
        <v>77</v>
      </c>
      <c r="D728" t="s">
        <v>1506</v>
      </c>
      <c r="E728" t="s">
        <v>1507</v>
      </c>
      <c r="F728" t="s">
        <v>4</v>
      </c>
      <c r="G728" t="s">
        <v>5</v>
      </c>
      <c r="H728" s="3">
        <v>334.88</v>
      </c>
      <c r="I728" t="s">
        <v>1508</v>
      </c>
      <c r="J728" t="s">
        <v>66</v>
      </c>
      <c r="K728" t="s">
        <v>8</v>
      </c>
      <c r="L728" t="s">
        <v>8</v>
      </c>
      <c r="M728" t="s">
        <v>8</v>
      </c>
      <c r="N728" t="s">
        <v>78</v>
      </c>
      <c r="O728" t="s">
        <v>57</v>
      </c>
      <c r="P728" t="s">
        <v>1103</v>
      </c>
    </row>
    <row r="729" spans="1:16" x14ac:dyDescent="0.25">
      <c r="A729" t="s">
        <v>0</v>
      </c>
      <c r="B729" s="2">
        <v>44708</v>
      </c>
      <c r="C729" s="5" t="s">
        <v>77</v>
      </c>
      <c r="D729" t="s">
        <v>380</v>
      </c>
      <c r="E729" t="s">
        <v>381</v>
      </c>
      <c r="F729" t="s">
        <v>4</v>
      </c>
      <c r="G729" t="s">
        <v>5</v>
      </c>
      <c r="H729" s="3">
        <v>300.66000000000003</v>
      </c>
      <c r="I729" t="s">
        <v>1587</v>
      </c>
      <c r="J729" t="s">
        <v>66</v>
      </c>
      <c r="K729" t="s">
        <v>8</v>
      </c>
      <c r="L729" t="s">
        <v>8</v>
      </c>
      <c r="M729" t="s">
        <v>8</v>
      </c>
      <c r="N729" t="s">
        <v>78</v>
      </c>
      <c r="O729" t="s">
        <v>57</v>
      </c>
      <c r="P729" t="s">
        <v>1608</v>
      </c>
    </row>
    <row r="730" spans="1:16" x14ac:dyDescent="0.25">
      <c r="A730" t="s">
        <v>0</v>
      </c>
      <c r="B730" s="2">
        <v>44708</v>
      </c>
      <c r="C730" s="5" t="s">
        <v>77</v>
      </c>
      <c r="D730" t="s">
        <v>1506</v>
      </c>
      <c r="E730" t="s">
        <v>1507</v>
      </c>
      <c r="F730" t="s">
        <v>4</v>
      </c>
      <c r="G730" t="s">
        <v>5</v>
      </c>
      <c r="H730" s="3">
        <v>271.8</v>
      </c>
      <c r="I730" t="s">
        <v>1601</v>
      </c>
      <c r="J730" t="s">
        <v>66</v>
      </c>
      <c r="K730" t="s">
        <v>8</v>
      </c>
      <c r="L730" t="s">
        <v>8</v>
      </c>
      <c r="M730" t="s">
        <v>8</v>
      </c>
      <c r="N730" t="s">
        <v>78</v>
      </c>
      <c r="O730" t="s">
        <v>57</v>
      </c>
      <c r="P730" t="s">
        <v>12</v>
      </c>
    </row>
    <row r="731" spans="1:16" x14ac:dyDescent="0.25">
      <c r="A731" t="s">
        <v>0</v>
      </c>
      <c r="B731" s="2">
        <v>44708</v>
      </c>
      <c r="C731" s="5" t="s">
        <v>77</v>
      </c>
      <c r="D731" t="s">
        <v>624</v>
      </c>
      <c r="E731" t="s">
        <v>625</v>
      </c>
      <c r="F731" t="s">
        <v>4</v>
      </c>
      <c r="G731" t="s">
        <v>5</v>
      </c>
      <c r="H731" s="3">
        <v>74.099999999999994</v>
      </c>
      <c r="I731" t="s">
        <v>1841</v>
      </c>
      <c r="J731" t="s">
        <v>66</v>
      </c>
      <c r="K731" t="s">
        <v>8</v>
      </c>
      <c r="L731" t="s">
        <v>8</v>
      </c>
      <c r="M731" t="s">
        <v>8</v>
      </c>
      <c r="N731" t="s">
        <v>78</v>
      </c>
      <c r="O731" t="s">
        <v>57</v>
      </c>
      <c r="P731" t="s">
        <v>240</v>
      </c>
    </row>
    <row r="732" spans="1:16" x14ac:dyDescent="0.25">
      <c r="A732" t="s">
        <v>0</v>
      </c>
      <c r="B732" s="2">
        <v>44708</v>
      </c>
      <c r="C732" s="5" t="s">
        <v>77</v>
      </c>
      <c r="D732" t="s">
        <v>644</v>
      </c>
      <c r="E732" t="s">
        <v>645</v>
      </c>
      <c r="F732" t="s">
        <v>4</v>
      </c>
      <c r="G732" t="s">
        <v>5</v>
      </c>
      <c r="H732" s="3">
        <v>-19.25</v>
      </c>
      <c r="I732" t="s">
        <v>2167</v>
      </c>
      <c r="J732" t="s">
        <v>2165</v>
      </c>
      <c r="K732" t="s">
        <v>8</v>
      </c>
      <c r="L732" t="s">
        <v>8</v>
      </c>
      <c r="M732" t="s">
        <v>8</v>
      </c>
      <c r="N732" t="s">
        <v>78</v>
      </c>
      <c r="O732" t="s">
        <v>57</v>
      </c>
      <c r="P732" t="s">
        <v>2176</v>
      </c>
    </row>
    <row r="733" spans="1:16" x14ac:dyDescent="0.25">
      <c r="A733" t="s">
        <v>0</v>
      </c>
      <c r="B733" s="2">
        <v>44708</v>
      </c>
      <c r="C733" s="5" t="s">
        <v>77</v>
      </c>
      <c r="D733" t="s">
        <v>2191</v>
      </c>
      <c r="E733" t="s">
        <v>2192</v>
      </c>
      <c r="F733" t="s">
        <v>4</v>
      </c>
      <c r="G733" t="s">
        <v>5</v>
      </c>
      <c r="H733" s="3">
        <v>-87.03</v>
      </c>
      <c r="I733" t="s">
        <v>2193</v>
      </c>
      <c r="J733" t="s">
        <v>2165</v>
      </c>
      <c r="K733" t="s">
        <v>8</v>
      </c>
      <c r="L733" t="s">
        <v>8</v>
      </c>
      <c r="M733" t="s">
        <v>8</v>
      </c>
      <c r="N733" t="s">
        <v>78</v>
      </c>
      <c r="O733" t="s">
        <v>57</v>
      </c>
      <c r="P733" t="s">
        <v>82</v>
      </c>
    </row>
    <row r="734" spans="1:16" x14ac:dyDescent="0.25">
      <c r="A734" t="s">
        <v>0</v>
      </c>
      <c r="B734" s="2">
        <v>44708</v>
      </c>
      <c r="C734" s="5" t="s">
        <v>77</v>
      </c>
      <c r="D734" t="s">
        <v>108</v>
      </c>
      <c r="E734" t="s">
        <v>109</v>
      </c>
      <c r="F734" t="s">
        <v>4</v>
      </c>
      <c r="G734" t="s">
        <v>5</v>
      </c>
      <c r="H734" s="3">
        <v>-166.72</v>
      </c>
      <c r="I734" t="s">
        <v>2175</v>
      </c>
      <c r="J734" t="s">
        <v>2165</v>
      </c>
      <c r="K734" t="s">
        <v>8</v>
      </c>
      <c r="L734" t="s">
        <v>8</v>
      </c>
      <c r="M734" t="s">
        <v>8</v>
      </c>
      <c r="N734" t="s">
        <v>78</v>
      </c>
      <c r="O734" t="s">
        <v>57</v>
      </c>
      <c r="P734" t="s">
        <v>72</v>
      </c>
    </row>
    <row r="735" spans="1:16" x14ac:dyDescent="0.25">
      <c r="A735" t="s">
        <v>0</v>
      </c>
      <c r="B735" s="2">
        <v>44708</v>
      </c>
      <c r="C735" s="5" t="s">
        <v>77</v>
      </c>
      <c r="D735" t="s">
        <v>1207</v>
      </c>
      <c r="E735" t="s">
        <v>1208</v>
      </c>
      <c r="F735" t="s">
        <v>4</v>
      </c>
      <c r="G735" t="s">
        <v>5</v>
      </c>
      <c r="H735" s="3">
        <v>-219.27</v>
      </c>
      <c r="I735" t="s">
        <v>2162</v>
      </c>
      <c r="J735" t="s">
        <v>2165</v>
      </c>
      <c r="K735" t="s">
        <v>8</v>
      </c>
      <c r="L735" t="s">
        <v>8</v>
      </c>
      <c r="M735" t="s">
        <v>8</v>
      </c>
      <c r="N735" t="s">
        <v>78</v>
      </c>
      <c r="O735" t="s">
        <v>57</v>
      </c>
      <c r="P735" t="s">
        <v>2211</v>
      </c>
    </row>
    <row r="736" spans="1:16" x14ac:dyDescent="0.25">
      <c r="A736" t="s">
        <v>0</v>
      </c>
      <c r="B736" s="2">
        <v>44708</v>
      </c>
      <c r="C736" s="5" t="s">
        <v>77</v>
      </c>
      <c r="D736" t="s">
        <v>108</v>
      </c>
      <c r="E736" t="s">
        <v>109</v>
      </c>
      <c r="F736" t="s">
        <v>4</v>
      </c>
      <c r="G736" t="s">
        <v>5</v>
      </c>
      <c r="H736" s="3">
        <v>-473.46</v>
      </c>
      <c r="I736" t="s">
        <v>2221</v>
      </c>
      <c r="J736" t="s">
        <v>2165</v>
      </c>
      <c r="K736" t="s">
        <v>8</v>
      </c>
      <c r="L736" t="s">
        <v>8</v>
      </c>
      <c r="M736" t="s">
        <v>8</v>
      </c>
      <c r="N736" t="s">
        <v>78</v>
      </c>
      <c r="O736" t="s">
        <v>57</v>
      </c>
      <c r="P736" t="s">
        <v>383</v>
      </c>
    </row>
    <row r="737" spans="1:16" x14ac:dyDescent="0.25">
      <c r="A737" t="s">
        <v>0</v>
      </c>
      <c r="B737" s="2">
        <v>44708</v>
      </c>
      <c r="C737" s="5" t="s">
        <v>77</v>
      </c>
      <c r="D737" t="s">
        <v>644</v>
      </c>
      <c r="E737" t="s">
        <v>645</v>
      </c>
      <c r="F737" t="s">
        <v>4</v>
      </c>
      <c r="G737" t="s">
        <v>5</v>
      </c>
      <c r="H737" s="3">
        <v>-540</v>
      </c>
      <c r="I737" t="s">
        <v>2228</v>
      </c>
      <c r="J737" t="s">
        <v>2165</v>
      </c>
      <c r="K737" t="s">
        <v>8</v>
      </c>
      <c r="L737" t="s">
        <v>8</v>
      </c>
      <c r="M737" t="s">
        <v>8</v>
      </c>
      <c r="N737" t="s">
        <v>78</v>
      </c>
      <c r="O737" t="s">
        <v>57</v>
      </c>
      <c r="P737" t="s">
        <v>81</v>
      </c>
    </row>
    <row r="738" spans="1:16" x14ac:dyDescent="0.25">
      <c r="A738" t="s">
        <v>0</v>
      </c>
      <c r="B738" s="2">
        <v>44708</v>
      </c>
      <c r="C738" s="5" t="s">
        <v>77</v>
      </c>
      <c r="D738" t="s">
        <v>108</v>
      </c>
      <c r="E738" t="s">
        <v>109</v>
      </c>
      <c r="F738" t="s">
        <v>4</v>
      </c>
      <c r="G738" t="s">
        <v>5</v>
      </c>
      <c r="H738" s="3">
        <v>-759.22</v>
      </c>
      <c r="I738" t="s">
        <v>2233</v>
      </c>
      <c r="J738" t="s">
        <v>2165</v>
      </c>
      <c r="K738" t="s">
        <v>8</v>
      </c>
      <c r="L738" t="s">
        <v>8</v>
      </c>
      <c r="M738" t="s">
        <v>8</v>
      </c>
      <c r="N738" t="s">
        <v>78</v>
      </c>
      <c r="O738" t="s">
        <v>57</v>
      </c>
      <c r="P738" t="s">
        <v>276</v>
      </c>
    </row>
    <row r="739" spans="1:16" x14ac:dyDescent="0.25">
      <c r="A739" t="s">
        <v>0</v>
      </c>
      <c r="B739" s="2">
        <v>44708</v>
      </c>
      <c r="C739" s="5" t="s">
        <v>77</v>
      </c>
      <c r="D739" t="s">
        <v>2191</v>
      </c>
      <c r="E739" t="s">
        <v>2192</v>
      </c>
      <c r="F739" t="s">
        <v>4</v>
      </c>
      <c r="G739" t="s">
        <v>5</v>
      </c>
      <c r="H739" s="3">
        <v>-827.79</v>
      </c>
      <c r="I739" t="s">
        <v>2217</v>
      </c>
      <c r="J739" t="s">
        <v>2165</v>
      </c>
      <c r="K739" t="s">
        <v>8</v>
      </c>
      <c r="L739" t="s">
        <v>8</v>
      </c>
      <c r="M739" t="s">
        <v>8</v>
      </c>
      <c r="N739" t="s">
        <v>78</v>
      </c>
      <c r="O739" t="s">
        <v>57</v>
      </c>
      <c r="P739" t="s">
        <v>312</v>
      </c>
    </row>
    <row r="740" spans="1:16" x14ac:dyDescent="0.25">
      <c r="A740" t="s">
        <v>0</v>
      </c>
      <c r="B740" s="2">
        <v>44708</v>
      </c>
      <c r="C740" s="5" t="s">
        <v>77</v>
      </c>
      <c r="D740" t="s">
        <v>108</v>
      </c>
      <c r="E740" t="s">
        <v>109</v>
      </c>
      <c r="F740" t="s">
        <v>4</v>
      </c>
      <c r="G740" t="s">
        <v>5</v>
      </c>
      <c r="H740" s="3">
        <v>-978.73</v>
      </c>
      <c r="I740" t="s">
        <v>2218</v>
      </c>
      <c r="J740" t="s">
        <v>2165</v>
      </c>
      <c r="K740" t="s">
        <v>8</v>
      </c>
      <c r="L740" t="s">
        <v>8</v>
      </c>
      <c r="M740" t="s">
        <v>8</v>
      </c>
      <c r="N740" t="s">
        <v>78</v>
      </c>
      <c r="O740" t="s">
        <v>57</v>
      </c>
      <c r="P740" t="s">
        <v>573</v>
      </c>
    </row>
    <row r="741" spans="1:16" x14ac:dyDescent="0.25">
      <c r="A741" t="s">
        <v>0</v>
      </c>
      <c r="B741" s="2">
        <v>44708</v>
      </c>
      <c r="C741" s="5" t="s">
        <v>77</v>
      </c>
      <c r="D741" t="s">
        <v>1207</v>
      </c>
      <c r="E741" t="s">
        <v>1208</v>
      </c>
      <c r="F741" t="s">
        <v>4</v>
      </c>
      <c r="G741" t="s">
        <v>5</v>
      </c>
      <c r="H741" s="3">
        <v>-1080.77</v>
      </c>
      <c r="I741" t="s">
        <v>2244</v>
      </c>
      <c r="J741" t="s">
        <v>2165</v>
      </c>
      <c r="K741" t="s">
        <v>8</v>
      </c>
      <c r="L741" t="s">
        <v>8</v>
      </c>
      <c r="M741" t="s">
        <v>8</v>
      </c>
      <c r="N741" t="s">
        <v>78</v>
      </c>
      <c r="O741" t="s">
        <v>57</v>
      </c>
      <c r="P741" t="s">
        <v>141</v>
      </c>
    </row>
    <row r="742" spans="1:16" x14ac:dyDescent="0.25">
      <c r="A742" t="s">
        <v>0</v>
      </c>
      <c r="B742" s="2">
        <v>44709</v>
      </c>
      <c r="C742" s="5" t="s">
        <v>77</v>
      </c>
      <c r="D742" t="s">
        <v>266</v>
      </c>
      <c r="E742" t="s">
        <v>267</v>
      </c>
      <c r="F742" t="s">
        <v>4</v>
      </c>
      <c r="G742" t="s">
        <v>5</v>
      </c>
      <c r="H742" s="3">
        <v>9636.2999999999993</v>
      </c>
      <c r="I742" t="s">
        <v>268</v>
      </c>
      <c r="J742" t="s">
        <v>8</v>
      </c>
      <c r="K742" t="s">
        <v>269</v>
      </c>
      <c r="L742" t="s">
        <v>8</v>
      </c>
      <c r="M742" t="s">
        <v>270</v>
      </c>
      <c r="N742" t="s">
        <v>457</v>
      </c>
      <c r="O742" t="s">
        <v>272</v>
      </c>
      <c r="P742" t="s">
        <v>12</v>
      </c>
    </row>
    <row r="743" spans="1:16" x14ac:dyDescent="0.25">
      <c r="A743" t="s">
        <v>0</v>
      </c>
      <c r="B743" s="2">
        <v>44709</v>
      </c>
      <c r="C743" s="5" t="s">
        <v>77</v>
      </c>
      <c r="D743" t="s">
        <v>301</v>
      </c>
      <c r="E743" t="s">
        <v>302</v>
      </c>
      <c r="F743" t="s">
        <v>4</v>
      </c>
      <c r="G743" t="s">
        <v>5</v>
      </c>
      <c r="H743" s="3">
        <v>6524.6</v>
      </c>
      <c r="I743" t="s">
        <v>268</v>
      </c>
      <c r="J743" t="s">
        <v>8</v>
      </c>
      <c r="K743" t="s">
        <v>606</v>
      </c>
      <c r="L743" t="s">
        <v>8</v>
      </c>
      <c r="M743" t="s">
        <v>270</v>
      </c>
      <c r="N743" t="s">
        <v>607</v>
      </c>
      <c r="O743" t="s">
        <v>272</v>
      </c>
      <c r="P743" t="s">
        <v>12</v>
      </c>
    </row>
    <row r="744" spans="1:16" x14ac:dyDescent="0.25">
      <c r="A744" t="s">
        <v>0</v>
      </c>
      <c r="B744" s="2">
        <v>44709</v>
      </c>
      <c r="C744" s="5" t="s">
        <v>77</v>
      </c>
      <c r="D744" t="s">
        <v>266</v>
      </c>
      <c r="E744" t="s">
        <v>267</v>
      </c>
      <c r="F744" t="s">
        <v>4</v>
      </c>
      <c r="G744" t="s">
        <v>5</v>
      </c>
      <c r="H744" s="3">
        <v>6063.57</v>
      </c>
      <c r="I744" t="s">
        <v>268</v>
      </c>
      <c r="J744" t="s">
        <v>8</v>
      </c>
      <c r="K744" t="s">
        <v>627</v>
      </c>
      <c r="L744" t="s">
        <v>8</v>
      </c>
      <c r="M744" t="s">
        <v>270</v>
      </c>
      <c r="N744" t="s">
        <v>628</v>
      </c>
      <c r="O744" t="s">
        <v>272</v>
      </c>
      <c r="P744" t="s">
        <v>22</v>
      </c>
    </row>
    <row r="745" spans="1:16" x14ac:dyDescent="0.25">
      <c r="A745" t="s">
        <v>0</v>
      </c>
      <c r="B745" s="2">
        <v>44709</v>
      </c>
      <c r="C745" s="5" t="s">
        <v>77</v>
      </c>
      <c r="D745" t="s">
        <v>301</v>
      </c>
      <c r="E745" t="s">
        <v>302</v>
      </c>
      <c r="F745" t="s">
        <v>4</v>
      </c>
      <c r="G745" t="s">
        <v>5</v>
      </c>
      <c r="H745" s="3">
        <v>3575.8</v>
      </c>
      <c r="I745" t="s">
        <v>268</v>
      </c>
      <c r="J745" t="s">
        <v>8</v>
      </c>
      <c r="K745" t="s">
        <v>269</v>
      </c>
      <c r="L745" t="s">
        <v>8</v>
      </c>
      <c r="M745" t="s">
        <v>270</v>
      </c>
      <c r="N745" t="s">
        <v>457</v>
      </c>
      <c r="O745" t="s">
        <v>272</v>
      </c>
      <c r="P745" t="s">
        <v>43</v>
      </c>
    </row>
    <row r="746" spans="1:16" x14ac:dyDescent="0.25">
      <c r="A746" t="s">
        <v>0</v>
      </c>
      <c r="B746" s="2">
        <v>44709</v>
      </c>
      <c r="C746" s="5" t="s">
        <v>77</v>
      </c>
      <c r="D746" t="s">
        <v>266</v>
      </c>
      <c r="E746" t="s">
        <v>267</v>
      </c>
      <c r="F746" t="s">
        <v>4</v>
      </c>
      <c r="G746" t="s">
        <v>5</v>
      </c>
      <c r="H746" s="3">
        <v>1786.98</v>
      </c>
      <c r="I746" t="s">
        <v>268</v>
      </c>
      <c r="J746" t="s">
        <v>8</v>
      </c>
      <c r="K746" t="s">
        <v>932</v>
      </c>
      <c r="L746" t="s">
        <v>8</v>
      </c>
      <c r="M746" t="s">
        <v>270</v>
      </c>
      <c r="N746" t="s">
        <v>1009</v>
      </c>
      <c r="O746" t="s">
        <v>272</v>
      </c>
      <c r="P746" t="s">
        <v>12</v>
      </c>
    </row>
    <row r="747" spans="1:16" x14ac:dyDescent="0.25">
      <c r="A747" t="s">
        <v>0</v>
      </c>
      <c r="B747" s="2">
        <v>44709</v>
      </c>
      <c r="C747" s="5" t="s">
        <v>77</v>
      </c>
      <c r="D747" t="s">
        <v>301</v>
      </c>
      <c r="E747" t="s">
        <v>302</v>
      </c>
      <c r="F747" t="s">
        <v>4</v>
      </c>
      <c r="G747" t="s">
        <v>5</v>
      </c>
      <c r="H747" s="3">
        <v>1564.21</v>
      </c>
      <c r="I747" t="s">
        <v>268</v>
      </c>
      <c r="J747" t="s">
        <v>8</v>
      </c>
      <c r="K747" t="s">
        <v>826</v>
      </c>
      <c r="L747" t="s">
        <v>8</v>
      </c>
      <c r="M747" t="s">
        <v>270</v>
      </c>
      <c r="N747" t="s">
        <v>1068</v>
      </c>
      <c r="O747" t="s">
        <v>272</v>
      </c>
      <c r="P747" t="s">
        <v>43</v>
      </c>
    </row>
    <row r="748" spans="1:16" x14ac:dyDescent="0.25">
      <c r="A748" t="s">
        <v>0</v>
      </c>
      <c r="B748" s="2">
        <v>44709</v>
      </c>
      <c r="C748" s="5" t="s">
        <v>77</v>
      </c>
      <c r="D748" t="s">
        <v>301</v>
      </c>
      <c r="E748" t="s">
        <v>302</v>
      </c>
      <c r="F748" t="s">
        <v>4</v>
      </c>
      <c r="G748" t="s">
        <v>5</v>
      </c>
      <c r="H748" s="3">
        <v>1539.79</v>
      </c>
      <c r="I748" t="s">
        <v>268</v>
      </c>
      <c r="J748" t="s">
        <v>8</v>
      </c>
      <c r="K748" t="s">
        <v>627</v>
      </c>
      <c r="L748" t="s">
        <v>8</v>
      </c>
      <c r="M748" t="s">
        <v>270</v>
      </c>
      <c r="N748" t="s">
        <v>628</v>
      </c>
      <c r="O748" t="s">
        <v>272</v>
      </c>
      <c r="P748" t="s">
        <v>246</v>
      </c>
    </row>
    <row r="749" spans="1:16" x14ac:dyDescent="0.25">
      <c r="A749" t="s">
        <v>0</v>
      </c>
      <c r="B749" s="2">
        <v>44709</v>
      </c>
      <c r="C749" s="5" t="s">
        <v>77</v>
      </c>
      <c r="D749" t="s">
        <v>301</v>
      </c>
      <c r="E749" t="s">
        <v>302</v>
      </c>
      <c r="F749" t="s">
        <v>4</v>
      </c>
      <c r="G749" t="s">
        <v>5</v>
      </c>
      <c r="H749" s="3">
        <v>1211.31</v>
      </c>
      <c r="I749" t="s">
        <v>268</v>
      </c>
      <c r="J749" t="s">
        <v>8</v>
      </c>
      <c r="K749" t="s">
        <v>890</v>
      </c>
      <c r="L749" t="s">
        <v>8</v>
      </c>
      <c r="M749" t="s">
        <v>270</v>
      </c>
      <c r="N749" t="s">
        <v>1145</v>
      </c>
      <c r="O749" t="s">
        <v>272</v>
      </c>
      <c r="P749" t="s">
        <v>30</v>
      </c>
    </row>
    <row r="750" spans="1:16" x14ac:dyDescent="0.25">
      <c r="A750" t="s">
        <v>0</v>
      </c>
      <c r="B750" s="2">
        <v>44709</v>
      </c>
      <c r="C750" s="5" t="s">
        <v>77</v>
      </c>
      <c r="D750" t="s">
        <v>301</v>
      </c>
      <c r="E750" t="s">
        <v>302</v>
      </c>
      <c r="F750" t="s">
        <v>4</v>
      </c>
      <c r="G750" t="s">
        <v>5</v>
      </c>
      <c r="H750" s="3">
        <v>1136.58</v>
      </c>
      <c r="I750" t="s">
        <v>268</v>
      </c>
      <c r="J750" t="s">
        <v>8</v>
      </c>
      <c r="K750" t="s">
        <v>1167</v>
      </c>
      <c r="L750" t="s">
        <v>8</v>
      </c>
      <c r="M750" t="s">
        <v>270</v>
      </c>
      <c r="N750" t="s">
        <v>1170</v>
      </c>
      <c r="O750" t="s">
        <v>272</v>
      </c>
      <c r="P750" t="s">
        <v>43</v>
      </c>
    </row>
    <row r="751" spans="1:16" x14ac:dyDescent="0.25">
      <c r="A751" t="s">
        <v>0</v>
      </c>
      <c r="B751" s="2">
        <v>44709</v>
      </c>
      <c r="C751" s="5" t="s">
        <v>77</v>
      </c>
      <c r="D751" t="s">
        <v>266</v>
      </c>
      <c r="E751" t="s">
        <v>267</v>
      </c>
      <c r="F751" t="s">
        <v>4</v>
      </c>
      <c r="G751" t="s">
        <v>5</v>
      </c>
      <c r="H751" s="3">
        <v>819.03</v>
      </c>
      <c r="I751" t="s">
        <v>268</v>
      </c>
      <c r="J751" t="s">
        <v>8</v>
      </c>
      <c r="K751" t="s">
        <v>1314</v>
      </c>
      <c r="L751" t="s">
        <v>8</v>
      </c>
      <c r="M751" t="s">
        <v>270</v>
      </c>
      <c r="N751" t="s">
        <v>1315</v>
      </c>
      <c r="O751" t="s">
        <v>272</v>
      </c>
      <c r="P751" t="s">
        <v>12</v>
      </c>
    </row>
    <row r="752" spans="1:16" x14ac:dyDescent="0.25">
      <c r="A752" t="s">
        <v>0</v>
      </c>
      <c r="B752" s="2">
        <v>44709</v>
      </c>
      <c r="C752" s="5" t="s">
        <v>77</v>
      </c>
      <c r="D752" t="s">
        <v>266</v>
      </c>
      <c r="E752" t="s">
        <v>267</v>
      </c>
      <c r="F752" t="s">
        <v>4</v>
      </c>
      <c r="G752" t="s">
        <v>5</v>
      </c>
      <c r="H752" s="3">
        <v>784.95</v>
      </c>
      <c r="I752" t="s">
        <v>268</v>
      </c>
      <c r="J752" t="s">
        <v>8</v>
      </c>
      <c r="K752" t="s">
        <v>1240</v>
      </c>
      <c r="L752" t="s">
        <v>8</v>
      </c>
      <c r="M752" t="s">
        <v>270</v>
      </c>
      <c r="N752" t="s">
        <v>1353</v>
      </c>
      <c r="O752" t="s">
        <v>272</v>
      </c>
      <c r="P752" t="s">
        <v>22</v>
      </c>
    </row>
    <row r="753" spans="1:16" x14ac:dyDescent="0.25">
      <c r="A753" t="s">
        <v>0</v>
      </c>
      <c r="B753" s="2">
        <v>44709</v>
      </c>
      <c r="C753" s="5" t="s">
        <v>77</v>
      </c>
      <c r="D753" t="s">
        <v>301</v>
      </c>
      <c r="E753" t="s">
        <v>302</v>
      </c>
      <c r="F753" t="s">
        <v>4</v>
      </c>
      <c r="G753" t="s">
        <v>5</v>
      </c>
      <c r="H753" s="3">
        <v>547.85</v>
      </c>
      <c r="I753" t="s">
        <v>268</v>
      </c>
      <c r="J753" t="s">
        <v>8</v>
      </c>
      <c r="K753" t="s">
        <v>1191</v>
      </c>
      <c r="L753" t="s">
        <v>8</v>
      </c>
      <c r="M753" t="s">
        <v>270</v>
      </c>
      <c r="N753" t="s">
        <v>1446</v>
      </c>
      <c r="O753" t="s">
        <v>272</v>
      </c>
      <c r="P753" t="s">
        <v>82</v>
      </c>
    </row>
    <row r="754" spans="1:16" x14ac:dyDescent="0.25">
      <c r="A754" t="s">
        <v>0</v>
      </c>
      <c r="B754" s="2">
        <v>44711</v>
      </c>
      <c r="C754" s="5" t="s">
        <v>77</v>
      </c>
      <c r="D754" t="s">
        <v>922</v>
      </c>
      <c r="E754" t="s">
        <v>923</v>
      </c>
      <c r="F754" t="s">
        <v>4</v>
      </c>
      <c r="G754" t="s">
        <v>5</v>
      </c>
      <c r="H754" s="3">
        <v>565.01</v>
      </c>
      <c r="I754" t="s">
        <v>1433</v>
      </c>
      <c r="J754" t="s">
        <v>1434</v>
      </c>
      <c r="K754" t="s">
        <v>8</v>
      </c>
      <c r="L754" t="s">
        <v>1435</v>
      </c>
      <c r="M754" t="s">
        <v>8</v>
      </c>
      <c r="N754" t="s">
        <v>1436</v>
      </c>
      <c r="O754" t="s">
        <v>450</v>
      </c>
      <c r="P754" t="s">
        <v>43</v>
      </c>
    </row>
    <row r="755" spans="1:16" x14ac:dyDescent="0.25">
      <c r="A755" t="s">
        <v>0</v>
      </c>
      <c r="B755" s="2">
        <v>44711</v>
      </c>
      <c r="C755" s="5" t="s">
        <v>77</v>
      </c>
      <c r="D755" t="s">
        <v>1050</v>
      </c>
      <c r="E755" t="s">
        <v>1051</v>
      </c>
      <c r="F755" t="s">
        <v>4</v>
      </c>
      <c r="G755" t="s">
        <v>5</v>
      </c>
      <c r="H755" s="3">
        <v>517.5</v>
      </c>
      <c r="I755" t="s">
        <v>1465</v>
      </c>
      <c r="J755" t="s">
        <v>1051</v>
      </c>
      <c r="K755" t="s">
        <v>8</v>
      </c>
      <c r="L755" t="s">
        <v>8</v>
      </c>
      <c r="M755" t="s">
        <v>8</v>
      </c>
      <c r="N755" t="s">
        <v>1466</v>
      </c>
      <c r="O755" t="s">
        <v>1054</v>
      </c>
      <c r="P755" t="s">
        <v>613</v>
      </c>
    </row>
    <row r="756" spans="1:16" x14ac:dyDescent="0.25">
      <c r="A756" t="s">
        <v>0</v>
      </c>
      <c r="B756" s="2">
        <v>44711</v>
      </c>
      <c r="C756" s="5" t="s">
        <v>77</v>
      </c>
      <c r="D756" t="s">
        <v>1050</v>
      </c>
      <c r="E756" t="s">
        <v>1051</v>
      </c>
      <c r="F756" t="s">
        <v>4</v>
      </c>
      <c r="G756" t="s">
        <v>5</v>
      </c>
      <c r="H756" s="3">
        <v>514.08000000000004</v>
      </c>
      <c r="I756" t="s">
        <v>1470</v>
      </c>
      <c r="J756" t="s">
        <v>1051</v>
      </c>
      <c r="K756" t="s">
        <v>8</v>
      </c>
      <c r="L756" t="s">
        <v>8</v>
      </c>
      <c r="M756" t="s">
        <v>8</v>
      </c>
      <c r="N756" t="s">
        <v>1471</v>
      </c>
      <c r="O756" t="s">
        <v>1054</v>
      </c>
      <c r="P756" t="s">
        <v>613</v>
      </c>
    </row>
    <row r="757" spans="1:16" x14ac:dyDescent="0.25">
      <c r="A757" t="s">
        <v>0</v>
      </c>
      <c r="B757" s="2">
        <v>44712</v>
      </c>
      <c r="C757" t="s">
        <v>77</v>
      </c>
      <c r="D757" t="s">
        <v>90</v>
      </c>
      <c r="E757" t="s">
        <v>91</v>
      </c>
      <c r="F757" t="s">
        <v>4</v>
      </c>
      <c r="G757" t="s">
        <v>5</v>
      </c>
      <c r="H757" s="3">
        <v>97364.75</v>
      </c>
      <c r="I757" t="s">
        <v>104</v>
      </c>
      <c r="J757" t="s">
        <v>93</v>
      </c>
      <c r="K757" t="s">
        <v>8</v>
      </c>
      <c r="L757" t="s">
        <v>8</v>
      </c>
      <c r="M757" t="s">
        <v>8</v>
      </c>
      <c r="N757" t="s">
        <v>105</v>
      </c>
      <c r="O757" t="s">
        <v>95</v>
      </c>
      <c r="P757" t="s">
        <v>82</v>
      </c>
    </row>
    <row r="758" spans="1:16" x14ac:dyDescent="0.25">
      <c r="A758" t="s">
        <v>0</v>
      </c>
      <c r="B758" s="2">
        <v>44712</v>
      </c>
      <c r="C758" t="s">
        <v>77</v>
      </c>
      <c r="D758" t="s">
        <v>108</v>
      </c>
      <c r="E758" t="s">
        <v>109</v>
      </c>
      <c r="F758" t="s">
        <v>4</v>
      </c>
      <c r="G758" t="s">
        <v>5</v>
      </c>
      <c r="H758" s="3">
        <v>66850.05</v>
      </c>
      <c r="I758" t="s">
        <v>134</v>
      </c>
      <c r="J758" t="s">
        <v>109</v>
      </c>
      <c r="K758" t="s">
        <v>8</v>
      </c>
      <c r="L758" t="s">
        <v>8</v>
      </c>
      <c r="M758" t="s">
        <v>8</v>
      </c>
      <c r="N758" t="s">
        <v>135</v>
      </c>
      <c r="O758" t="s">
        <v>136</v>
      </c>
      <c r="P758" t="s">
        <v>118</v>
      </c>
    </row>
    <row r="759" spans="1:16" x14ac:dyDescent="0.25">
      <c r="A759" t="s">
        <v>0</v>
      </c>
      <c r="B759" s="2">
        <v>44712</v>
      </c>
      <c r="C759" t="s">
        <v>77</v>
      </c>
      <c r="D759" t="s">
        <v>152</v>
      </c>
      <c r="E759" t="s">
        <v>153</v>
      </c>
      <c r="F759" t="s">
        <v>4</v>
      </c>
      <c r="G759" t="s">
        <v>5</v>
      </c>
      <c r="H759" s="3">
        <v>53940.72</v>
      </c>
      <c r="I759" t="s">
        <v>154</v>
      </c>
      <c r="J759" t="s">
        <v>109</v>
      </c>
      <c r="K759" t="s">
        <v>8</v>
      </c>
      <c r="L759" t="s">
        <v>8</v>
      </c>
      <c r="M759" t="s">
        <v>8</v>
      </c>
      <c r="N759" t="s">
        <v>135</v>
      </c>
      <c r="O759" t="s">
        <v>136</v>
      </c>
      <c r="P759" t="s">
        <v>155</v>
      </c>
    </row>
    <row r="760" spans="1:16" x14ac:dyDescent="0.25">
      <c r="A760" t="s">
        <v>0</v>
      </c>
      <c r="B760" s="2">
        <v>44712</v>
      </c>
      <c r="C760" t="s">
        <v>77</v>
      </c>
      <c r="D760" t="s">
        <v>185</v>
      </c>
      <c r="E760" t="s">
        <v>186</v>
      </c>
      <c r="F760" t="s">
        <v>4</v>
      </c>
      <c r="G760" t="s">
        <v>5</v>
      </c>
      <c r="H760" s="3">
        <v>28230.5</v>
      </c>
      <c r="I760" t="s">
        <v>191</v>
      </c>
      <c r="J760" t="s">
        <v>188</v>
      </c>
      <c r="K760" t="s">
        <v>8</v>
      </c>
      <c r="L760" t="s">
        <v>8</v>
      </c>
      <c r="M760" t="s">
        <v>8</v>
      </c>
      <c r="N760" t="s">
        <v>192</v>
      </c>
      <c r="O760" t="s">
        <v>95</v>
      </c>
      <c r="P760" t="s">
        <v>193</v>
      </c>
    </row>
    <row r="761" spans="1:16" x14ac:dyDescent="0.25">
      <c r="A761" t="s">
        <v>0</v>
      </c>
      <c r="B761" s="2">
        <v>44712</v>
      </c>
      <c r="C761" t="s">
        <v>77</v>
      </c>
      <c r="D761" t="s">
        <v>229</v>
      </c>
      <c r="E761" t="s">
        <v>230</v>
      </c>
      <c r="F761" t="s">
        <v>4</v>
      </c>
      <c r="G761" t="s">
        <v>5</v>
      </c>
      <c r="H761" s="3">
        <v>23229.78</v>
      </c>
      <c r="I761" t="s">
        <v>251</v>
      </c>
      <c r="J761" t="s">
        <v>232</v>
      </c>
      <c r="K761" t="s">
        <v>8</v>
      </c>
      <c r="L761" t="s">
        <v>8</v>
      </c>
      <c r="M761" t="s">
        <v>8</v>
      </c>
      <c r="N761" t="s">
        <v>252</v>
      </c>
      <c r="O761" t="s">
        <v>234</v>
      </c>
      <c r="P761" t="s">
        <v>253</v>
      </c>
    </row>
    <row r="762" spans="1:16" x14ac:dyDescent="0.25">
      <c r="A762" t="s">
        <v>0</v>
      </c>
      <c r="B762" s="2">
        <v>44712</v>
      </c>
      <c r="C762" t="s">
        <v>77</v>
      </c>
      <c r="D762" t="s">
        <v>241</v>
      </c>
      <c r="E762" t="s">
        <v>242</v>
      </c>
      <c r="F762" t="s">
        <v>4</v>
      </c>
      <c r="G762" t="s">
        <v>5</v>
      </c>
      <c r="H762" s="3">
        <v>21907.25</v>
      </c>
      <c r="I762" t="s">
        <v>283</v>
      </c>
      <c r="J762" t="s">
        <v>244</v>
      </c>
      <c r="K762" t="s">
        <v>8</v>
      </c>
      <c r="L762" t="s">
        <v>8</v>
      </c>
      <c r="M762" t="s">
        <v>8</v>
      </c>
      <c r="N762" t="s">
        <v>284</v>
      </c>
      <c r="O762" t="s">
        <v>95</v>
      </c>
      <c r="P762" t="s">
        <v>282</v>
      </c>
    </row>
    <row r="763" spans="1:16" x14ac:dyDescent="0.25">
      <c r="A763" t="s">
        <v>0</v>
      </c>
      <c r="B763" s="2">
        <v>44712</v>
      </c>
      <c r="C763" t="s">
        <v>77</v>
      </c>
      <c r="D763" t="s">
        <v>333</v>
      </c>
      <c r="E763" t="s">
        <v>334</v>
      </c>
      <c r="F763" t="s">
        <v>4</v>
      </c>
      <c r="G763" t="s">
        <v>5</v>
      </c>
      <c r="H763" s="3">
        <v>14459.13</v>
      </c>
      <c r="I763" t="s">
        <v>349</v>
      </c>
      <c r="J763" t="s">
        <v>248</v>
      </c>
      <c r="K763" t="s">
        <v>8</v>
      </c>
      <c r="L763" t="s">
        <v>8</v>
      </c>
      <c r="M763" t="s">
        <v>8</v>
      </c>
      <c r="N763" t="s">
        <v>350</v>
      </c>
      <c r="O763" t="s">
        <v>95</v>
      </c>
      <c r="P763" t="s">
        <v>351</v>
      </c>
    </row>
    <row r="764" spans="1:16" x14ac:dyDescent="0.25">
      <c r="A764" t="s">
        <v>0</v>
      </c>
      <c r="B764" s="2">
        <v>44712</v>
      </c>
      <c r="C764" s="5" t="s">
        <v>77</v>
      </c>
      <c r="D764" t="s">
        <v>794</v>
      </c>
      <c r="E764" t="s">
        <v>795</v>
      </c>
      <c r="F764" t="s">
        <v>4</v>
      </c>
      <c r="G764" t="s">
        <v>5</v>
      </c>
      <c r="H764" s="3">
        <v>3396.12</v>
      </c>
      <c r="I764" t="s">
        <v>251</v>
      </c>
      <c r="J764" t="s">
        <v>232</v>
      </c>
      <c r="K764" t="s">
        <v>8</v>
      </c>
      <c r="L764" t="s">
        <v>8</v>
      </c>
      <c r="M764" t="s">
        <v>8</v>
      </c>
      <c r="N764" t="s">
        <v>252</v>
      </c>
      <c r="O764" t="s">
        <v>234</v>
      </c>
      <c r="P764" t="s">
        <v>17</v>
      </c>
    </row>
    <row r="765" spans="1:16" x14ac:dyDescent="0.25">
      <c r="A765" t="s">
        <v>0</v>
      </c>
      <c r="B765" s="2">
        <v>44712</v>
      </c>
      <c r="C765" s="5" t="s">
        <v>77</v>
      </c>
      <c r="D765" t="s">
        <v>881</v>
      </c>
      <c r="E765" t="s">
        <v>882</v>
      </c>
      <c r="F765" t="s">
        <v>4</v>
      </c>
      <c r="G765" t="s">
        <v>5</v>
      </c>
      <c r="H765" s="3">
        <v>1831.6</v>
      </c>
      <c r="I765" t="s">
        <v>1001</v>
      </c>
      <c r="J765" t="s">
        <v>109</v>
      </c>
      <c r="K765" t="s">
        <v>8</v>
      </c>
      <c r="L765" t="s">
        <v>8</v>
      </c>
      <c r="M765" t="s">
        <v>8</v>
      </c>
      <c r="N765" t="s">
        <v>135</v>
      </c>
      <c r="O765" t="s">
        <v>136</v>
      </c>
      <c r="P765" t="s">
        <v>911</v>
      </c>
    </row>
    <row r="766" spans="1:16" x14ac:dyDescent="0.25">
      <c r="A766" t="s">
        <v>0</v>
      </c>
      <c r="B766" s="2">
        <v>44712</v>
      </c>
      <c r="C766" s="5" t="s">
        <v>77</v>
      </c>
      <c r="D766" t="s">
        <v>1003</v>
      </c>
      <c r="E766" t="s">
        <v>1004</v>
      </c>
      <c r="F766" t="s">
        <v>4</v>
      </c>
      <c r="G766" t="s">
        <v>5</v>
      </c>
      <c r="H766" s="3">
        <v>1793.56</v>
      </c>
      <c r="I766" t="s">
        <v>349</v>
      </c>
      <c r="J766" t="s">
        <v>248</v>
      </c>
      <c r="K766" t="s">
        <v>8</v>
      </c>
      <c r="L766" t="s">
        <v>8</v>
      </c>
      <c r="M766" t="s">
        <v>8</v>
      </c>
      <c r="N766" t="s">
        <v>350</v>
      </c>
      <c r="O766" t="s">
        <v>95</v>
      </c>
      <c r="P766" t="s">
        <v>1</v>
      </c>
    </row>
    <row r="767" spans="1:16" x14ac:dyDescent="0.25">
      <c r="A767" t="s">
        <v>0</v>
      </c>
      <c r="B767" s="2">
        <v>44712</v>
      </c>
      <c r="C767" s="5" t="s">
        <v>77</v>
      </c>
      <c r="D767" t="s">
        <v>108</v>
      </c>
      <c r="E767" t="s">
        <v>109</v>
      </c>
      <c r="F767" t="s">
        <v>4</v>
      </c>
      <c r="G767" t="s">
        <v>5</v>
      </c>
      <c r="H767" s="3">
        <v>1282.5999999999999</v>
      </c>
      <c r="I767" t="s">
        <v>1131</v>
      </c>
      <c r="J767" t="s">
        <v>109</v>
      </c>
      <c r="K767" t="s">
        <v>8</v>
      </c>
      <c r="L767" t="s">
        <v>8</v>
      </c>
      <c r="M767" t="s">
        <v>8</v>
      </c>
      <c r="N767" t="s">
        <v>135</v>
      </c>
      <c r="O767" t="s">
        <v>136</v>
      </c>
      <c r="P767" t="s">
        <v>1122</v>
      </c>
    </row>
    <row r="768" spans="1:16" x14ac:dyDescent="0.25">
      <c r="A768" t="s">
        <v>0</v>
      </c>
      <c r="B768" s="2">
        <v>44712</v>
      </c>
      <c r="C768" s="5" t="s">
        <v>77</v>
      </c>
      <c r="D768" t="s">
        <v>1839</v>
      </c>
      <c r="E768" t="s">
        <v>1840</v>
      </c>
      <c r="F768" t="s">
        <v>4</v>
      </c>
      <c r="G768" t="s">
        <v>5</v>
      </c>
      <c r="H768" s="3">
        <v>152.91</v>
      </c>
      <c r="I768" t="s">
        <v>349</v>
      </c>
      <c r="J768" t="s">
        <v>248</v>
      </c>
      <c r="K768" t="s">
        <v>8</v>
      </c>
      <c r="L768" t="s">
        <v>8</v>
      </c>
      <c r="M768" t="s">
        <v>8</v>
      </c>
      <c r="N768" t="s">
        <v>350</v>
      </c>
      <c r="O768" t="s">
        <v>95</v>
      </c>
      <c r="P768" t="s">
        <v>370</v>
      </c>
    </row>
    <row r="769" spans="1:16" x14ac:dyDescent="0.25">
      <c r="A769" t="s">
        <v>0</v>
      </c>
      <c r="B769" s="2">
        <v>44712</v>
      </c>
      <c r="C769" s="5" t="s">
        <v>77</v>
      </c>
      <c r="D769" t="s">
        <v>644</v>
      </c>
      <c r="E769" t="s">
        <v>645</v>
      </c>
      <c r="F769" t="s">
        <v>4</v>
      </c>
      <c r="G769" t="s">
        <v>5</v>
      </c>
      <c r="H769" s="3">
        <v>148.74</v>
      </c>
      <c r="I769" t="s">
        <v>1854</v>
      </c>
      <c r="J769" t="s">
        <v>109</v>
      </c>
      <c r="K769" t="s">
        <v>8</v>
      </c>
      <c r="L769" t="s">
        <v>8</v>
      </c>
      <c r="M769" t="s">
        <v>8</v>
      </c>
      <c r="N769" t="s">
        <v>135</v>
      </c>
      <c r="O769" t="s">
        <v>136</v>
      </c>
      <c r="P769" t="s">
        <v>215</v>
      </c>
    </row>
    <row r="770" spans="1:16" x14ac:dyDescent="0.25">
      <c r="A770" t="s">
        <v>0</v>
      </c>
      <c r="B770" s="2">
        <v>44712</v>
      </c>
      <c r="C770" s="5" t="s">
        <v>77</v>
      </c>
      <c r="D770" t="s">
        <v>403</v>
      </c>
      <c r="E770" t="s">
        <v>404</v>
      </c>
      <c r="F770" t="s">
        <v>4</v>
      </c>
      <c r="G770" t="s">
        <v>5</v>
      </c>
      <c r="H770" s="3">
        <v>-10242.719999999999</v>
      </c>
      <c r="I770" t="s">
        <v>2266</v>
      </c>
      <c r="J770" t="s">
        <v>406</v>
      </c>
      <c r="K770" t="s">
        <v>8</v>
      </c>
      <c r="L770" t="s">
        <v>8</v>
      </c>
      <c r="M770" t="s">
        <v>8</v>
      </c>
      <c r="N770" t="s">
        <v>2267</v>
      </c>
      <c r="O770" t="s">
        <v>2257</v>
      </c>
      <c r="P770" t="s">
        <v>1431</v>
      </c>
    </row>
    <row r="771" spans="1:16" x14ac:dyDescent="0.25">
      <c r="A771" t="s">
        <v>0</v>
      </c>
      <c r="B771" s="2">
        <v>44713</v>
      </c>
      <c r="C771" t="s">
        <v>77</v>
      </c>
      <c r="D771" t="s">
        <v>216</v>
      </c>
      <c r="E771" t="s">
        <v>217</v>
      </c>
      <c r="F771" t="s">
        <v>4</v>
      </c>
      <c r="G771" t="s">
        <v>5</v>
      </c>
      <c r="H771" s="3">
        <v>26984.04</v>
      </c>
      <c r="I771" t="s">
        <v>218</v>
      </c>
      <c r="J771" t="s">
        <v>8</v>
      </c>
      <c r="K771" t="s">
        <v>219</v>
      </c>
      <c r="L771" t="s">
        <v>8</v>
      </c>
      <c r="M771" t="s">
        <v>220</v>
      </c>
      <c r="N771" t="s">
        <v>221</v>
      </c>
      <c r="O771" t="s">
        <v>95</v>
      </c>
      <c r="P771" t="s">
        <v>222</v>
      </c>
    </row>
    <row r="772" spans="1:16" x14ac:dyDescent="0.25">
      <c r="A772" t="s">
        <v>0</v>
      </c>
      <c r="B772" s="2">
        <v>44713</v>
      </c>
      <c r="C772" s="5" t="s">
        <v>77</v>
      </c>
      <c r="D772" t="s">
        <v>651</v>
      </c>
      <c r="E772" t="s">
        <v>652</v>
      </c>
      <c r="F772" t="s">
        <v>4</v>
      </c>
      <c r="G772" t="s">
        <v>5</v>
      </c>
      <c r="H772" s="3">
        <v>5726.97</v>
      </c>
      <c r="I772" t="s">
        <v>653</v>
      </c>
      <c r="J772" t="s">
        <v>8</v>
      </c>
      <c r="K772" t="s">
        <v>219</v>
      </c>
      <c r="L772" t="s">
        <v>8</v>
      </c>
      <c r="M772" t="s">
        <v>220</v>
      </c>
      <c r="N772" t="s">
        <v>221</v>
      </c>
      <c r="O772" t="s">
        <v>95</v>
      </c>
      <c r="P772" t="s">
        <v>193</v>
      </c>
    </row>
    <row r="773" spans="1:16" x14ac:dyDescent="0.25">
      <c r="A773" t="s">
        <v>0</v>
      </c>
      <c r="B773" s="2">
        <v>44713</v>
      </c>
      <c r="C773" s="5" t="s">
        <v>77</v>
      </c>
      <c r="D773" t="s">
        <v>398</v>
      </c>
      <c r="E773" t="s">
        <v>399</v>
      </c>
      <c r="F773" t="s">
        <v>4</v>
      </c>
      <c r="G773" t="s">
        <v>5</v>
      </c>
      <c r="H773" s="3">
        <v>4486.92</v>
      </c>
      <c r="I773" t="s">
        <v>400</v>
      </c>
      <c r="J773" t="s">
        <v>8</v>
      </c>
      <c r="K773" t="s">
        <v>219</v>
      </c>
      <c r="L773" t="s">
        <v>8</v>
      </c>
      <c r="M773" t="s">
        <v>220</v>
      </c>
      <c r="N773" t="s">
        <v>221</v>
      </c>
      <c r="O773" t="s">
        <v>95</v>
      </c>
      <c r="P773" t="s">
        <v>731</v>
      </c>
    </row>
    <row r="774" spans="1:16" x14ac:dyDescent="0.25">
      <c r="A774" t="s">
        <v>0</v>
      </c>
      <c r="B774" s="2">
        <v>44713</v>
      </c>
      <c r="C774" s="5" t="s">
        <v>77</v>
      </c>
      <c r="D774" t="s">
        <v>885</v>
      </c>
      <c r="E774" t="s">
        <v>886</v>
      </c>
      <c r="F774" t="s">
        <v>4</v>
      </c>
      <c r="G774" t="s">
        <v>5</v>
      </c>
      <c r="H774" s="3">
        <v>1547.08</v>
      </c>
      <c r="I774" t="s">
        <v>887</v>
      </c>
      <c r="J774" t="s">
        <v>8</v>
      </c>
      <c r="K774" t="s">
        <v>219</v>
      </c>
      <c r="L774" t="s">
        <v>8</v>
      </c>
      <c r="M774" t="s">
        <v>220</v>
      </c>
      <c r="N774" t="s">
        <v>221</v>
      </c>
      <c r="O774" t="s">
        <v>95</v>
      </c>
      <c r="P774" t="s">
        <v>1090</v>
      </c>
    </row>
    <row r="775" spans="1:16" x14ac:dyDescent="0.25">
      <c r="A775" t="s">
        <v>0</v>
      </c>
      <c r="B775" s="2">
        <v>44713</v>
      </c>
      <c r="C775" s="5" t="s">
        <v>77</v>
      </c>
      <c r="D775" t="s">
        <v>753</v>
      </c>
      <c r="E775" t="s">
        <v>754</v>
      </c>
      <c r="F775" t="s">
        <v>4</v>
      </c>
      <c r="G775" t="s">
        <v>5</v>
      </c>
      <c r="H775" s="3">
        <v>1347.54</v>
      </c>
      <c r="I775" t="s">
        <v>755</v>
      </c>
      <c r="J775" t="s">
        <v>8</v>
      </c>
      <c r="K775" t="s">
        <v>219</v>
      </c>
      <c r="L775" t="s">
        <v>8</v>
      </c>
      <c r="M775" t="s">
        <v>220</v>
      </c>
      <c r="N775" t="s">
        <v>221</v>
      </c>
      <c r="O775" t="s">
        <v>95</v>
      </c>
      <c r="P775" t="s">
        <v>1119</v>
      </c>
    </row>
    <row r="776" spans="1:16" x14ac:dyDescent="0.25">
      <c r="A776" t="s">
        <v>0</v>
      </c>
      <c r="B776" s="2">
        <v>44713</v>
      </c>
      <c r="C776" s="5" t="s">
        <v>77</v>
      </c>
      <c r="D776" t="s">
        <v>2289</v>
      </c>
      <c r="E776" t="s">
        <v>2290</v>
      </c>
      <c r="F776" t="s">
        <v>4</v>
      </c>
      <c r="G776" t="s">
        <v>5</v>
      </c>
      <c r="H776" s="3">
        <v>-803239.07</v>
      </c>
      <c r="I776" t="s">
        <v>2291</v>
      </c>
      <c r="J776" t="s">
        <v>8</v>
      </c>
      <c r="K776" t="s">
        <v>2292</v>
      </c>
      <c r="L776" t="s">
        <v>8</v>
      </c>
      <c r="M776" t="s">
        <v>220</v>
      </c>
      <c r="N776" t="s">
        <v>2296</v>
      </c>
      <c r="O776" t="s">
        <v>95</v>
      </c>
      <c r="P776" t="s">
        <v>2294</v>
      </c>
    </row>
    <row r="777" spans="1:16" x14ac:dyDescent="0.25">
      <c r="A777" t="s">
        <v>0</v>
      </c>
      <c r="B777" s="2">
        <v>44714</v>
      </c>
      <c r="C777" t="s">
        <v>22</v>
      </c>
      <c r="D777" t="s">
        <v>2</v>
      </c>
      <c r="E777" t="s">
        <v>3</v>
      </c>
      <c r="F777" t="s">
        <v>4</v>
      </c>
      <c r="G777" t="s">
        <v>5</v>
      </c>
      <c r="H777" s="3">
        <v>322580.15000000002</v>
      </c>
      <c r="I777" t="s">
        <v>23</v>
      </c>
      <c r="J777" t="s">
        <v>7</v>
      </c>
      <c r="K777" t="s">
        <v>8</v>
      </c>
      <c r="L777" t="s">
        <v>24</v>
      </c>
      <c r="M777" t="s">
        <v>8</v>
      </c>
      <c r="N777" t="s">
        <v>25</v>
      </c>
      <c r="O777" t="s">
        <v>11</v>
      </c>
      <c r="P777" t="s">
        <v>1</v>
      </c>
    </row>
    <row r="778" spans="1:16" x14ac:dyDescent="0.25">
      <c r="A778" t="s">
        <v>0</v>
      </c>
      <c r="B778" s="2">
        <v>44714</v>
      </c>
      <c r="C778" s="5" t="s">
        <v>22</v>
      </c>
      <c r="D778" t="s">
        <v>2</v>
      </c>
      <c r="E778" t="s">
        <v>3</v>
      </c>
      <c r="F778" t="s">
        <v>4</v>
      </c>
      <c r="G778" t="s">
        <v>5</v>
      </c>
      <c r="H778" s="3">
        <v>5424.48</v>
      </c>
      <c r="I778" t="s">
        <v>661</v>
      </c>
      <c r="J778" t="s">
        <v>594</v>
      </c>
      <c r="K778" t="s">
        <v>8</v>
      </c>
      <c r="L778" t="s">
        <v>8</v>
      </c>
      <c r="M778" t="s">
        <v>8</v>
      </c>
      <c r="N778" t="s">
        <v>662</v>
      </c>
      <c r="O778" t="s">
        <v>11</v>
      </c>
      <c r="P778" t="s">
        <v>1</v>
      </c>
    </row>
    <row r="779" spans="1:16" x14ac:dyDescent="0.25">
      <c r="A779" t="s">
        <v>0</v>
      </c>
      <c r="B779" s="2">
        <v>44714</v>
      </c>
      <c r="C779" s="5" t="s">
        <v>22</v>
      </c>
      <c r="D779" t="s">
        <v>390</v>
      </c>
      <c r="E779" t="s">
        <v>391</v>
      </c>
      <c r="F779" t="s">
        <v>4</v>
      </c>
      <c r="G779" t="s">
        <v>5</v>
      </c>
      <c r="H779" s="3">
        <v>1550</v>
      </c>
      <c r="I779" t="s">
        <v>1079</v>
      </c>
      <c r="J779" t="s">
        <v>1076</v>
      </c>
      <c r="K779" t="s">
        <v>8</v>
      </c>
      <c r="L779" t="s">
        <v>1080</v>
      </c>
      <c r="M779" t="s">
        <v>8</v>
      </c>
      <c r="N779" t="s">
        <v>1081</v>
      </c>
      <c r="O779" t="s">
        <v>300</v>
      </c>
      <c r="P779" t="s">
        <v>12</v>
      </c>
    </row>
    <row r="780" spans="1:16" x14ac:dyDescent="0.25">
      <c r="A780" t="s">
        <v>0</v>
      </c>
      <c r="B780" s="2">
        <v>44715</v>
      </c>
      <c r="C780" s="5" t="s">
        <v>22</v>
      </c>
      <c r="D780" t="s">
        <v>294</v>
      </c>
      <c r="E780" t="s">
        <v>295</v>
      </c>
      <c r="F780" t="s">
        <v>4</v>
      </c>
      <c r="G780" t="s">
        <v>5</v>
      </c>
      <c r="H780" s="3">
        <v>635.02</v>
      </c>
      <c r="I780" t="s">
        <v>1406</v>
      </c>
      <c r="J780" t="s">
        <v>297</v>
      </c>
      <c r="K780" t="s">
        <v>8</v>
      </c>
      <c r="L780" t="s">
        <v>1407</v>
      </c>
      <c r="M780" t="s">
        <v>8</v>
      </c>
      <c r="N780" t="s">
        <v>1408</v>
      </c>
      <c r="O780" t="s">
        <v>524</v>
      </c>
      <c r="P780" t="s">
        <v>1</v>
      </c>
    </row>
    <row r="781" spans="1:16" x14ac:dyDescent="0.25">
      <c r="A781" t="s">
        <v>0</v>
      </c>
      <c r="B781" s="2">
        <v>44718</v>
      </c>
      <c r="C781" s="5" t="s">
        <v>22</v>
      </c>
      <c r="D781" t="s">
        <v>47</v>
      </c>
      <c r="E781" t="s">
        <v>48</v>
      </c>
      <c r="F781" t="s">
        <v>4</v>
      </c>
      <c r="G781" t="s">
        <v>5</v>
      </c>
      <c r="H781" s="3">
        <v>1784.7</v>
      </c>
      <c r="I781" t="s">
        <v>1020</v>
      </c>
      <c r="J781" t="s">
        <v>1011</v>
      </c>
      <c r="K781" t="s">
        <v>8</v>
      </c>
      <c r="L781" t="s">
        <v>1021</v>
      </c>
      <c r="M781" t="s">
        <v>8</v>
      </c>
      <c r="N781" t="s">
        <v>1022</v>
      </c>
      <c r="O781" t="s">
        <v>300</v>
      </c>
      <c r="P781" t="s">
        <v>1</v>
      </c>
    </row>
    <row r="782" spans="1:16" x14ac:dyDescent="0.25">
      <c r="A782" t="s">
        <v>0</v>
      </c>
      <c r="B782" s="2">
        <v>44718</v>
      </c>
      <c r="C782" s="5" t="s">
        <v>22</v>
      </c>
      <c r="D782" t="s">
        <v>47</v>
      </c>
      <c r="E782" t="s">
        <v>48</v>
      </c>
      <c r="F782" t="s">
        <v>4</v>
      </c>
      <c r="G782" t="s">
        <v>5</v>
      </c>
      <c r="H782" s="3">
        <v>8.33</v>
      </c>
      <c r="I782" t="s">
        <v>942</v>
      </c>
      <c r="J782" t="s">
        <v>943</v>
      </c>
      <c r="K782" t="s">
        <v>8</v>
      </c>
      <c r="L782" t="s">
        <v>8</v>
      </c>
      <c r="M782" t="s">
        <v>8</v>
      </c>
      <c r="N782" t="s">
        <v>2146</v>
      </c>
      <c r="O782" t="s">
        <v>945</v>
      </c>
      <c r="P782" t="s">
        <v>1</v>
      </c>
    </row>
    <row r="783" spans="1:16" x14ac:dyDescent="0.25">
      <c r="A783" t="s">
        <v>0</v>
      </c>
      <c r="B783" s="2">
        <v>44720</v>
      </c>
      <c r="C783" s="5" t="s">
        <v>22</v>
      </c>
      <c r="D783" t="s">
        <v>47</v>
      </c>
      <c r="E783" t="s">
        <v>48</v>
      </c>
      <c r="F783" t="s">
        <v>4</v>
      </c>
      <c r="G783" t="s">
        <v>5</v>
      </c>
      <c r="H783" s="3">
        <v>1784.7</v>
      </c>
      <c r="I783" t="s">
        <v>1023</v>
      </c>
      <c r="J783" t="s">
        <v>1011</v>
      </c>
      <c r="K783" t="s">
        <v>8</v>
      </c>
      <c r="L783" t="s">
        <v>1024</v>
      </c>
      <c r="M783" t="s">
        <v>8</v>
      </c>
      <c r="N783" t="s">
        <v>1025</v>
      </c>
      <c r="O783" t="s">
        <v>300</v>
      </c>
      <c r="P783" t="s">
        <v>1</v>
      </c>
    </row>
    <row r="784" spans="1:16" x14ac:dyDescent="0.25">
      <c r="A784" t="s">
        <v>0</v>
      </c>
      <c r="B784" s="2">
        <v>44720</v>
      </c>
      <c r="C784" s="5" t="s">
        <v>22</v>
      </c>
      <c r="D784" t="s">
        <v>1517</v>
      </c>
      <c r="E784" t="s">
        <v>1518</v>
      </c>
      <c r="F784" t="s">
        <v>4</v>
      </c>
      <c r="G784" t="s">
        <v>5</v>
      </c>
      <c r="H784" s="3">
        <v>438.9</v>
      </c>
      <c r="I784" t="s">
        <v>1535</v>
      </c>
      <c r="J784" t="s">
        <v>1520</v>
      </c>
      <c r="K784" t="s">
        <v>8</v>
      </c>
      <c r="L784" t="s">
        <v>1536</v>
      </c>
      <c r="M784" t="s">
        <v>8</v>
      </c>
      <c r="N784" t="s">
        <v>1537</v>
      </c>
      <c r="O784" t="s">
        <v>300</v>
      </c>
      <c r="P784" t="s">
        <v>1</v>
      </c>
    </row>
    <row r="785" spans="1:16" x14ac:dyDescent="0.25">
      <c r="A785" t="s">
        <v>0</v>
      </c>
      <c r="B785" s="2">
        <v>44721</v>
      </c>
      <c r="C785" s="5" t="s">
        <v>22</v>
      </c>
      <c r="D785" t="s">
        <v>697</v>
      </c>
      <c r="E785" t="s">
        <v>698</v>
      </c>
      <c r="F785" t="s">
        <v>4</v>
      </c>
      <c r="G785" t="s">
        <v>5</v>
      </c>
      <c r="H785" s="3">
        <v>4780.07</v>
      </c>
      <c r="I785" t="s">
        <v>712</v>
      </c>
      <c r="J785" t="s">
        <v>700</v>
      </c>
      <c r="K785" t="s">
        <v>8</v>
      </c>
      <c r="L785" t="s">
        <v>713</v>
      </c>
      <c r="M785" t="s">
        <v>8</v>
      </c>
      <c r="N785" t="s">
        <v>714</v>
      </c>
      <c r="O785" t="s">
        <v>524</v>
      </c>
      <c r="P785" t="s">
        <v>1</v>
      </c>
    </row>
    <row r="786" spans="1:16" x14ac:dyDescent="0.25">
      <c r="A786" t="s">
        <v>0</v>
      </c>
      <c r="B786" s="2">
        <v>44722</v>
      </c>
      <c r="C786" s="5" t="s">
        <v>22</v>
      </c>
      <c r="D786" t="s">
        <v>1331</v>
      </c>
      <c r="E786" t="s">
        <v>1332</v>
      </c>
      <c r="F786" t="s">
        <v>4</v>
      </c>
      <c r="G786" t="s">
        <v>5</v>
      </c>
      <c r="H786" s="3">
        <v>234.09</v>
      </c>
      <c r="I786" t="s">
        <v>1748</v>
      </c>
      <c r="J786" t="s">
        <v>1334</v>
      </c>
      <c r="K786" t="s">
        <v>8</v>
      </c>
      <c r="L786" t="s">
        <v>1749</v>
      </c>
      <c r="M786" t="s">
        <v>8</v>
      </c>
      <c r="N786" t="s">
        <v>1750</v>
      </c>
      <c r="O786" t="s">
        <v>524</v>
      </c>
      <c r="P786" t="s">
        <v>17</v>
      </c>
    </row>
    <row r="787" spans="1:16" x14ac:dyDescent="0.25">
      <c r="A787" t="s">
        <v>0</v>
      </c>
      <c r="B787" s="2">
        <v>44722</v>
      </c>
      <c r="C787" s="5" t="s">
        <v>22</v>
      </c>
      <c r="D787" t="s">
        <v>1331</v>
      </c>
      <c r="E787" t="s">
        <v>1332</v>
      </c>
      <c r="F787" t="s">
        <v>4</v>
      </c>
      <c r="G787" t="s">
        <v>5</v>
      </c>
      <c r="H787" s="3">
        <v>196.39</v>
      </c>
      <c r="I787" t="s">
        <v>1779</v>
      </c>
      <c r="J787" t="s">
        <v>1334</v>
      </c>
      <c r="K787" t="s">
        <v>8</v>
      </c>
      <c r="L787" t="s">
        <v>1780</v>
      </c>
      <c r="M787" t="s">
        <v>8</v>
      </c>
      <c r="N787" t="s">
        <v>1781</v>
      </c>
      <c r="O787" t="s">
        <v>524</v>
      </c>
      <c r="P787" t="s">
        <v>17</v>
      </c>
    </row>
    <row r="788" spans="1:16" x14ac:dyDescent="0.25">
      <c r="A788" t="s">
        <v>0</v>
      </c>
      <c r="B788" s="2">
        <v>44724</v>
      </c>
      <c r="C788" s="5" t="s">
        <v>22</v>
      </c>
      <c r="D788" t="s">
        <v>1201</v>
      </c>
      <c r="E788" t="s">
        <v>1202</v>
      </c>
      <c r="F788" t="s">
        <v>4</v>
      </c>
      <c r="G788" t="s">
        <v>5</v>
      </c>
      <c r="H788" s="3">
        <v>64.8</v>
      </c>
      <c r="I788" t="s">
        <v>2017</v>
      </c>
      <c r="J788" t="s">
        <v>1620</v>
      </c>
      <c r="K788" t="s">
        <v>8</v>
      </c>
      <c r="L788" t="s">
        <v>8</v>
      </c>
      <c r="M788" t="s">
        <v>8</v>
      </c>
      <c r="N788" t="s">
        <v>2018</v>
      </c>
      <c r="O788" t="s">
        <v>389</v>
      </c>
      <c r="P788" t="s">
        <v>1</v>
      </c>
    </row>
    <row r="789" spans="1:16" x14ac:dyDescent="0.25">
      <c r="A789" t="s">
        <v>0</v>
      </c>
      <c r="B789" s="2">
        <v>44725</v>
      </c>
      <c r="C789" t="s">
        <v>22</v>
      </c>
      <c r="D789" t="s">
        <v>2</v>
      </c>
      <c r="E789" t="s">
        <v>3</v>
      </c>
      <c r="F789" t="s">
        <v>4</v>
      </c>
      <c r="G789" t="s">
        <v>5</v>
      </c>
      <c r="H789" s="3">
        <v>322580.15000000002</v>
      </c>
      <c r="I789" t="s">
        <v>26</v>
      </c>
      <c r="J789" t="s">
        <v>7</v>
      </c>
      <c r="K789" t="s">
        <v>8</v>
      </c>
      <c r="L789" t="s">
        <v>27</v>
      </c>
      <c r="M789" t="s">
        <v>8</v>
      </c>
      <c r="N789" t="s">
        <v>28</v>
      </c>
      <c r="O789" t="s">
        <v>29</v>
      </c>
      <c r="P789" t="s">
        <v>1</v>
      </c>
    </row>
    <row r="790" spans="1:16" x14ac:dyDescent="0.25">
      <c r="A790" t="s">
        <v>0</v>
      </c>
      <c r="B790" s="2">
        <v>44725</v>
      </c>
      <c r="C790" s="5" t="s">
        <v>22</v>
      </c>
      <c r="D790" t="s">
        <v>2</v>
      </c>
      <c r="E790" t="s">
        <v>3</v>
      </c>
      <c r="F790" t="s">
        <v>4</v>
      </c>
      <c r="G790" t="s">
        <v>5</v>
      </c>
      <c r="H790" s="3">
        <v>9557.0499999999993</v>
      </c>
      <c r="I790" t="s">
        <v>469</v>
      </c>
      <c r="J790" t="s">
        <v>460</v>
      </c>
      <c r="K790" t="s">
        <v>8</v>
      </c>
      <c r="L790" t="s">
        <v>470</v>
      </c>
      <c r="M790" t="s">
        <v>8</v>
      </c>
      <c r="N790" t="s">
        <v>471</v>
      </c>
      <c r="O790" t="s">
        <v>300</v>
      </c>
      <c r="P790" t="s">
        <v>1</v>
      </c>
    </row>
    <row r="791" spans="1:16" x14ac:dyDescent="0.25">
      <c r="A791" t="s">
        <v>0</v>
      </c>
      <c r="B791" s="2">
        <v>44725</v>
      </c>
      <c r="C791" s="5" t="s">
        <v>22</v>
      </c>
      <c r="D791" t="s">
        <v>2</v>
      </c>
      <c r="E791" t="s">
        <v>3</v>
      </c>
      <c r="F791" t="s">
        <v>4</v>
      </c>
      <c r="G791" t="s">
        <v>5</v>
      </c>
      <c r="H791" s="3">
        <v>5424.48</v>
      </c>
      <c r="I791" t="s">
        <v>663</v>
      </c>
      <c r="J791" t="s">
        <v>594</v>
      </c>
      <c r="K791" t="s">
        <v>8</v>
      </c>
      <c r="L791" t="s">
        <v>8</v>
      </c>
      <c r="M791" t="s">
        <v>8</v>
      </c>
      <c r="N791" t="s">
        <v>664</v>
      </c>
      <c r="O791" t="s">
        <v>21</v>
      </c>
      <c r="P791" t="s">
        <v>1</v>
      </c>
    </row>
    <row r="792" spans="1:16" x14ac:dyDescent="0.25">
      <c r="A792" t="s">
        <v>0</v>
      </c>
      <c r="B792" s="2">
        <v>44725</v>
      </c>
      <c r="C792" s="5" t="s">
        <v>22</v>
      </c>
      <c r="D792" t="s">
        <v>373</v>
      </c>
      <c r="E792" t="s">
        <v>374</v>
      </c>
      <c r="F792" t="s">
        <v>4</v>
      </c>
      <c r="G792" t="s">
        <v>5</v>
      </c>
      <c r="H792" s="3">
        <v>453.4</v>
      </c>
      <c r="I792" t="s">
        <v>1513</v>
      </c>
      <c r="J792" t="s">
        <v>1293</v>
      </c>
      <c r="K792" t="s">
        <v>8</v>
      </c>
      <c r="L792" t="s">
        <v>1514</v>
      </c>
      <c r="M792" t="s">
        <v>8</v>
      </c>
      <c r="N792" t="s">
        <v>1515</v>
      </c>
      <c r="O792" t="s">
        <v>29</v>
      </c>
      <c r="P792" t="s">
        <v>1</v>
      </c>
    </row>
    <row r="793" spans="1:16" x14ac:dyDescent="0.25">
      <c r="A793" t="s">
        <v>0</v>
      </c>
      <c r="B793" s="2">
        <v>44726</v>
      </c>
      <c r="C793" s="5" t="s">
        <v>22</v>
      </c>
      <c r="D793" t="s">
        <v>539</v>
      </c>
      <c r="E793" t="s">
        <v>540</v>
      </c>
      <c r="F793" t="s">
        <v>4</v>
      </c>
      <c r="G793" t="s">
        <v>5</v>
      </c>
      <c r="H793" s="3">
        <v>3483.6</v>
      </c>
      <c r="I793" t="s">
        <v>781</v>
      </c>
      <c r="J793" t="s">
        <v>542</v>
      </c>
      <c r="K793" t="s">
        <v>8</v>
      </c>
      <c r="L793" t="s">
        <v>782</v>
      </c>
      <c r="M793" t="s">
        <v>8</v>
      </c>
      <c r="N793" t="s">
        <v>783</v>
      </c>
      <c r="O793" t="s">
        <v>16</v>
      </c>
      <c r="P793" t="s">
        <v>12</v>
      </c>
    </row>
    <row r="794" spans="1:16" x14ac:dyDescent="0.25">
      <c r="A794" t="s">
        <v>0</v>
      </c>
      <c r="B794" s="2">
        <v>44726</v>
      </c>
      <c r="C794" s="5" t="s">
        <v>22</v>
      </c>
      <c r="D794" t="s">
        <v>384</v>
      </c>
      <c r="E794" t="s">
        <v>385</v>
      </c>
      <c r="F794" t="s">
        <v>4</v>
      </c>
      <c r="G794" t="s">
        <v>5</v>
      </c>
      <c r="H794" s="3">
        <v>2341.48</v>
      </c>
      <c r="I794" t="s">
        <v>871</v>
      </c>
      <c r="J794" t="s">
        <v>912</v>
      </c>
      <c r="K794" t="s">
        <v>8</v>
      </c>
      <c r="L794" t="s">
        <v>8</v>
      </c>
      <c r="M794" t="s">
        <v>8</v>
      </c>
      <c r="N794" t="s">
        <v>913</v>
      </c>
      <c r="O794" t="s">
        <v>389</v>
      </c>
      <c r="P794" t="s">
        <v>1</v>
      </c>
    </row>
    <row r="795" spans="1:16" x14ac:dyDescent="0.25">
      <c r="A795" t="s">
        <v>0</v>
      </c>
      <c r="B795" s="2">
        <v>44726</v>
      </c>
      <c r="C795" s="5" t="s">
        <v>22</v>
      </c>
      <c r="D795" t="s">
        <v>1244</v>
      </c>
      <c r="E795" t="s">
        <v>1245</v>
      </c>
      <c r="F795" t="s">
        <v>4</v>
      </c>
      <c r="G795" t="s">
        <v>5</v>
      </c>
      <c r="H795" s="3">
        <v>900</v>
      </c>
      <c r="I795" t="s">
        <v>1261</v>
      </c>
      <c r="J795" t="s">
        <v>1257</v>
      </c>
      <c r="K795" t="s">
        <v>8</v>
      </c>
      <c r="L795" t="s">
        <v>8</v>
      </c>
      <c r="M795" t="s">
        <v>8</v>
      </c>
      <c r="N795" t="s">
        <v>1262</v>
      </c>
      <c r="O795" t="s">
        <v>29</v>
      </c>
      <c r="P795" t="s">
        <v>1</v>
      </c>
    </row>
    <row r="796" spans="1:16" x14ac:dyDescent="0.25">
      <c r="A796" t="s">
        <v>0</v>
      </c>
      <c r="B796" s="2">
        <v>44726</v>
      </c>
      <c r="C796" s="5" t="s">
        <v>22</v>
      </c>
      <c r="D796" t="s">
        <v>384</v>
      </c>
      <c r="E796" t="s">
        <v>385</v>
      </c>
      <c r="F796" t="s">
        <v>4</v>
      </c>
      <c r="G796" t="s">
        <v>5</v>
      </c>
      <c r="H796" s="3">
        <v>715.83</v>
      </c>
      <c r="I796" t="s">
        <v>871</v>
      </c>
      <c r="J796" t="s">
        <v>680</v>
      </c>
      <c r="K796" t="s">
        <v>8</v>
      </c>
      <c r="L796" t="s">
        <v>8</v>
      </c>
      <c r="M796" t="s">
        <v>8</v>
      </c>
      <c r="N796" t="s">
        <v>1370</v>
      </c>
      <c r="O796" t="s">
        <v>389</v>
      </c>
      <c r="P796" t="s">
        <v>1</v>
      </c>
    </row>
    <row r="797" spans="1:16" x14ac:dyDescent="0.25">
      <c r="A797" t="s">
        <v>0</v>
      </c>
      <c r="B797" s="2">
        <v>44726</v>
      </c>
      <c r="C797" s="5" t="s">
        <v>22</v>
      </c>
      <c r="D797" t="s">
        <v>384</v>
      </c>
      <c r="E797" t="s">
        <v>385</v>
      </c>
      <c r="F797" t="s">
        <v>4</v>
      </c>
      <c r="G797" t="s">
        <v>5</v>
      </c>
      <c r="H797" s="3">
        <v>587.04</v>
      </c>
      <c r="I797" t="s">
        <v>871</v>
      </c>
      <c r="J797" t="s">
        <v>1417</v>
      </c>
      <c r="K797" t="s">
        <v>8</v>
      </c>
      <c r="L797" t="s">
        <v>8</v>
      </c>
      <c r="M797" t="s">
        <v>8</v>
      </c>
      <c r="N797" t="s">
        <v>1418</v>
      </c>
      <c r="O797" t="s">
        <v>389</v>
      </c>
      <c r="P797" t="s">
        <v>1</v>
      </c>
    </row>
    <row r="798" spans="1:16" x14ac:dyDescent="0.25">
      <c r="A798" t="s">
        <v>0</v>
      </c>
      <c r="B798" s="2">
        <v>44726</v>
      </c>
      <c r="C798" s="5" t="s">
        <v>22</v>
      </c>
      <c r="D798" t="s">
        <v>384</v>
      </c>
      <c r="E798" t="s">
        <v>385</v>
      </c>
      <c r="F798" t="s">
        <v>4</v>
      </c>
      <c r="G798" t="s">
        <v>5</v>
      </c>
      <c r="H798" s="3">
        <v>413</v>
      </c>
      <c r="I798" t="s">
        <v>1142</v>
      </c>
      <c r="J798" t="s">
        <v>1104</v>
      </c>
      <c r="K798" t="s">
        <v>8</v>
      </c>
      <c r="L798" t="s">
        <v>8</v>
      </c>
      <c r="M798" t="s">
        <v>8</v>
      </c>
      <c r="N798" t="s">
        <v>1595</v>
      </c>
      <c r="O798" t="s">
        <v>389</v>
      </c>
      <c r="P798" t="s">
        <v>1</v>
      </c>
    </row>
    <row r="799" spans="1:16" x14ac:dyDescent="0.25">
      <c r="A799" t="s">
        <v>0</v>
      </c>
      <c r="B799" s="2">
        <v>44726</v>
      </c>
      <c r="C799" s="5" t="s">
        <v>22</v>
      </c>
      <c r="D799" t="s">
        <v>384</v>
      </c>
      <c r="E799" t="s">
        <v>385</v>
      </c>
      <c r="F799" t="s">
        <v>4</v>
      </c>
      <c r="G799" t="s">
        <v>5</v>
      </c>
      <c r="H799" s="3">
        <v>343.46</v>
      </c>
      <c r="I799" t="s">
        <v>871</v>
      </c>
      <c r="J799" t="s">
        <v>1242</v>
      </c>
      <c r="K799" t="s">
        <v>8</v>
      </c>
      <c r="L799" t="s">
        <v>8</v>
      </c>
      <c r="M799" t="s">
        <v>8</v>
      </c>
      <c r="N799" t="s">
        <v>1646</v>
      </c>
      <c r="O799" t="s">
        <v>389</v>
      </c>
      <c r="P799" t="s">
        <v>1</v>
      </c>
    </row>
    <row r="800" spans="1:16" x14ac:dyDescent="0.25">
      <c r="A800" t="s">
        <v>0</v>
      </c>
      <c r="B800" s="2">
        <v>44726</v>
      </c>
      <c r="C800" s="5" t="s">
        <v>22</v>
      </c>
      <c r="D800" t="s">
        <v>384</v>
      </c>
      <c r="E800" t="s">
        <v>385</v>
      </c>
      <c r="F800" t="s">
        <v>4</v>
      </c>
      <c r="G800" t="s">
        <v>5</v>
      </c>
      <c r="H800" s="3">
        <v>291.33999999999997</v>
      </c>
      <c r="I800" t="s">
        <v>1704</v>
      </c>
      <c r="J800" t="s">
        <v>1104</v>
      </c>
      <c r="K800" t="s">
        <v>8</v>
      </c>
      <c r="L800" t="s">
        <v>8</v>
      </c>
      <c r="M800" t="s">
        <v>8</v>
      </c>
      <c r="N800" t="s">
        <v>1595</v>
      </c>
      <c r="O800" t="s">
        <v>389</v>
      </c>
      <c r="P800" t="s">
        <v>43</v>
      </c>
    </row>
    <row r="801" spans="1:16" x14ac:dyDescent="0.25">
      <c r="A801" t="s">
        <v>0</v>
      </c>
      <c r="B801" s="2">
        <v>44726</v>
      </c>
      <c r="C801" s="5" t="s">
        <v>22</v>
      </c>
      <c r="D801" t="s">
        <v>384</v>
      </c>
      <c r="E801" t="s">
        <v>385</v>
      </c>
      <c r="F801" t="s">
        <v>4</v>
      </c>
      <c r="G801" t="s">
        <v>5</v>
      </c>
      <c r="H801" s="3">
        <v>172.2</v>
      </c>
      <c r="I801" t="s">
        <v>1782</v>
      </c>
      <c r="J801" t="s">
        <v>912</v>
      </c>
      <c r="K801" t="s">
        <v>8</v>
      </c>
      <c r="L801" t="s">
        <v>8</v>
      </c>
      <c r="M801" t="s">
        <v>8</v>
      </c>
      <c r="N801" t="s">
        <v>913</v>
      </c>
      <c r="O801" t="s">
        <v>389</v>
      </c>
      <c r="P801" t="s">
        <v>17</v>
      </c>
    </row>
    <row r="802" spans="1:16" x14ac:dyDescent="0.25">
      <c r="A802" t="s">
        <v>0</v>
      </c>
      <c r="B802" s="2">
        <v>44726</v>
      </c>
      <c r="C802" s="5" t="s">
        <v>22</v>
      </c>
      <c r="D802" t="s">
        <v>1201</v>
      </c>
      <c r="E802" t="s">
        <v>1202</v>
      </c>
      <c r="F802" t="s">
        <v>4</v>
      </c>
      <c r="G802" t="s">
        <v>5</v>
      </c>
      <c r="H802" s="3">
        <v>151.19999999999999</v>
      </c>
      <c r="I802" t="s">
        <v>1848</v>
      </c>
      <c r="J802" t="s">
        <v>1490</v>
      </c>
      <c r="K802" t="s">
        <v>8</v>
      </c>
      <c r="L802" t="s">
        <v>8</v>
      </c>
      <c r="M802" t="s">
        <v>8</v>
      </c>
      <c r="N802" t="s">
        <v>1849</v>
      </c>
      <c r="O802" t="s">
        <v>389</v>
      </c>
      <c r="P802" t="s">
        <v>1</v>
      </c>
    </row>
    <row r="803" spans="1:16" x14ac:dyDescent="0.25">
      <c r="A803" t="s">
        <v>0</v>
      </c>
      <c r="B803" s="2">
        <v>44726</v>
      </c>
      <c r="C803" s="5" t="s">
        <v>22</v>
      </c>
      <c r="D803" t="s">
        <v>384</v>
      </c>
      <c r="E803" t="s">
        <v>385</v>
      </c>
      <c r="F803" t="s">
        <v>4</v>
      </c>
      <c r="G803" t="s">
        <v>5</v>
      </c>
      <c r="H803" s="3">
        <v>124.4</v>
      </c>
      <c r="I803" t="s">
        <v>1757</v>
      </c>
      <c r="J803" t="s">
        <v>912</v>
      </c>
      <c r="K803" t="s">
        <v>8</v>
      </c>
      <c r="L803" t="s">
        <v>8</v>
      </c>
      <c r="M803" t="s">
        <v>8</v>
      </c>
      <c r="N803" t="s">
        <v>913</v>
      </c>
      <c r="O803" t="s">
        <v>389</v>
      </c>
      <c r="P803" t="s">
        <v>77</v>
      </c>
    </row>
    <row r="804" spans="1:16" x14ac:dyDescent="0.25">
      <c r="A804" t="s">
        <v>0</v>
      </c>
      <c r="B804" s="2">
        <v>44726</v>
      </c>
      <c r="C804" s="5" t="s">
        <v>22</v>
      </c>
      <c r="D804" t="s">
        <v>384</v>
      </c>
      <c r="E804" t="s">
        <v>385</v>
      </c>
      <c r="F804" t="s">
        <v>4</v>
      </c>
      <c r="G804" t="s">
        <v>5</v>
      </c>
      <c r="H804" s="3">
        <v>120</v>
      </c>
      <c r="I804" t="s">
        <v>1900</v>
      </c>
      <c r="J804" t="s">
        <v>1104</v>
      </c>
      <c r="K804" t="s">
        <v>8</v>
      </c>
      <c r="L804" t="s">
        <v>8</v>
      </c>
      <c r="M804" t="s">
        <v>8</v>
      </c>
      <c r="N804" t="s">
        <v>1595</v>
      </c>
      <c r="O804" t="s">
        <v>389</v>
      </c>
      <c r="P804" t="s">
        <v>77</v>
      </c>
    </row>
    <row r="805" spans="1:16" x14ac:dyDescent="0.25">
      <c r="A805" t="s">
        <v>0</v>
      </c>
      <c r="B805" s="2">
        <v>44726</v>
      </c>
      <c r="C805" s="5" t="s">
        <v>22</v>
      </c>
      <c r="D805" t="s">
        <v>1201</v>
      </c>
      <c r="E805" t="s">
        <v>1202</v>
      </c>
      <c r="F805" t="s">
        <v>4</v>
      </c>
      <c r="G805" t="s">
        <v>5</v>
      </c>
      <c r="H805" s="3">
        <v>112.5</v>
      </c>
      <c r="I805" t="s">
        <v>1909</v>
      </c>
      <c r="J805" t="s">
        <v>680</v>
      </c>
      <c r="K805" t="s">
        <v>8</v>
      </c>
      <c r="L805" t="s">
        <v>8</v>
      </c>
      <c r="M805" t="s">
        <v>8</v>
      </c>
      <c r="N805" t="s">
        <v>1370</v>
      </c>
      <c r="O805" t="s">
        <v>389</v>
      </c>
      <c r="P805" t="s">
        <v>12</v>
      </c>
    </row>
    <row r="806" spans="1:16" x14ac:dyDescent="0.25">
      <c r="A806" t="s">
        <v>0</v>
      </c>
      <c r="B806" s="2">
        <v>44726</v>
      </c>
      <c r="C806" s="5" t="s">
        <v>22</v>
      </c>
      <c r="D806" t="s">
        <v>1201</v>
      </c>
      <c r="E806" t="s">
        <v>1202</v>
      </c>
      <c r="F806" t="s">
        <v>4</v>
      </c>
      <c r="G806" t="s">
        <v>5</v>
      </c>
      <c r="H806" s="3">
        <v>100.8</v>
      </c>
      <c r="I806" t="s">
        <v>1934</v>
      </c>
      <c r="J806" t="s">
        <v>1048</v>
      </c>
      <c r="K806" t="s">
        <v>8</v>
      </c>
      <c r="L806" t="s">
        <v>8</v>
      </c>
      <c r="M806" t="s">
        <v>8</v>
      </c>
      <c r="N806" t="s">
        <v>1935</v>
      </c>
      <c r="O806" t="s">
        <v>389</v>
      </c>
      <c r="P806" t="s">
        <v>1</v>
      </c>
    </row>
    <row r="807" spans="1:16" x14ac:dyDescent="0.25">
      <c r="A807" t="s">
        <v>0</v>
      </c>
      <c r="B807" s="2">
        <v>44726</v>
      </c>
      <c r="C807" s="5" t="s">
        <v>22</v>
      </c>
      <c r="D807" t="s">
        <v>384</v>
      </c>
      <c r="E807" t="s">
        <v>385</v>
      </c>
      <c r="F807" t="s">
        <v>4</v>
      </c>
      <c r="G807" t="s">
        <v>5</v>
      </c>
      <c r="H807" s="3">
        <v>69</v>
      </c>
      <c r="I807" t="s">
        <v>1996</v>
      </c>
      <c r="J807" t="s">
        <v>912</v>
      </c>
      <c r="K807" t="s">
        <v>8</v>
      </c>
      <c r="L807" t="s">
        <v>8</v>
      </c>
      <c r="M807" t="s">
        <v>8</v>
      </c>
      <c r="N807" t="s">
        <v>913</v>
      </c>
      <c r="O807" t="s">
        <v>389</v>
      </c>
      <c r="P807" t="s">
        <v>12</v>
      </c>
    </row>
    <row r="808" spans="1:16" x14ac:dyDescent="0.25">
      <c r="A808" t="s">
        <v>0</v>
      </c>
      <c r="B808" s="2">
        <v>44726</v>
      </c>
      <c r="C808" s="5" t="s">
        <v>22</v>
      </c>
      <c r="D808" t="s">
        <v>1597</v>
      </c>
      <c r="E808" t="s">
        <v>1598</v>
      </c>
      <c r="F808" t="s">
        <v>4</v>
      </c>
      <c r="G808" t="s">
        <v>5</v>
      </c>
      <c r="H808" s="3">
        <v>53.6</v>
      </c>
      <c r="I808" t="s">
        <v>1704</v>
      </c>
      <c r="J808" t="s">
        <v>1104</v>
      </c>
      <c r="K808" t="s">
        <v>8</v>
      </c>
      <c r="L808" t="s">
        <v>8</v>
      </c>
      <c r="M808" t="s">
        <v>8</v>
      </c>
      <c r="N808" t="s">
        <v>1595</v>
      </c>
      <c r="O808" t="s">
        <v>389</v>
      </c>
      <c r="P808" t="s">
        <v>82</v>
      </c>
    </row>
    <row r="809" spans="1:16" x14ac:dyDescent="0.25">
      <c r="A809" t="s">
        <v>0</v>
      </c>
      <c r="B809" s="2">
        <v>44726</v>
      </c>
      <c r="C809" s="5" t="s">
        <v>22</v>
      </c>
      <c r="D809" t="s">
        <v>1201</v>
      </c>
      <c r="E809" t="s">
        <v>1202</v>
      </c>
      <c r="F809" t="s">
        <v>4</v>
      </c>
      <c r="G809" t="s">
        <v>5</v>
      </c>
      <c r="H809" s="3">
        <v>50.4</v>
      </c>
      <c r="I809" t="s">
        <v>2050</v>
      </c>
      <c r="J809" t="s">
        <v>1490</v>
      </c>
      <c r="K809" t="s">
        <v>8</v>
      </c>
      <c r="L809" t="s">
        <v>8</v>
      </c>
      <c r="M809" t="s">
        <v>8</v>
      </c>
      <c r="N809" t="s">
        <v>2051</v>
      </c>
      <c r="O809" t="s">
        <v>389</v>
      </c>
      <c r="P809" t="s">
        <v>1</v>
      </c>
    </row>
    <row r="810" spans="1:16" x14ac:dyDescent="0.25">
      <c r="A810" t="s">
        <v>0</v>
      </c>
      <c r="B810" s="2">
        <v>44727</v>
      </c>
      <c r="C810" s="5" t="s">
        <v>22</v>
      </c>
      <c r="D810" t="s">
        <v>539</v>
      </c>
      <c r="E810" t="s">
        <v>540</v>
      </c>
      <c r="F810" t="s">
        <v>4</v>
      </c>
      <c r="G810" t="s">
        <v>5</v>
      </c>
      <c r="H810" s="3">
        <v>8135.89</v>
      </c>
      <c r="I810" t="s">
        <v>541</v>
      </c>
      <c r="J810" t="s">
        <v>542</v>
      </c>
      <c r="K810" t="s">
        <v>8</v>
      </c>
      <c r="L810" t="s">
        <v>547</v>
      </c>
      <c r="M810" t="s">
        <v>8</v>
      </c>
      <c r="N810" t="s">
        <v>548</v>
      </c>
      <c r="O810" t="s">
        <v>29</v>
      </c>
      <c r="P810" t="s">
        <v>12</v>
      </c>
    </row>
    <row r="811" spans="1:16" x14ac:dyDescent="0.25">
      <c r="A811" t="s">
        <v>0</v>
      </c>
      <c r="B811" s="2">
        <v>44727</v>
      </c>
      <c r="C811" s="5" t="s">
        <v>22</v>
      </c>
      <c r="D811" t="s">
        <v>969</v>
      </c>
      <c r="E811" t="s">
        <v>970</v>
      </c>
      <c r="F811" t="s">
        <v>4</v>
      </c>
      <c r="G811" t="s">
        <v>5</v>
      </c>
      <c r="H811" s="3">
        <v>1882.92</v>
      </c>
      <c r="I811" t="s">
        <v>988</v>
      </c>
      <c r="J811" t="s">
        <v>972</v>
      </c>
      <c r="K811" t="s">
        <v>8</v>
      </c>
      <c r="L811" t="s">
        <v>8</v>
      </c>
      <c r="M811" t="s">
        <v>8</v>
      </c>
      <c r="N811" t="s">
        <v>989</v>
      </c>
      <c r="O811" t="s">
        <v>990</v>
      </c>
      <c r="P811" t="s">
        <v>342</v>
      </c>
    </row>
    <row r="812" spans="1:16" x14ac:dyDescent="0.25">
      <c r="A812" t="s">
        <v>0</v>
      </c>
      <c r="B812" s="2">
        <v>44727</v>
      </c>
      <c r="C812" s="5" t="s">
        <v>22</v>
      </c>
      <c r="D812" t="s">
        <v>373</v>
      </c>
      <c r="E812" t="s">
        <v>374</v>
      </c>
      <c r="F812" t="s">
        <v>4</v>
      </c>
      <c r="G812" t="s">
        <v>5</v>
      </c>
      <c r="H812" s="3">
        <v>833.94</v>
      </c>
      <c r="I812" t="s">
        <v>5</v>
      </c>
      <c r="J812" t="s">
        <v>1302</v>
      </c>
      <c r="K812" t="s">
        <v>8</v>
      </c>
      <c r="L812" t="s">
        <v>8</v>
      </c>
      <c r="M812" t="s">
        <v>8</v>
      </c>
      <c r="N812" t="s">
        <v>1308</v>
      </c>
      <c r="O812" t="s">
        <v>990</v>
      </c>
      <c r="P812" t="s">
        <v>1304</v>
      </c>
    </row>
    <row r="813" spans="1:16" x14ac:dyDescent="0.25">
      <c r="A813" t="s">
        <v>0</v>
      </c>
      <c r="B813" s="2">
        <v>44727</v>
      </c>
      <c r="C813" s="5" t="s">
        <v>22</v>
      </c>
      <c r="D813" t="s">
        <v>969</v>
      </c>
      <c r="E813" t="s">
        <v>970</v>
      </c>
      <c r="F813" t="s">
        <v>4</v>
      </c>
      <c r="G813" t="s">
        <v>5</v>
      </c>
      <c r="H813" s="3">
        <v>420.36</v>
      </c>
      <c r="I813" t="s">
        <v>1581</v>
      </c>
      <c r="J813" t="s">
        <v>1483</v>
      </c>
      <c r="K813" t="s">
        <v>8</v>
      </c>
      <c r="L813" t="s">
        <v>8</v>
      </c>
      <c r="M813" t="s">
        <v>8</v>
      </c>
      <c r="N813" t="s">
        <v>1582</v>
      </c>
      <c r="O813" t="s">
        <v>990</v>
      </c>
      <c r="P813" t="s">
        <v>1</v>
      </c>
    </row>
    <row r="814" spans="1:16" x14ac:dyDescent="0.25">
      <c r="A814" t="s">
        <v>0</v>
      </c>
      <c r="B814" s="2">
        <v>44727</v>
      </c>
      <c r="C814" s="5" t="s">
        <v>22</v>
      </c>
      <c r="D814" t="s">
        <v>47</v>
      </c>
      <c r="E814" t="s">
        <v>48</v>
      </c>
      <c r="F814" t="s">
        <v>4</v>
      </c>
      <c r="G814" t="s">
        <v>5</v>
      </c>
      <c r="H814" s="3">
        <v>55</v>
      </c>
      <c r="I814" t="s">
        <v>2037</v>
      </c>
      <c r="J814" t="s">
        <v>943</v>
      </c>
      <c r="K814" t="s">
        <v>8</v>
      </c>
      <c r="L814" t="s">
        <v>8</v>
      </c>
      <c r="M814" t="s">
        <v>8</v>
      </c>
      <c r="N814" t="s">
        <v>2038</v>
      </c>
      <c r="O814" t="s">
        <v>945</v>
      </c>
      <c r="P814" t="s">
        <v>1</v>
      </c>
    </row>
    <row r="815" spans="1:16" x14ac:dyDescent="0.25">
      <c r="A815" t="s">
        <v>0</v>
      </c>
      <c r="B815" s="2">
        <v>44727</v>
      </c>
      <c r="C815" s="5" t="s">
        <v>22</v>
      </c>
      <c r="D815" t="s">
        <v>1207</v>
      </c>
      <c r="E815" t="s">
        <v>1208</v>
      </c>
      <c r="F815" t="s">
        <v>4</v>
      </c>
      <c r="G815" t="s">
        <v>5</v>
      </c>
      <c r="H815" s="3">
        <v>28.75</v>
      </c>
      <c r="I815" t="s">
        <v>2090</v>
      </c>
      <c r="J815" t="s">
        <v>1569</v>
      </c>
      <c r="K815" t="s">
        <v>8</v>
      </c>
      <c r="L815" t="s">
        <v>2091</v>
      </c>
      <c r="M815" t="s">
        <v>8</v>
      </c>
      <c r="N815" t="s">
        <v>2092</v>
      </c>
      <c r="O815" t="s">
        <v>29</v>
      </c>
      <c r="P815" t="s">
        <v>77</v>
      </c>
    </row>
    <row r="816" spans="1:16" x14ac:dyDescent="0.25">
      <c r="A816" t="s">
        <v>0</v>
      </c>
      <c r="B816" s="2">
        <v>44727</v>
      </c>
      <c r="C816" s="5" t="s">
        <v>22</v>
      </c>
      <c r="D816" t="s">
        <v>47</v>
      </c>
      <c r="E816" t="s">
        <v>48</v>
      </c>
      <c r="F816" t="s">
        <v>4</v>
      </c>
      <c r="G816" t="s">
        <v>5</v>
      </c>
      <c r="H816" s="3">
        <v>6.45</v>
      </c>
      <c r="I816" t="s">
        <v>2151</v>
      </c>
      <c r="J816" t="s">
        <v>943</v>
      </c>
      <c r="K816" t="s">
        <v>8</v>
      </c>
      <c r="L816" t="s">
        <v>8</v>
      </c>
      <c r="M816" t="s">
        <v>8</v>
      </c>
      <c r="N816" t="s">
        <v>2152</v>
      </c>
      <c r="O816" t="s">
        <v>945</v>
      </c>
      <c r="P816" t="s">
        <v>1</v>
      </c>
    </row>
    <row r="817" spans="1:16" x14ac:dyDescent="0.25">
      <c r="A817" t="s">
        <v>0</v>
      </c>
      <c r="B817" s="2">
        <v>44728</v>
      </c>
      <c r="C817" s="5" t="s">
        <v>22</v>
      </c>
      <c r="D817" t="s">
        <v>384</v>
      </c>
      <c r="E817" t="s">
        <v>385</v>
      </c>
      <c r="F817" t="s">
        <v>4</v>
      </c>
      <c r="G817" t="s">
        <v>5</v>
      </c>
      <c r="H817" s="3">
        <v>3003.65</v>
      </c>
      <c r="I817" t="s">
        <v>829</v>
      </c>
      <c r="J817" t="s">
        <v>387</v>
      </c>
      <c r="K817" t="s">
        <v>8</v>
      </c>
      <c r="L817" t="s">
        <v>8</v>
      </c>
      <c r="M817" t="s">
        <v>8</v>
      </c>
      <c r="N817" t="s">
        <v>830</v>
      </c>
      <c r="O817" t="s">
        <v>389</v>
      </c>
      <c r="P817" t="s">
        <v>1</v>
      </c>
    </row>
    <row r="818" spans="1:16" x14ac:dyDescent="0.25">
      <c r="A818" t="s">
        <v>0</v>
      </c>
      <c r="B818" s="2">
        <v>44728</v>
      </c>
      <c r="C818" s="5" t="s">
        <v>22</v>
      </c>
      <c r="D818" t="s">
        <v>384</v>
      </c>
      <c r="E818" t="s">
        <v>385</v>
      </c>
      <c r="F818" t="s">
        <v>4</v>
      </c>
      <c r="G818" t="s">
        <v>5</v>
      </c>
      <c r="H818" s="3">
        <v>900</v>
      </c>
      <c r="I818" t="s">
        <v>1263</v>
      </c>
      <c r="J818" t="s">
        <v>387</v>
      </c>
      <c r="K818" t="s">
        <v>8</v>
      </c>
      <c r="L818" t="s">
        <v>8</v>
      </c>
      <c r="M818" t="s">
        <v>8</v>
      </c>
      <c r="N818" t="s">
        <v>830</v>
      </c>
      <c r="O818" t="s">
        <v>389</v>
      </c>
      <c r="P818" t="s">
        <v>43</v>
      </c>
    </row>
    <row r="819" spans="1:16" x14ac:dyDescent="0.25">
      <c r="A819" t="s">
        <v>0</v>
      </c>
      <c r="B819" s="2">
        <v>44728</v>
      </c>
      <c r="C819" s="5" t="s">
        <v>22</v>
      </c>
      <c r="D819" t="s">
        <v>384</v>
      </c>
      <c r="E819" t="s">
        <v>385</v>
      </c>
      <c r="F819" t="s">
        <v>4</v>
      </c>
      <c r="G819" t="s">
        <v>5</v>
      </c>
      <c r="H819" s="3">
        <v>401.78</v>
      </c>
      <c r="I819" t="s">
        <v>1602</v>
      </c>
      <c r="J819" t="s">
        <v>387</v>
      </c>
      <c r="K819" t="s">
        <v>8</v>
      </c>
      <c r="L819" t="s">
        <v>8</v>
      </c>
      <c r="M819" t="s">
        <v>8</v>
      </c>
      <c r="N819" t="s">
        <v>830</v>
      </c>
      <c r="O819" t="s">
        <v>389</v>
      </c>
      <c r="P819" t="s">
        <v>77</v>
      </c>
    </row>
    <row r="820" spans="1:16" x14ac:dyDescent="0.25">
      <c r="A820" t="s">
        <v>0</v>
      </c>
      <c r="B820" s="2">
        <v>44728</v>
      </c>
      <c r="C820" s="5" t="s">
        <v>22</v>
      </c>
      <c r="D820" t="s">
        <v>867</v>
      </c>
      <c r="E820" t="s">
        <v>868</v>
      </c>
      <c r="F820" t="s">
        <v>4</v>
      </c>
      <c r="G820" t="s">
        <v>5</v>
      </c>
      <c r="H820" s="3">
        <v>382.04</v>
      </c>
      <c r="I820" t="s">
        <v>1622</v>
      </c>
      <c r="J820" t="s">
        <v>387</v>
      </c>
      <c r="K820" t="s">
        <v>8</v>
      </c>
      <c r="L820" t="s">
        <v>8</v>
      </c>
      <c r="M820" t="s">
        <v>8</v>
      </c>
      <c r="N820" t="s">
        <v>830</v>
      </c>
      <c r="O820" t="s">
        <v>389</v>
      </c>
      <c r="P820" t="s">
        <v>87</v>
      </c>
    </row>
    <row r="821" spans="1:16" x14ac:dyDescent="0.25">
      <c r="A821" t="s">
        <v>0</v>
      </c>
      <c r="B821" s="2">
        <v>44728</v>
      </c>
      <c r="C821" s="5" t="s">
        <v>22</v>
      </c>
      <c r="D821" t="s">
        <v>384</v>
      </c>
      <c r="E821" t="s">
        <v>385</v>
      </c>
      <c r="F821" t="s">
        <v>4</v>
      </c>
      <c r="G821" t="s">
        <v>5</v>
      </c>
      <c r="H821" s="3">
        <v>192.8</v>
      </c>
      <c r="I821" t="s">
        <v>1785</v>
      </c>
      <c r="J821" t="s">
        <v>387</v>
      </c>
      <c r="K821" t="s">
        <v>8</v>
      </c>
      <c r="L821" t="s">
        <v>8</v>
      </c>
      <c r="M821" t="s">
        <v>8</v>
      </c>
      <c r="N821" t="s">
        <v>830</v>
      </c>
      <c r="O821" t="s">
        <v>389</v>
      </c>
      <c r="P821" t="s">
        <v>72</v>
      </c>
    </row>
    <row r="822" spans="1:16" x14ac:dyDescent="0.25">
      <c r="A822" t="s">
        <v>0</v>
      </c>
      <c r="B822" s="2">
        <v>44728</v>
      </c>
      <c r="C822" s="5" t="s">
        <v>22</v>
      </c>
      <c r="D822" t="s">
        <v>1597</v>
      </c>
      <c r="E822" t="s">
        <v>1598</v>
      </c>
      <c r="F822" t="s">
        <v>4</v>
      </c>
      <c r="G822" t="s">
        <v>5</v>
      </c>
      <c r="H822" s="3">
        <v>129</v>
      </c>
      <c r="I822" t="s">
        <v>1884</v>
      </c>
      <c r="J822" t="s">
        <v>387</v>
      </c>
      <c r="K822" t="s">
        <v>8</v>
      </c>
      <c r="L822" t="s">
        <v>8</v>
      </c>
      <c r="M822" t="s">
        <v>8</v>
      </c>
      <c r="N822" t="s">
        <v>830</v>
      </c>
      <c r="O822" t="s">
        <v>389</v>
      </c>
      <c r="P822" t="s">
        <v>246</v>
      </c>
    </row>
    <row r="823" spans="1:16" x14ac:dyDescent="0.25">
      <c r="A823" t="s">
        <v>0</v>
      </c>
      <c r="B823" s="2">
        <v>44728</v>
      </c>
      <c r="C823" s="5" t="s">
        <v>22</v>
      </c>
      <c r="D823" t="s">
        <v>384</v>
      </c>
      <c r="E823" t="s">
        <v>385</v>
      </c>
      <c r="F823" t="s">
        <v>4</v>
      </c>
      <c r="G823" t="s">
        <v>5</v>
      </c>
      <c r="H823" s="3">
        <v>49</v>
      </c>
      <c r="I823" t="s">
        <v>1884</v>
      </c>
      <c r="J823" t="s">
        <v>387</v>
      </c>
      <c r="K823" t="s">
        <v>8</v>
      </c>
      <c r="L823" t="s">
        <v>8</v>
      </c>
      <c r="M823" t="s">
        <v>8</v>
      </c>
      <c r="N823" t="s">
        <v>830</v>
      </c>
      <c r="O823" t="s">
        <v>389</v>
      </c>
      <c r="P823" t="s">
        <v>22</v>
      </c>
    </row>
    <row r="824" spans="1:16" x14ac:dyDescent="0.25">
      <c r="A824" t="s">
        <v>0</v>
      </c>
      <c r="B824" s="2">
        <v>44728</v>
      </c>
      <c r="C824" s="5" t="s">
        <v>22</v>
      </c>
      <c r="D824" t="s">
        <v>384</v>
      </c>
      <c r="E824" t="s">
        <v>385</v>
      </c>
      <c r="F824" t="s">
        <v>4</v>
      </c>
      <c r="G824" t="s">
        <v>5</v>
      </c>
      <c r="H824" s="3">
        <v>26.89</v>
      </c>
      <c r="I824" t="s">
        <v>2101</v>
      </c>
      <c r="J824" t="s">
        <v>387</v>
      </c>
      <c r="K824" t="s">
        <v>8</v>
      </c>
      <c r="L824" t="s">
        <v>8</v>
      </c>
      <c r="M824" t="s">
        <v>8</v>
      </c>
      <c r="N824" t="s">
        <v>830</v>
      </c>
      <c r="O824" t="s">
        <v>389</v>
      </c>
      <c r="P824" t="s">
        <v>30</v>
      </c>
    </row>
    <row r="825" spans="1:16" x14ac:dyDescent="0.25">
      <c r="A825" t="s">
        <v>0</v>
      </c>
      <c r="B825" s="2">
        <v>44728</v>
      </c>
      <c r="C825" s="5" t="s">
        <v>22</v>
      </c>
      <c r="D825" t="s">
        <v>1597</v>
      </c>
      <c r="E825" t="s">
        <v>1598</v>
      </c>
      <c r="F825" t="s">
        <v>4</v>
      </c>
      <c r="G825" t="s">
        <v>5</v>
      </c>
      <c r="H825" s="3">
        <v>16.5</v>
      </c>
      <c r="I825" t="s">
        <v>2138</v>
      </c>
      <c r="J825" t="s">
        <v>387</v>
      </c>
      <c r="K825" t="s">
        <v>8</v>
      </c>
      <c r="L825" t="s">
        <v>8</v>
      </c>
      <c r="M825" t="s">
        <v>8</v>
      </c>
      <c r="N825" t="s">
        <v>830</v>
      </c>
      <c r="O825" t="s">
        <v>389</v>
      </c>
      <c r="P825" t="s">
        <v>289</v>
      </c>
    </row>
    <row r="826" spans="1:16" x14ac:dyDescent="0.25">
      <c r="A826" t="s">
        <v>0</v>
      </c>
      <c r="B826" s="2">
        <v>44732</v>
      </c>
      <c r="C826" s="5" t="s">
        <v>22</v>
      </c>
      <c r="D826" t="s">
        <v>2</v>
      </c>
      <c r="E826" t="s">
        <v>3</v>
      </c>
      <c r="F826" t="s">
        <v>4</v>
      </c>
      <c r="G826" t="s">
        <v>5</v>
      </c>
      <c r="H826" s="3">
        <v>320</v>
      </c>
      <c r="I826" t="s">
        <v>1643</v>
      </c>
      <c r="J826" t="s">
        <v>1605</v>
      </c>
      <c r="K826" t="s">
        <v>8</v>
      </c>
      <c r="L826" t="s">
        <v>1678</v>
      </c>
      <c r="M826" t="s">
        <v>8</v>
      </c>
      <c r="N826" t="s">
        <v>1679</v>
      </c>
      <c r="O826" t="s">
        <v>16</v>
      </c>
      <c r="P826" t="s">
        <v>1</v>
      </c>
    </row>
    <row r="827" spans="1:16" x14ac:dyDescent="0.25">
      <c r="A827" t="s">
        <v>0</v>
      </c>
      <c r="B827" s="2">
        <v>44733</v>
      </c>
      <c r="C827" s="5" t="s">
        <v>22</v>
      </c>
      <c r="D827" t="s">
        <v>2</v>
      </c>
      <c r="E827" t="s">
        <v>3</v>
      </c>
      <c r="F827" t="s">
        <v>4</v>
      </c>
      <c r="G827" t="s">
        <v>5</v>
      </c>
      <c r="H827" s="3">
        <v>1448.05</v>
      </c>
      <c r="I827" t="s">
        <v>1093</v>
      </c>
      <c r="J827" t="s">
        <v>460</v>
      </c>
      <c r="K827" t="s">
        <v>8</v>
      </c>
      <c r="L827" t="s">
        <v>8</v>
      </c>
      <c r="M827" t="s">
        <v>8</v>
      </c>
      <c r="N827" t="s">
        <v>1094</v>
      </c>
      <c r="O827" t="s">
        <v>524</v>
      </c>
      <c r="P827" t="s">
        <v>17</v>
      </c>
    </row>
    <row r="828" spans="1:16" x14ac:dyDescent="0.25">
      <c r="A828" t="s">
        <v>0</v>
      </c>
      <c r="B828" s="2">
        <v>44733</v>
      </c>
      <c r="C828" s="5" t="s">
        <v>22</v>
      </c>
      <c r="D828" t="s">
        <v>2</v>
      </c>
      <c r="E828" t="s">
        <v>3</v>
      </c>
      <c r="F828" t="s">
        <v>4</v>
      </c>
      <c r="G828" t="s">
        <v>5</v>
      </c>
      <c r="H828" s="3">
        <v>188.7</v>
      </c>
      <c r="I828" t="s">
        <v>1093</v>
      </c>
      <c r="J828" t="s">
        <v>460</v>
      </c>
      <c r="K828" t="s">
        <v>8</v>
      </c>
      <c r="L828" t="s">
        <v>8</v>
      </c>
      <c r="M828" t="s">
        <v>8</v>
      </c>
      <c r="N828" t="s">
        <v>1094</v>
      </c>
      <c r="O828" t="s">
        <v>524</v>
      </c>
      <c r="P828" t="s">
        <v>1</v>
      </c>
    </row>
    <row r="829" spans="1:16" x14ac:dyDescent="0.25">
      <c r="A829" t="s">
        <v>0</v>
      </c>
      <c r="B829" s="2">
        <v>44734</v>
      </c>
      <c r="C829" s="5" t="s">
        <v>22</v>
      </c>
      <c r="D829" t="s">
        <v>861</v>
      </c>
      <c r="E829" t="s">
        <v>862</v>
      </c>
      <c r="F829" t="s">
        <v>4</v>
      </c>
      <c r="G829" t="s">
        <v>5</v>
      </c>
      <c r="H829" s="3">
        <v>1441.73</v>
      </c>
      <c r="I829" t="s">
        <v>1095</v>
      </c>
      <c r="J829" t="s">
        <v>1096</v>
      </c>
      <c r="K829" t="s">
        <v>8</v>
      </c>
      <c r="L829" t="s">
        <v>1097</v>
      </c>
      <c r="M829" t="s">
        <v>8</v>
      </c>
      <c r="N829" t="s">
        <v>1098</v>
      </c>
      <c r="O829" t="s">
        <v>300</v>
      </c>
      <c r="P829" t="s">
        <v>1</v>
      </c>
    </row>
    <row r="830" spans="1:16" x14ac:dyDescent="0.25">
      <c r="A830" t="s">
        <v>0</v>
      </c>
      <c r="B830" s="2">
        <v>44734</v>
      </c>
      <c r="C830" s="5" t="s">
        <v>22</v>
      </c>
      <c r="D830" t="s">
        <v>697</v>
      </c>
      <c r="E830" t="s">
        <v>698</v>
      </c>
      <c r="F830" t="s">
        <v>4</v>
      </c>
      <c r="G830" t="s">
        <v>5</v>
      </c>
      <c r="H830" s="3">
        <v>819</v>
      </c>
      <c r="I830" t="s">
        <v>1320</v>
      </c>
      <c r="J830" t="s">
        <v>1317</v>
      </c>
      <c r="K830" t="s">
        <v>8</v>
      </c>
      <c r="L830" t="s">
        <v>1321</v>
      </c>
      <c r="M830" t="s">
        <v>8</v>
      </c>
      <c r="N830" t="s">
        <v>1322</v>
      </c>
      <c r="O830" t="s">
        <v>524</v>
      </c>
      <c r="P830" t="s">
        <v>1</v>
      </c>
    </row>
    <row r="831" spans="1:16" x14ac:dyDescent="0.25">
      <c r="A831" t="s">
        <v>0</v>
      </c>
      <c r="B831" s="2">
        <v>44734</v>
      </c>
      <c r="C831" s="5" t="s">
        <v>22</v>
      </c>
      <c r="D831" t="s">
        <v>1331</v>
      </c>
      <c r="E831" t="s">
        <v>1332</v>
      </c>
      <c r="F831" t="s">
        <v>4</v>
      </c>
      <c r="G831" t="s">
        <v>5</v>
      </c>
      <c r="H831" s="3">
        <v>324.14</v>
      </c>
      <c r="I831" t="s">
        <v>1660</v>
      </c>
      <c r="J831" t="s">
        <v>1334</v>
      </c>
      <c r="K831" t="s">
        <v>8</v>
      </c>
      <c r="L831" t="s">
        <v>1661</v>
      </c>
      <c r="M831" t="s">
        <v>8</v>
      </c>
      <c r="N831" t="s">
        <v>1662</v>
      </c>
      <c r="O831" t="s">
        <v>300</v>
      </c>
      <c r="P831" t="s">
        <v>43</v>
      </c>
    </row>
    <row r="832" spans="1:16" x14ac:dyDescent="0.25">
      <c r="A832" t="s">
        <v>0</v>
      </c>
      <c r="B832" s="2">
        <v>44734</v>
      </c>
      <c r="C832" s="5" t="s">
        <v>22</v>
      </c>
      <c r="D832" t="s">
        <v>1331</v>
      </c>
      <c r="E832" t="s">
        <v>1332</v>
      </c>
      <c r="F832" t="s">
        <v>4</v>
      </c>
      <c r="G832" t="s">
        <v>5</v>
      </c>
      <c r="H832" s="3">
        <v>309.22000000000003</v>
      </c>
      <c r="I832" t="s">
        <v>1690</v>
      </c>
      <c r="J832" t="s">
        <v>1334</v>
      </c>
      <c r="K832" t="s">
        <v>8</v>
      </c>
      <c r="L832" t="s">
        <v>1691</v>
      </c>
      <c r="M832" t="s">
        <v>8</v>
      </c>
      <c r="N832" t="s">
        <v>1692</v>
      </c>
      <c r="O832" t="s">
        <v>300</v>
      </c>
      <c r="P832" t="s">
        <v>17</v>
      </c>
    </row>
    <row r="833" spans="1:16" x14ac:dyDescent="0.25">
      <c r="A833" t="s">
        <v>0</v>
      </c>
      <c r="B833" s="2">
        <v>44734</v>
      </c>
      <c r="C833" s="5" t="s">
        <v>22</v>
      </c>
      <c r="D833" t="s">
        <v>108</v>
      </c>
      <c r="E833" t="s">
        <v>109</v>
      </c>
      <c r="F833" t="s">
        <v>4</v>
      </c>
      <c r="G833" t="s">
        <v>5</v>
      </c>
      <c r="H833" s="3">
        <v>44.84</v>
      </c>
      <c r="I833" t="s">
        <v>1342</v>
      </c>
      <c r="J833" t="s">
        <v>1343</v>
      </c>
      <c r="K833" t="s">
        <v>8</v>
      </c>
      <c r="L833" t="s">
        <v>2065</v>
      </c>
      <c r="M833" t="s">
        <v>8</v>
      </c>
      <c r="N833" t="s">
        <v>2066</v>
      </c>
      <c r="O833" t="s">
        <v>300</v>
      </c>
      <c r="P833" t="s">
        <v>77</v>
      </c>
    </row>
    <row r="834" spans="1:16" x14ac:dyDescent="0.25">
      <c r="A834" t="s">
        <v>0</v>
      </c>
      <c r="B834" s="2">
        <v>44739</v>
      </c>
      <c r="C834" s="5" t="s">
        <v>22</v>
      </c>
      <c r="D834" t="s">
        <v>410</v>
      </c>
      <c r="E834" t="s">
        <v>411</v>
      </c>
      <c r="F834" t="s">
        <v>4</v>
      </c>
      <c r="G834" t="s">
        <v>5</v>
      </c>
      <c r="H834" s="3">
        <v>10193.99</v>
      </c>
      <c r="I834" t="s">
        <v>428</v>
      </c>
      <c r="J834" t="s">
        <v>413</v>
      </c>
      <c r="K834" t="s">
        <v>8</v>
      </c>
      <c r="L834" t="s">
        <v>429</v>
      </c>
      <c r="M834" t="s">
        <v>8</v>
      </c>
      <c r="N834" t="s">
        <v>430</v>
      </c>
      <c r="O834" t="s">
        <v>300</v>
      </c>
      <c r="P834" t="s">
        <v>1</v>
      </c>
    </row>
    <row r="835" spans="1:16" x14ac:dyDescent="0.25">
      <c r="A835" t="s">
        <v>0</v>
      </c>
      <c r="B835" s="2">
        <v>44739</v>
      </c>
      <c r="C835" s="5" t="s">
        <v>22</v>
      </c>
      <c r="D835" t="s">
        <v>373</v>
      </c>
      <c r="E835" t="s">
        <v>374</v>
      </c>
      <c r="F835" t="s">
        <v>4</v>
      </c>
      <c r="G835" t="s">
        <v>5</v>
      </c>
      <c r="H835" s="3">
        <v>850</v>
      </c>
      <c r="I835" t="s">
        <v>1292</v>
      </c>
      <c r="J835" t="s">
        <v>1293</v>
      </c>
      <c r="K835" t="s">
        <v>8</v>
      </c>
      <c r="L835" t="s">
        <v>1294</v>
      </c>
      <c r="M835" t="s">
        <v>8</v>
      </c>
      <c r="N835" t="s">
        <v>1295</v>
      </c>
      <c r="O835" t="s">
        <v>300</v>
      </c>
      <c r="P835" t="s">
        <v>1</v>
      </c>
    </row>
    <row r="836" spans="1:16" x14ac:dyDescent="0.25">
      <c r="A836" t="s">
        <v>0</v>
      </c>
      <c r="B836" s="2">
        <v>44740</v>
      </c>
      <c r="C836" s="5" t="s">
        <v>22</v>
      </c>
      <c r="D836" t="s">
        <v>152</v>
      </c>
      <c r="E836" t="s">
        <v>153</v>
      </c>
      <c r="F836" t="s">
        <v>4</v>
      </c>
      <c r="G836" t="s">
        <v>5</v>
      </c>
      <c r="H836" s="3">
        <v>780.36</v>
      </c>
      <c r="I836" t="s">
        <v>1354</v>
      </c>
      <c r="J836" t="s">
        <v>153</v>
      </c>
      <c r="K836" t="s">
        <v>8</v>
      </c>
      <c r="L836" t="s">
        <v>8</v>
      </c>
      <c r="M836" t="s">
        <v>8</v>
      </c>
      <c r="N836" t="s">
        <v>1355</v>
      </c>
      <c r="O836" t="s">
        <v>1356</v>
      </c>
      <c r="P836" t="s">
        <v>282</v>
      </c>
    </row>
    <row r="837" spans="1:16" x14ac:dyDescent="0.25">
      <c r="A837" t="s">
        <v>0</v>
      </c>
      <c r="B837" s="2">
        <v>44740</v>
      </c>
      <c r="C837" s="5" t="s">
        <v>22</v>
      </c>
      <c r="D837" t="s">
        <v>1207</v>
      </c>
      <c r="E837" t="s">
        <v>1208</v>
      </c>
      <c r="F837" t="s">
        <v>4</v>
      </c>
      <c r="G837" t="s">
        <v>5</v>
      </c>
      <c r="H837" s="3">
        <v>676.52</v>
      </c>
      <c r="I837" t="s">
        <v>1389</v>
      </c>
      <c r="J837" t="s">
        <v>153</v>
      </c>
      <c r="K837" t="s">
        <v>8</v>
      </c>
      <c r="L837" t="s">
        <v>8</v>
      </c>
      <c r="M837" t="s">
        <v>8</v>
      </c>
      <c r="N837" t="s">
        <v>1355</v>
      </c>
      <c r="O837" t="s">
        <v>1356</v>
      </c>
      <c r="P837" t="s">
        <v>289</v>
      </c>
    </row>
    <row r="838" spans="1:16" x14ac:dyDescent="0.25">
      <c r="A838" t="s">
        <v>0</v>
      </c>
      <c r="B838" s="2">
        <v>44741</v>
      </c>
      <c r="C838" t="s">
        <v>22</v>
      </c>
      <c r="D838" t="s">
        <v>52</v>
      </c>
      <c r="E838" t="s">
        <v>53</v>
      </c>
      <c r="F838" t="s">
        <v>4</v>
      </c>
      <c r="G838" t="s">
        <v>5</v>
      </c>
      <c r="H838" s="3">
        <v>122117.12</v>
      </c>
      <c r="I838" t="s">
        <v>54</v>
      </c>
      <c r="J838" t="s">
        <v>55</v>
      </c>
      <c r="K838" t="s">
        <v>8</v>
      </c>
      <c r="L838" t="s">
        <v>8</v>
      </c>
      <c r="M838" t="s">
        <v>8</v>
      </c>
      <c r="N838" t="s">
        <v>56</v>
      </c>
      <c r="O838" t="s">
        <v>57</v>
      </c>
      <c r="P838" t="s">
        <v>58</v>
      </c>
    </row>
    <row r="839" spans="1:16" x14ac:dyDescent="0.25">
      <c r="A839" t="s">
        <v>0</v>
      </c>
      <c r="B839" s="2">
        <v>44741</v>
      </c>
      <c r="C839" t="s">
        <v>22</v>
      </c>
      <c r="D839" t="s">
        <v>59</v>
      </c>
      <c r="E839" t="s">
        <v>60</v>
      </c>
      <c r="F839" t="s">
        <v>4</v>
      </c>
      <c r="G839" t="s">
        <v>5</v>
      </c>
      <c r="H839" s="3">
        <v>112931.56</v>
      </c>
      <c r="I839" t="s">
        <v>61</v>
      </c>
      <c r="J839" t="s">
        <v>55</v>
      </c>
      <c r="K839" t="s">
        <v>8</v>
      </c>
      <c r="L839" t="s">
        <v>8</v>
      </c>
      <c r="M839" t="s">
        <v>8</v>
      </c>
      <c r="N839" t="s">
        <v>56</v>
      </c>
      <c r="O839" t="s">
        <v>57</v>
      </c>
      <c r="P839" t="s">
        <v>62</v>
      </c>
    </row>
    <row r="840" spans="1:16" x14ac:dyDescent="0.25">
      <c r="A840" t="s">
        <v>0</v>
      </c>
      <c r="B840" s="2">
        <v>44741</v>
      </c>
      <c r="C840" t="s">
        <v>22</v>
      </c>
      <c r="D840" t="s">
        <v>63</v>
      </c>
      <c r="E840" t="s">
        <v>64</v>
      </c>
      <c r="F840" t="s">
        <v>4</v>
      </c>
      <c r="G840" t="s">
        <v>5</v>
      </c>
      <c r="H840" s="3">
        <v>110102.69</v>
      </c>
      <c r="I840" t="s">
        <v>65</v>
      </c>
      <c r="J840" t="s">
        <v>55</v>
      </c>
      <c r="K840" t="s">
        <v>8</v>
      </c>
      <c r="L840" t="s">
        <v>8</v>
      </c>
      <c r="M840" t="s">
        <v>8</v>
      </c>
      <c r="N840" t="s">
        <v>56</v>
      </c>
      <c r="O840" t="s">
        <v>57</v>
      </c>
      <c r="P840" t="s">
        <v>71</v>
      </c>
    </row>
    <row r="841" spans="1:16" x14ac:dyDescent="0.25">
      <c r="A841" t="s">
        <v>0</v>
      </c>
      <c r="B841" s="2">
        <v>44741</v>
      </c>
      <c r="C841" t="s">
        <v>22</v>
      </c>
      <c r="D841" t="s">
        <v>63</v>
      </c>
      <c r="E841" t="s">
        <v>64</v>
      </c>
      <c r="F841" t="s">
        <v>4</v>
      </c>
      <c r="G841" t="s">
        <v>5</v>
      </c>
      <c r="H841" s="3">
        <v>96229.03</v>
      </c>
      <c r="I841" t="s">
        <v>114</v>
      </c>
      <c r="J841" t="s">
        <v>55</v>
      </c>
      <c r="K841" t="s">
        <v>8</v>
      </c>
      <c r="L841" t="s">
        <v>8</v>
      </c>
      <c r="M841" t="s">
        <v>8</v>
      </c>
      <c r="N841" t="s">
        <v>56</v>
      </c>
      <c r="O841" t="s">
        <v>57</v>
      </c>
      <c r="P841" t="s">
        <v>115</v>
      </c>
    </row>
    <row r="842" spans="1:16" x14ac:dyDescent="0.25">
      <c r="A842" t="s">
        <v>0</v>
      </c>
      <c r="B842" s="2">
        <v>44741</v>
      </c>
      <c r="C842" t="s">
        <v>22</v>
      </c>
      <c r="D842" t="s">
        <v>122</v>
      </c>
      <c r="E842" t="s">
        <v>123</v>
      </c>
      <c r="F842" t="s">
        <v>4</v>
      </c>
      <c r="G842" t="s">
        <v>5</v>
      </c>
      <c r="H842" s="3">
        <v>72620.039999999994</v>
      </c>
      <c r="I842" t="s">
        <v>124</v>
      </c>
      <c r="J842" t="s">
        <v>55</v>
      </c>
      <c r="K842" t="s">
        <v>8</v>
      </c>
      <c r="L842" t="s">
        <v>8</v>
      </c>
      <c r="M842" t="s">
        <v>8</v>
      </c>
      <c r="N842" t="s">
        <v>56</v>
      </c>
      <c r="O842" t="s">
        <v>57</v>
      </c>
      <c r="P842" t="s">
        <v>125</v>
      </c>
    </row>
    <row r="843" spans="1:16" x14ac:dyDescent="0.25">
      <c r="A843" t="s">
        <v>0</v>
      </c>
      <c r="B843" s="2">
        <v>44741</v>
      </c>
      <c r="C843" t="s">
        <v>22</v>
      </c>
      <c r="D843" t="s">
        <v>173</v>
      </c>
      <c r="E843" t="s">
        <v>174</v>
      </c>
      <c r="F843" t="s">
        <v>4</v>
      </c>
      <c r="G843" t="s">
        <v>5</v>
      </c>
      <c r="H843" s="3">
        <v>29288.13</v>
      </c>
      <c r="I843" t="s">
        <v>175</v>
      </c>
      <c r="J843" t="s">
        <v>55</v>
      </c>
      <c r="K843" t="s">
        <v>8</v>
      </c>
      <c r="L843" t="s">
        <v>8</v>
      </c>
      <c r="M843" t="s">
        <v>8</v>
      </c>
      <c r="N843" t="s">
        <v>56</v>
      </c>
      <c r="O843" t="s">
        <v>57</v>
      </c>
      <c r="P843" t="s">
        <v>148</v>
      </c>
    </row>
    <row r="844" spans="1:16" x14ac:dyDescent="0.25">
      <c r="A844" t="s">
        <v>0</v>
      </c>
      <c r="B844" s="2">
        <v>44741</v>
      </c>
      <c r="C844" t="s">
        <v>22</v>
      </c>
      <c r="D844" t="s">
        <v>169</v>
      </c>
      <c r="E844" t="s">
        <v>170</v>
      </c>
      <c r="F844" t="s">
        <v>4</v>
      </c>
      <c r="G844" t="s">
        <v>5</v>
      </c>
      <c r="H844" s="3">
        <v>28421.3</v>
      </c>
      <c r="I844" t="s">
        <v>171</v>
      </c>
      <c r="J844" t="s">
        <v>55</v>
      </c>
      <c r="K844" t="s">
        <v>8</v>
      </c>
      <c r="L844" t="s">
        <v>8</v>
      </c>
      <c r="M844" t="s">
        <v>8</v>
      </c>
      <c r="N844" t="s">
        <v>56</v>
      </c>
      <c r="O844" t="s">
        <v>57</v>
      </c>
      <c r="P844" t="s">
        <v>183</v>
      </c>
    </row>
    <row r="845" spans="1:16" x14ac:dyDescent="0.25">
      <c r="A845" t="s">
        <v>0</v>
      </c>
      <c r="B845" s="2">
        <v>44741</v>
      </c>
      <c r="C845" t="s">
        <v>22</v>
      </c>
      <c r="D845" t="s">
        <v>273</v>
      </c>
      <c r="E845" t="s">
        <v>274</v>
      </c>
      <c r="F845" t="s">
        <v>4</v>
      </c>
      <c r="G845" t="s">
        <v>5</v>
      </c>
      <c r="H845" s="3">
        <v>18130.349999999999</v>
      </c>
      <c r="I845" t="s">
        <v>275</v>
      </c>
      <c r="J845" t="s">
        <v>55</v>
      </c>
      <c r="K845" t="s">
        <v>8</v>
      </c>
      <c r="L845" t="s">
        <v>8</v>
      </c>
      <c r="M845" t="s">
        <v>8</v>
      </c>
      <c r="N845" t="s">
        <v>56</v>
      </c>
      <c r="O845" t="s">
        <v>57</v>
      </c>
      <c r="P845" t="s">
        <v>226</v>
      </c>
    </row>
    <row r="846" spans="1:16" x14ac:dyDescent="0.25">
      <c r="A846" t="s">
        <v>0</v>
      </c>
      <c r="B846" s="2">
        <v>44741</v>
      </c>
      <c r="C846" t="s">
        <v>22</v>
      </c>
      <c r="D846" t="s">
        <v>266</v>
      </c>
      <c r="E846" t="s">
        <v>267</v>
      </c>
      <c r="F846" t="s">
        <v>4</v>
      </c>
      <c r="G846" t="s">
        <v>5</v>
      </c>
      <c r="H846" s="3">
        <v>17489.23</v>
      </c>
      <c r="I846" t="s">
        <v>268</v>
      </c>
      <c r="J846" t="s">
        <v>8</v>
      </c>
      <c r="K846" t="s">
        <v>269</v>
      </c>
      <c r="L846" t="s">
        <v>8</v>
      </c>
      <c r="M846" t="s">
        <v>270</v>
      </c>
      <c r="N846" t="s">
        <v>314</v>
      </c>
      <c r="O846" t="s">
        <v>272</v>
      </c>
      <c r="P846" t="s">
        <v>12</v>
      </c>
    </row>
    <row r="847" spans="1:16" x14ac:dyDescent="0.25">
      <c r="A847" t="s">
        <v>0</v>
      </c>
      <c r="B847" s="2">
        <v>44741</v>
      </c>
      <c r="C847" t="s">
        <v>22</v>
      </c>
      <c r="D847" t="s">
        <v>266</v>
      </c>
      <c r="E847" t="s">
        <v>267</v>
      </c>
      <c r="F847" t="s">
        <v>4</v>
      </c>
      <c r="G847" t="s">
        <v>5</v>
      </c>
      <c r="H847" s="3">
        <v>13050</v>
      </c>
      <c r="I847" t="s">
        <v>268</v>
      </c>
      <c r="J847" t="s">
        <v>8</v>
      </c>
      <c r="K847" t="s">
        <v>269</v>
      </c>
      <c r="L847" t="s">
        <v>8</v>
      </c>
      <c r="M847" t="s">
        <v>270</v>
      </c>
      <c r="N847" t="s">
        <v>372</v>
      </c>
      <c r="O847" t="s">
        <v>95</v>
      </c>
      <c r="P847" t="s">
        <v>12</v>
      </c>
    </row>
    <row r="848" spans="1:16" x14ac:dyDescent="0.25">
      <c r="A848" t="s">
        <v>0</v>
      </c>
      <c r="B848" s="2">
        <v>44741</v>
      </c>
      <c r="C848" t="s">
        <v>22</v>
      </c>
      <c r="D848" t="s">
        <v>380</v>
      </c>
      <c r="E848" t="s">
        <v>381</v>
      </c>
      <c r="F848" t="s">
        <v>4</v>
      </c>
      <c r="G848" t="s">
        <v>5</v>
      </c>
      <c r="H848" s="3">
        <v>10859.81</v>
      </c>
      <c r="I848" t="s">
        <v>382</v>
      </c>
      <c r="J848" t="s">
        <v>55</v>
      </c>
      <c r="K848" t="s">
        <v>8</v>
      </c>
      <c r="L848" t="s">
        <v>8</v>
      </c>
      <c r="M848" t="s">
        <v>8</v>
      </c>
      <c r="N848" t="s">
        <v>56</v>
      </c>
      <c r="O848" t="s">
        <v>57</v>
      </c>
      <c r="P848" t="s">
        <v>383</v>
      </c>
    </row>
    <row r="849" spans="1:16" x14ac:dyDescent="0.25">
      <c r="A849" t="s">
        <v>0</v>
      </c>
      <c r="B849" s="2">
        <v>44741</v>
      </c>
      <c r="C849" t="s">
        <v>22</v>
      </c>
      <c r="D849" t="s">
        <v>122</v>
      </c>
      <c r="E849" t="s">
        <v>123</v>
      </c>
      <c r="F849" t="s">
        <v>4</v>
      </c>
      <c r="G849" t="s">
        <v>5</v>
      </c>
      <c r="H849" s="3">
        <v>10557.11</v>
      </c>
      <c r="I849" t="s">
        <v>397</v>
      </c>
      <c r="J849" t="s">
        <v>55</v>
      </c>
      <c r="K849" t="s">
        <v>8</v>
      </c>
      <c r="L849" t="s">
        <v>8</v>
      </c>
      <c r="M849" t="s">
        <v>8</v>
      </c>
      <c r="N849" t="s">
        <v>56</v>
      </c>
      <c r="O849" t="s">
        <v>57</v>
      </c>
      <c r="P849" t="s">
        <v>214</v>
      </c>
    </row>
    <row r="850" spans="1:16" x14ac:dyDescent="0.25">
      <c r="A850" t="s">
        <v>0</v>
      </c>
      <c r="B850" s="2">
        <v>44741</v>
      </c>
      <c r="C850" s="5" t="s">
        <v>22</v>
      </c>
      <c r="D850" t="s">
        <v>169</v>
      </c>
      <c r="E850" t="s">
        <v>170</v>
      </c>
      <c r="F850" t="s">
        <v>4</v>
      </c>
      <c r="G850" t="s">
        <v>5</v>
      </c>
      <c r="H850" s="3">
        <v>8729.86</v>
      </c>
      <c r="I850" t="s">
        <v>213</v>
      </c>
      <c r="J850" t="s">
        <v>55</v>
      </c>
      <c r="K850" t="s">
        <v>8</v>
      </c>
      <c r="L850" t="s">
        <v>8</v>
      </c>
      <c r="M850" t="s">
        <v>8</v>
      </c>
      <c r="N850" t="s">
        <v>56</v>
      </c>
      <c r="O850" t="s">
        <v>57</v>
      </c>
      <c r="P850" t="s">
        <v>520</v>
      </c>
    </row>
    <row r="851" spans="1:16" x14ac:dyDescent="0.25">
      <c r="A851" t="s">
        <v>0</v>
      </c>
      <c r="B851" s="2">
        <v>44741</v>
      </c>
      <c r="C851" s="5" t="s">
        <v>22</v>
      </c>
      <c r="D851" t="s">
        <v>534</v>
      </c>
      <c r="E851" t="s">
        <v>535</v>
      </c>
      <c r="F851" t="s">
        <v>4</v>
      </c>
      <c r="G851" t="s">
        <v>5</v>
      </c>
      <c r="H851" s="3">
        <v>7277.12</v>
      </c>
      <c r="I851" t="s">
        <v>536</v>
      </c>
      <c r="J851" t="s">
        <v>55</v>
      </c>
      <c r="K851" t="s">
        <v>8</v>
      </c>
      <c r="L851" t="s">
        <v>8</v>
      </c>
      <c r="M851" t="s">
        <v>8</v>
      </c>
      <c r="N851" t="s">
        <v>56</v>
      </c>
      <c r="O851" t="s">
        <v>57</v>
      </c>
      <c r="P851" t="s">
        <v>570</v>
      </c>
    </row>
    <row r="852" spans="1:16" x14ac:dyDescent="0.25">
      <c r="A852" t="s">
        <v>0</v>
      </c>
      <c r="B852" s="2">
        <v>44741</v>
      </c>
      <c r="C852" s="5" t="s">
        <v>22</v>
      </c>
      <c r="D852" t="s">
        <v>514</v>
      </c>
      <c r="E852" t="s">
        <v>515</v>
      </c>
      <c r="F852" t="s">
        <v>4</v>
      </c>
      <c r="G852" t="s">
        <v>5</v>
      </c>
      <c r="H852" s="3">
        <v>6127.98</v>
      </c>
      <c r="I852" t="s">
        <v>516</v>
      </c>
      <c r="J852" t="s">
        <v>55</v>
      </c>
      <c r="K852" t="s">
        <v>8</v>
      </c>
      <c r="L852" t="s">
        <v>8</v>
      </c>
      <c r="M852" t="s">
        <v>8</v>
      </c>
      <c r="N852" t="s">
        <v>622</v>
      </c>
      <c r="O852" t="s">
        <v>57</v>
      </c>
      <c r="P852" t="s">
        <v>623</v>
      </c>
    </row>
    <row r="853" spans="1:16" x14ac:dyDescent="0.25">
      <c r="A853" t="s">
        <v>0</v>
      </c>
      <c r="B853" s="2">
        <v>44741</v>
      </c>
      <c r="C853" s="5" t="s">
        <v>22</v>
      </c>
      <c r="D853" t="s">
        <v>301</v>
      </c>
      <c r="E853" t="s">
        <v>302</v>
      </c>
      <c r="F853" t="s">
        <v>4</v>
      </c>
      <c r="G853" t="s">
        <v>5</v>
      </c>
      <c r="H853" s="3">
        <v>5825.68</v>
      </c>
      <c r="I853" t="s">
        <v>268</v>
      </c>
      <c r="J853" t="s">
        <v>8</v>
      </c>
      <c r="K853" t="s">
        <v>269</v>
      </c>
      <c r="L853" t="s">
        <v>8</v>
      </c>
      <c r="M853" t="s">
        <v>270</v>
      </c>
      <c r="N853" t="s">
        <v>314</v>
      </c>
      <c r="O853" t="s">
        <v>272</v>
      </c>
      <c r="P853" t="s">
        <v>43</v>
      </c>
    </row>
    <row r="854" spans="1:16" x14ac:dyDescent="0.25">
      <c r="A854" t="s">
        <v>0</v>
      </c>
      <c r="B854" s="2">
        <v>44741</v>
      </c>
      <c r="C854" s="5" t="s">
        <v>22</v>
      </c>
      <c r="D854" t="s">
        <v>507</v>
      </c>
      <c r="E854" t="s">
        <v>508</v>
      </c>
      <c r="F854" t="s">
        <v>4</v>
      </c>
      <c r="G854" t="s">
        <v>5</v>
      </c>
      <c r="H854" s="3">
        <v>5760.03</v>
      </c>
      <c r="I854" t="s">
        <v>509</v>
      </c>
      <c r="J854" t="s">
        <v>55</v>
      </c>
      <c r="K854" t="s">
        <v>8</v>
      </c>
      <c r="L854" t="s">
        <v>8</v>
      </c>
      <c r="M854" t="s">
        <v>8</v>
      </c>
      <c r="N854" t="s">
        <v>56</v>
      </c>
      <c r="O854" t="s">
        <v>57</v>
      </c>
      <c r="P854" t="s">
        <v>74</v>
      </c>
    </row>
    <row r="855" spans="1:16" x14ac:dyDescent="0.25">
      <c r="A855" t="s">
        <v>0</v>
      </c>
      <c r="B855" s="2">
        <v>44741</v>
      </c>
      <c r="C855" s="5" t="s">
        <v>22</v>
      </c>
      <c r="D855" t="s">
        <v>624</v>
      </c>
      <c r="E855" t="s">
        <v>625</v>
      </c>
      <c r="F855" t="s">
        <v>4</v>
      </c>
      <c r="G855" t="s">
        <v>5</v>
      </c>
      <c r="H855" s="3">
        <v>5715.28</v>
      </c>
      <c r="I855" t="s">
        <v>626</v>
      </c>
      <c r="J855" t="s">
        <v>55</v>
      </c>
      <c r="K855" t="s">
        <v>8</v>
      </c>
      <c r="L855" t="s">
        <v>8</v>
      </c>
      <c r="M855" t="s">
        <v>8</v>
      </c>
      <c r="N855" t="s">
        <v>56</v>
      </c>
      <c r="O855" t="s">
        <v>57</v>
      </c>
      <c r="P855" t="s">
        <v>581</v>
      </c>
    </row>
    <row r="856" spans="1:16" x14ac:dyDescent="0.25">
      <c r="A856" t="s">
        <v>0</v>
      </c>
      <c r="B856" s="2">
        <v>44741</v>
      </c>
      <c r="C856" s="5" t="s">
        <v>22</v>
      </c>
      <c r="D856" t="s">
        <v>390</v>
      </c>
      <c r="E856" t="s">
        <v>391</v>
      </c>
      <c r="F856" t="s">
        <v>4</v>
      </c>
      <c r="G856" t="s">
        <v>5</v>
      </c>
      <c r="H856" s="3">
        <v>3204.06</v>
      </c>
      <c r="I856" t="s">
        <v>808</v>
      </c>
      <c r="J856" t="s">
        <v>809</v>
      </c>
      <c r="K856" t="s">
        <v>8</v>
      </c>
      <c r="L856" t="s">
        <v>815</v>
      </c>
      <c r="M856" t="s">
        <v>8</v>
      </c>
      <c r="N856" t="s">
        <v>816</v>
      </c>
      <c r="O856" t="s">
        <v>29</v>
      </c>
      <c r="P856" t="s">
        <v>1</v>
      </c>
    </row>
    <row r="857" spans="1:16" x14ac:dyDescent="0.25">
      <c r="A857" t="s">
        <v>0</v>
      </c>
      <c r="B857" s="2">
        <v>44741</v>
      </c>
      <c r="C857" s="5" t="s">
        <v>22</v>
      </c>
      <c r="D857" t="s">
        <v>266</v>
      </c>
      <c r="E857" t="s">
        <v>267</v>
      </c>
      <c r="F857" t="s">
        <v>4</v>
      </c>
      <c r="G857" t="s">
        <v>5</v>
      </c>
      <c r="H857" s="3">
        <v>3128.42</v>
      </c>
      <c r="I857" t="s">
        <v>268</v>
      </c>
      <c r="J857" t="s">
        <v>8</v>
      </c>
      <c r="K857" t="s">
        <v>826</v>
      </c>
      <c r="L857" t="s">
        <v>8</v>
      </c>
      <c r="M857" t="s">
        <v>270</v>
      </c>
      <c r="N857" t="s">
        <v>827</v>
      </c>
      <c r="O857" t="s">
        <v>272</v>
      </c>
      <c r="P857" t="s">
        <v>43</v>
      </c>
    </row>
    <row r="858" spans="1:16" x14ac:dyDescent="0.25">
      <c r="A858" t="s">
        <v>0</v>
      </c>
      <c r="B858" s="2">
        <v>44741</v>
      </c>
      <c r="C858" s="5" t="s">
        <v>22</v>
      </c>
      <c r="D858" t="s">
        <v>769</v>
      </c>
      <c r="E858" t="s">
        <v>770</v>
      </c>
      <c r="F858" t="s">
        <v>4</v>
      </c>
      <c r="G858" t="s">
        <v>5</v>
      </c>
      <c r="H858" s="3">
        <v>3009.93</v>
      </c>
      <c r="I858" t="s">
        <v>771</v>
      </c>
      <c r="J858" t="s">
        <v>55</v>
      </c>
      <c r="K858" t="s">
        <v>8</v>
      </c>
      <c r="L858" t="s">
        <v>8</v>
      </c>
      <c r="M858" t="s">
        <v>8</v>
      </c>
      <c r="N858" t="s">
        <v>622</v>
      </c>
      <c r="O858" t="s">
        <v>57</v>
      </c>
      <c r="P858" t="s">
        <v>828</v>
      </c>
    </row>
    <row r="859" spans="1:16" x14ac:dyDescent="0.25">
      <c r="A859" t="s">
        <v>0</v>
      </c>
      <c r="B859" s="2">
        <v>44741</v>
      </c>
      <c r="C859" s="5" t="s">
        <v>22</v>
      </c>
      <c r="D859" t="s">
        <v>822</v>
      </c>
      <c r="E859" t="s">
        <v>823</v>
      </c>
      <c r="F859" t="s">
        <v>4</v>
      </c>
      <c r="G859" t="s">
        <v>5</v>
      </c>
      <c r="H859" s="3">
        <v>2575.58</v>
      </c>
      <c r="I859" t="s">
        <v>824</v>
      </c>
      <c r="J859" t="s">
        <v>55</v>
      </c>
      <c r="K859" t="s">
        <v>8</v>
      </c>
      <c r="L859" t="s">
        <v>8</v>
      </c>
      <c r="M859" t="s">
        <v>8</v>
      </c>
      <c r="N859" t="s">
        <v>622</v>
      </c>
      <c r="O859" t="s">
        <v>57</v>
      </c>
      <c r="P859" t="s">
        <v>874</v>
      </c>
    </row>
    <row r="860" spans="1:16" x14ac:dyDescent="0.25">
      <c r="A860" t="s">
        <v>0</v>
      </c>
      <c r="B860" s="2">
        <v>44741</v>
      </c>
      <c r="C860" s="5" t="s">
        <v>22</v>
      </c>
      <c r="D860" t="s">
        <v>266</v>
      </c>
      <c r="E860" t="s">
        <v>267</v>
      </c>
      <c r="F860" t="s">
        <v>4</v>
      </c>
      <c r="G860" t="s">
        <v>5</v>
      </c>
      <c r="H860" s="3">
        <v>2422.62</v>
      </c>
      <c r="I860" t="s">
        <v>268</v>
      </c>
      <c r="J860" t="s">
        <v>8</v>
      </c>
      <c r="K860" t="s">
        <v>890</v>
      </c>
      <c r="L860" t="s">
        <v>8</v>
      </c>
      <c r="M860" t="s">
        <v>270</v>
      </c>
      <c r="N860" t="s">
        <v>891</v>
      </c>
      <c r="O860" t="s">
        <v>272</v>
      </c>
      <c r="P860" t="s">
        <v>30</v>
      </c>
    </row>
    <row r="861" spans="1:16" x14ac:dyDescent="0.25">
      <c r="A861" t="s">
        <v>0</v>
      </c>
      <c r="B861" s="2">
        <v>44741</v>
      </c>
      <c r="C861" s="5" t="s">
        <v>22</v>
      </c>
      <c r="D861" t="s">
        <v>273</v>
      </c>
      <c r="E861" t="s">
        <v>274</v>
      </c>
      <c r="F861" t="s">
        <v>4</v>
      </c>
      <c r="G861" t="s">
        <v>5</v>
      </c>
      <c r="H861" s="3">
        <v>2358.6</v>
      </c>
      <c r="I861" t="s">
        <v>908</v>
      </c>
      <c r="J861" t="s">
        <v>55</v>
      </c>
      <c r="K861" t="s">
        <v>8</v>
      </c>
      <c r="L861" t="s">
        <v>8</v>
      </c>
      <c r="M861" t="s">
        <v>8</v>
      </c>
      <c r="N861" t="s">
        <v>56</v>
      </c>
      <c r="O861" t="s">
        <v>57</v>
      </c>
      <c r="P861" t="s">
        <v>909</v>
      </c>
    </row>
    <row r="862" spans="1:16" x14ac:dyDescent="0.25">
      <c r="A862" t="s">
        <v>0</v>
      </c>
      <c r="B862" s="2">
        <v>44741</v>
      </c>
      <c r="C862" s="5" t="s">
        <v>22</v>
      </c>
      <c r="D862" t="s">
        <v>514</v>
      </c>
      <c r="E862" t="s">
        <v>515</v>
      </c>
      <c r="F862" t="s">
        <v>4</v>
      </c>
      <c r="G862" t="s">
        <v>5</v>
      </c>
      <c r="H862" s="3">
        <v>2071.7399999999998</v>
      </c>
      <c r="I862" t="s">
        <v>889</v>
      </c>
      <c r="J862" t="s">
        <v>55</v>
      </c>
      <c r="K862" t="s">
        <v>8</v>
      </c>
      <c r="L862" t="s">
        <v>8</v>
      </c>
      <c r="M862" t="s">
        <v>8</v>
      </c>
      <c r="N862" t="s">
        <v>622</v>
      </c>
      <c r="O862" t="s">
        <v>57</v>
      </c>
      <c r="P862" t="s">
        <v>950</v>
      </c>
    </row>
    <row r="863" spans="1:16" x14ac:dyDescent="0.25">
      <c r="A863" t="s">
        <v>0</v>
      </c>
      <c r="B863" s="2">
        <v>44741</v>
      </c>
      <c r="C863" s="5" t="s">
        <v>22</v>
      </c>
      <c r="D863" t="s">
        <v>954</v>
      </c>
      <c r="E863" t="s">
        <v>955</v>
      </c>
      <c r="F863" t="s">
        <v>4</v>
      </c>
      <c r="G863" t="s">
        <v>5</v>
      </c>
      <c r="H863" s="3">
        <v>2000</v>
      </c>
      <c r="I863" t="s">
        <v>956</v>
      </c>
      <c r="J863" t="s">
        <v>55</v>
      </c>
      <c r="K863" t="s">
        <v>8</v>
      </c>
      <c r="L863" t="s">
        <v>8</v>
      </c>
      <c r="M863" t="s">
        <v>8</v>
      </c>
      <c r="N863" t="s">
        <v>622</v>
      </c>
      <c r="O863" t="s">
        <v>57</v>
      </c>
      <c r="P863" t="s">
        <v>961</v>
      </c>
    </row>
    <row r="864" spans="1:16" x14ac:dyDescent="0.25">
      <c r="A864" t="s">
        <v>0</v>
      </c>
      <c r="B864" s="2">
        <v>44741</v>
      </c>
      <c r="C864" s="5" t="s">
        <v>22</v>
      </c>
      <c r="D864" t="s">
        <v>301</v>
      </c>
      <c r="E864" t="s">
        <v>302</v>
      </c>
      <c r="F864" t="s">
        <v>4</v>
      </c>
      <c r="G864" t="s">
        <v>5</v>
      </c>
      <c r="H864" s="3">
        <v>1834.72</v>
      </c>
      <c r="I864" t="s">
        <v>268</v>
      </c>
      <c r="J864" t="s">
        <v>8</v>
      </c>
      <c r="K864" t="s">
        <v>451</v>
      </c>
      <c r="L864" t="s">
        <v>8</v>
      </c>
      <c r="M864" t="s">
        <v>270</v>
      </c>
      <c r="N864" t="s">
        <v>1000</v>
      </c>
      <c r="O864" t="s">
        <v>272</v>
      </c>
      <c r="P864" t="s">
        <v>22</v>
      </c>
    </row>
    <row r="865" spans="1:16" x14ac:dyDescent="0.25">
      <c r="A865" t="s">
        <v>0</v>
      </c>
      <c r="B865" s="2">
        <v>44741</v>
      </c>
      <c r="C865" s="5" t="s">
        <v>22</v>
      </c>
      <c r="D865" t="s">
        <v>266</v>
      </c>
      <c r="E865" t="s">
        <v>267</v>
      </c>
      <c r="F865" t="s">
        <v>4</v>
      </c>
      <c r="G865" t="s">
        <v>5</v>
      </c>
      <c r="H865" s="3">
        <v>1771.71</v>
      </c>
      <c r="I865" t="s">
        <v>268</v>
      </c>
      <c r="J865" t="s">
        <v>8</v>
      </c>
      <c r="K865" t="s">
        <v>627</v>
      </c>
      <c r="L865" t="s">
        <v>8</v>
      </c>
      <c r="M865" t="s">
        <v>270</v>
      </c>
      <c r="N865" t="s">
        <v>1044</v>
      </c>
      <c r="O865" t="s">
        <v>272</v>
      </c>
      <c r="P865" t="s">
        <v>22</v>
      </c>
    </row>
    <row r="866" spans="1:16" x14ac:dyDescent="0.25">
      <c r="A866" t="s">
        <v>0</v>
      </c>
      <c r="B866" s="2">
        <v>44741</v>
      </c>
      <c r="C866" s="5" t="s">
        <v>22</v>
      </c>
      <c r="D866" t="s">
        <v>266</v>
      </c>
      <c r="E866" t="s">
        <v>267</v>
      </c>
      <c r="F866" t="s">
        <v>4</v>
      </c>
      <c r="G866" t="s">
        <v>5</v>
      </c>
      <c r="H866" s="3">
        <v>1566.54</v>
      </c>
      <c r="I866" t="s">
        <v>268</v>
      </c>
      <c r="J866" t="s">
        <v>8</v>
      </c>
      <c r="K866" t="s">
        <v>932</v>
      </c>
      <c r="L866" t="s">
        <v>8</v>
      </c>
      <c r="M866" t="s">
        <v>270</v>
      </c>
      <c r="N866" t="s">
        <v>1066</v>
      </c>
      <c r="O866" t="s">
        <v>272</v>
      </c>
      <c r="P866" t="s">
        <v>12</v>
      </c>
    </row>
    <row r="867" spans="1:16" x14ac:dyDescent="0.25">
      <c r="A867" t="s">
        <v>0</v>
      </c>
      <c r="B867" s="2">
        <v>44741</v>
      </c>
      <c r="C867" s="5" t="s">
        <v>22</v>
      </c>
      <c r="D867" t="s">
        <v>301</v>
      </c>
      <c r="E867" t="s">
        <v>302</v>
      </c>
      <c r="F867" t="s">
        <v>4</v>
      </c>
      <c r="G867" t="s">
        <v>5</v>
      </c>
      <c r="H867" s="3">
        <v>1564.21</v>
      </c>
      <c r="I867" t="s">
        <v>268</v>
      </c>
      <c r="J867" t="s">
        <v>8</v>
      </c>
      <c r="K867" t="s">
        <v>826</v>
      </c>
      <c r="L867" t="s">
        <v>8</v>
      </c>
      <c r="M867" t="s">
        <v>270</v>
      </c>
      <c r="N867" t="s">
        <v>827</v>
      </c>
      <c r="O867" t="s">
        <v>272</v>
      </c>
      <c r="P867" t="s">
        <v>733</v>
      </c>
    </row>
    <row r="868" spans="1:16" x14ac:dyDescent="0.25">
      <c r="A868" t="s">
        <v>0</v>
      </c>
      <c r="B868" s="2">
        <v>44741</v>
      </c>
      <c r="C868" s="5" t="s">
        <v>22</v>
      </c>
      <c r="D868" t="s">
        <v>266</v>
      </c>
      <c r="E868" t="s">
        <v>267</v>
      </c>
      <c r="F868" t="s">
        <v>4</v>
      </c>
      <c r="G868" t="s">
        <v>5</v>
      </c>
      <c r="H868" s="3">
        <v>1321.64</v>
      </c>
      <c r="I868" t="s">
        <v>268</v>
      </c>
      <c r="J868" t="s">
        <v>8</v>
      </c>
      <c r="K868" t="s">
        <v>451</v>
      </c>
      <c r="L868" t="s">
        <v>8</v>
      </c>
      <c r="M868" t="s">
        <v>270</v>
      </c>
      <c r="N868" t="s">
        <v>1000</v>
      </c>
      <c r="O868" t="s">
        <v>272</v>
      </c>
      <c r="P868" t="s">
        <v>12</v>
      </c>
    </row>
    <row r="869" spans="1:16" x14ac:dyDescent="0.25">
      <c r="A869" t="s">
        <v>0</v>
      </c>
      <c r="B869" s="2">
        <v>44741</v>
      </c>
      <c r="C869" s="5" t="s">
        <v>22</v>
      </c>
      <c r="D869" t="s">
        <v>881</v>
      </c>
      <c r="E869" t="s">
        <v>882</v>
      </c>
      <c r="F869" t="s">
        <v>4</v>
      </c>
      <c r="G869" t="s">
        <v>5</v>
      </c>
      <c r="H869" s="3">
        <v>1321</v>
      </c>
      <c r="I869" t="s">
        <v>1065</v>
      </c>
      <c r="J869" t="s">
        <v>55</v>
      </c>
      <c r="K869" t="s">
        <v>8</v>
      </c>
      <c r="L869" t="s">
        <v>8</v>
      </c>
      <c r="M869" t="s">
        <v>8</v>
      </c>
      <c r="N869" t="s">
        <v>56</v>
      </c>
      <c r="O869" t="s">
        <v>57</v>
      </c>
      <c r="P869" t="s">
        <v>746</v>
      </c>
    </row>
    <row r="870" spans="1:16" x14ac:dyDescent="0.25">
      <c r="A870" t="s">
        <v>0</v>
      </c>
      <c r="B870" s="2">
        <v>44741</v>
      </c>
      <c r="C870" s="5" t="s">
        <v>22</v>
      </c>
      <c r="D870" t="s">
        <v>951</v>
      </c>
      <c r="E870" t="s">
        <v>952</v>
      </c>
      <c r="F870" t="s">
        <v>4</v>
      </c>
      <c r="G870" t="s">
        <v>5</v>
      </c>
      <c r="H870" s="3">
        <v>1245.55</v>
      </c>
      <c r="I870" t="s">
        <v>953</v>
      </c>
      <c r="J870" t="s">
        <v>55</v>
      </c>
      <c r="K870" t="s">
        <v>8</v>
      </c>
      <c r="L870" t="s">
        <v>8</v>
      </c>
      <c r="M870" t="s">
        <v>8</v>
      </c>
      <c r="N870" t="s">
        <v>622</v>
      </c>
      <c r="O870" t="s">
        <v>57</v>
      </c>
      <c r="P870" t="s">
        <v>1141</v>
      </c>
    </row>
    <row r="871" spans="1:16" x14ac:dyDescent="0.25">
      <c r="A871" t="s">
        <v>0</v>
      </c>
      <c r="B871" s="2">
        <v>44741</v>
      </c>
      <c r="C871" s="5" t="s">
        <v>22</v>
      </c>
      <c r="D871" t="s">
        <v>301</v>
      </c>
      <c r="E871" t="s">
        <v>302</v>
      </c>
      <c r="F871" t="s">
        <v>4</v>
      </c>
      <c r="G871" t="s">
        <v>5</v>
      </c>
      <c r="H871" s="3">
        <v>1211.31</v>
      </c>
      <c r="I871" t="s">
        <v>268</v>
      </c>
      <c r="J871" t="s">
        <v>8</v>
      </c>
      <c r="K871" t="s">
        <v>890</v>
      </c>
      <c r="L871" t="s">
        <v>8</v>
      </c>
      <c r="M871" t="s">
        <v>270</v>
      </c>
      <c r="N871" t="s">
        <v>891</v>
      </c>
      <c r="O871" t="s">
        <v>272</v>
      </c>
      <c r="P871" t="s">
        <v>337</v>
      </c>
    </row>
    <row r="872" spans="1:16" x14ac:dyDescent="0.25">
      <c r="A872" t="s">
        <v>0</v>
      </c>
      <c r="B872" s="2">
        <v>44741</v>
      </c>
      <c r="C872" s="5" t="s">
        <v>22</v>
      </c>
      <c r="D872" t="s">
        <v>301</v>
      </c>
      <c r="E872" t="s">
        <v>302</v>
      </c>
      <c r="F872" t="s">
        <v>4</v>
      </c>
      <c r="G872" t="s">
        <v>5</v>
      </c>
      <c r="H872" s="3">
        <v>1136.58</v>
      </c>
      <c r="I872" t="s">
        <v>268</v>
      </c>
      <c r="J872" t="s">
        <v>8</v>
      </c>
      <c r="K872" t="s">
        <v>1167</v>
      </c>
      <c r="L872" t="s">
        <v>8</v>
      </c>
      <c r="M872" t="s">
        <v>270</v>
      </c>
      <c r="N872" t="s">
        <v>1171</v>
      </c>
      <c r="O872" t="s">
        <v>272</v>
      </c>
      <c r="P872" t="s">
        <v>43</v>
      </c>
    </row>
    <row r="873" spans="1:16" x14ac:dyDescent="0.25">
      <c r="A873" t="s">
        <v>0</v>
      </c>
      <c r="B873" s="2">
        <v>44741</v>
      </c>
      <c r="C873" s="5" t="s">
        <v>22</v>
      </c>
      <c r="D873" t="s">
        <v>266</v>
      </c>
      <c r="E873" t="s">
        <v>267</v>
      </c>
      <c r="F873" t="s">
        <v>4</v>
      </c>
      <c r="G873" t="s">
        <v>5</v>
      </c>
      <c r="H873" s="3">
        <v>1131</v>
      </c>
      <c r="I873" t="s">
        <v>268</v>
      </c>
      <c r="J873" t="s">
        <v>8</v>
      </c>
      <c r="K873" t="s">
        <v>767</v>
      </c>
      <c r="L873" t="s">
        <v>8</v>
      </c>
      <c r="M873" t="s">
        <v>270</v>
      </c>
      <c r="N873" t="s">
        <v>1177</v>
      </c>
      <c r="O873" t="s">
        <v>95</v>
      </c>
      <c r="P873" t="s">
        <v>12</v>
      </c>
    </row>
    <row r="874" spans="1:16" x14ac:dyDescent="0.25">
      <c r="A874" t="s">
        <v>0</v>
      </c>
      <c r="B874" s="2">
        <v>44741</v>
      </c>
      <c r="C874" s="5" t="s">
        <v>22</v>
      </c>
      <c r="D874" t="s">
        <v>266</v>
      </c>
      <c r="E874" t="s">
        <v>267</v>
      </c>
      <c r="F874" t="s">
        <v>4</v>
      </c>
      <c r="G874" t="s">
        <v>5</v>
      </c>
      <c r="H874" s="3">
        <v>1095.7</v>
      </c>
      <c r="I874" t="s">
        <v>268</v>
      </c>
      <c r="J874" t="s">
        <v>8</v>
      </c>
      <c r="K874" t="s">
        <v>1191</v>
      </c>
      <c r="L874" t="s">
        <v>8</v>
      </c>
      <c r="M874" t="s">
        <v>270</v>
      </c>
      <c r="N874" t="s">
        <v>1192</v>
      </c>
      <c r="O874" t="s">
        <v>272</v>
      </c>
      <c r="P874" t="s">
        <v>82</v>
      </c>
    </row>
    <row r="875" spans="1:16" x14ac:dyDescent="0.25">
      <c r="A875" t="s">
        <v>0</v>
      </c>
      <c r="B875" s="2">
        <v>44741</v>
      </c>
      <c r="C875" s="5" t="s">
        <v>22</v>
      </c>
      <c r="D875" t="s">
        <v>1184</v>
      </c>
      <c r="E875" t="s">
        <v>1185</v>
      </c>
      <c r="F875" t="s">
        <v>4</v>
      </c>
      <c r="G875" t="s">
        <v>5</v>
      </c>
      <c r="H875" s="3">
        <v>963.25</v>
      </c>
      <c r="I875" t="s">
        <v>1186</v>
      </c>
      <c r="J875" t="s">
        <v>55</v>
      </c>
      <c r="K875" t="s">
        <v>8</v>
      </c>
      <c r="L875" t="s">
        <v>8</v>
      </c>
      <c r="M875" t="s">
        <v>8</v>
      </c>
      <c r="N875" t="s">
        <v>622</v>
      </c>
      <c r="O875" t="s">
        <v>57</v>
      </c>
      <c r="P875" t="s">
        <v>1224</v>
      </c>
    </row>
    <row r="876" spans="1:16" x14ac:dyDescent="0.25">
      <c r="A876" t="s">
        <v>0</v>
      </c>
      <c r="B876" s="2">
        <v>44741</v>
      </c>
      <c r="C876" s="5" t="s">
        <v>22</v>
      </c>
      <c r="D876" t="s">
        <v>951</v>
      </c>
      <c r="E876" t="s">
        <v>952</v>
      </c>
      <c r="F876" t="s">
        <v>4</v>
      </c>
      <c r="G876" t="s">
        <v>5</v>
      </c>
      <c r="H876" s="3">
        <v>907.69</v>
      </c>
      <c r="I876" t="s">
        <v>1178</v>
      </c>
      <c r="J876" t="s">
        <v>55</v>
      </c>
      <c r="K876" t="s">
        <v>8</v>
      </c>
      <c r="L876" t="s">
        <v>8</v>
      </c>
      <c r="M876" t="s">
        <v>8</v>
      </c>
      <c r="N876" t="s">
        <v>622</v>
      </c>
      <c r="O876" t="s">
        <v>57</v>
      </c>
      <c r="P876" t="s">
        <v>1239</v>
      </c>
    </row>
    <row r="877" spans="1:16" x14ac:dyDescent="0.25">
      <c r="A877" t="s">
        <v>0</v>
      </c>
      <c r="B877" s="2">
        <v>44741</v>
      </c>
      <c r="C877" s="5" t="s">
        <v>22</v>
      </c>
      <c r="D877" t="s">
        <v>152</v>
      </c>
      <c r="E877" t="s">
        <v>153</v>
      </c>
      <c r="F877" t="s">
        <v>4</v>
      </c>
      <c r="G877" t="s">
        <v>5</v>
      </c>
      <c r="H877" s="3">
        <v>854.2</v>
      </c>
      <c r="I877" t="s">
        <v>1289</v>
      </c>
      <c r="J877" t="s">
        <v>153</v>
      </c>
      <c r="K877" t="s">
        <v>8</v>
      </c>
      <c r="L877" t="s">
        <v>8</v>
      </c>
      <c r="M877" t="s">
        <v>8</v>
      </c>
      <c r="N877" t="s">
        <v>1290</v>
      </c>
      <c r="O877" t="s">
        <v>1054</v>
      </c>
      <c r="P877" t="s">
        <v>800</v>
      </c>
    </row>
    <row r="878" spans="1:16" x14ac:dyDescent="0.25">
      <c r="A878" t="s">
        <v>0</v>
      </c>
      <c r="B878" s="2">
        <v>44741</v>
      </c>
      <c r="C878" s="5" t="s">
        <v>22</v>
      </c>
      <c r="D878" t="s">
        <v>266</v>
      </c>
      <c r="E878" t="s">
        <v>267</v>
      </c>
      <c r="F878" t="s">
        <v>4</v>
      </c>
      <c r="G878" t="s">
        <v>5</v>
      </c>
      <c r="H878" s="3">
        <v>566</v>
      </c>
      <c r="I878" t="s">
        <v>268</v>
      </c>
      <c r="J878" t="s">
        <v>8</v>
      </c>
      <c r="K878" t="s">
        <v>378</v>
      </c>
      <c r="L878" t="s">
        <v>8</v>
      </c>
      <c r="M878" t="s">
        <v>270</v>
      </c>
      <c r="N878" t="s">
        <v>1432</v>
      </c>
      <c r="O878" t="s">
        <v>95</v>
      </c>
      <c r="P878" t="s">
        <v>12</v>
      </c>
    </row>
    <row r="879" spans="1:16" x14ac:dyDescent="0.25">
      <c r="A879" t="s">
        <v>0</v>
      </c>
      <c r="B879" s="2">
        <v>44741</v>
      </c>
      <c r="C879" s="5" t="s">
        <v>22</v>
      </c>
      <c r="D879" t="s">
        <v>301</v>
      </c>
      <c r="E879" t="s">
        <v>302</v>
      </c>
      <c r="F879" t="s">
        <v>4</v>
      </c>
      <c r="G879" t="s">
        <v>5</v>
      </c>
      <c r="H879" s="3">
        <v>547.85</v>
      </c>
      <c r="I879" t="s">
        <v>268</v>
      </c>
      <c r="J879" t="s">
        <v>8</v>
      </c>
      <c r="K879" t="s">
        <v>1191</v>
      </c>
      <c r="L879" t="s">
        <v>8</v>
      </c>
      <c r="M879" t="s">
        <v>270</v>
      </c>
      <c r="N879" t="s">
        <v>1192</v>
      </c>
      <c r="O879" t="s">
        <v>272</v>
      </c>
      <c r="P879" t="s">
        <v>346</v>
      </c>
    </row>
    <row r="880" spans="1:16" x14ac:dyDescent="0.25">
      <c r="A880" t="s">
        <v>0</v>
      </c>
      <c r="B880" s="2">
        <v>44741</v>
      </c>
      <c r="C880" s="5" t="s">
        <v>22</v>
      </c>
      <c r="D880" t="s">
        <v>152</v>
      </c>
      <c r="E880" t="s">
        <v>153</v>
      </c>
      <c r="F880" t="s">
        <v>4</v>
      </c>
      <c r="G880" t="s">
        <v>5</v>
      </c>
      <c r="H880" s="3">
        <v>544.32000000000005</v>
      </c>
      <c r="I880" t="s">
        <v>1451</v>
      </c>
      <c r="J880" t="s">
        <v>153</v>
      </c>
      <c r="K880" t="s">
        <v>8</v>
      </c>
      <c r="L880" t="s">
        <v>8</v>
      </c>
      <c r="M880" t="s">
        <v>8</v>
      </c>
      <c r="N880" t="s">
        <v>1290</v>
      </c>
      <c r="O880" t="s">
        <v>1054</v>
      </c>
      <c r="P880" t="s">
        <v>193</v>
      </c>
    </row>
    <row r="881" spans="1:16" x14ac:dyDescent="0.25">
      <c r="A881" t="s">
        <v>0</v>
      </c>
      <c r="B881" s="2">
        <v>44741</v>
      </c>
      <c r="C881" s="5" t="s">
        <v>22</v>
      </c>
      <c r="D881" t="s">
        <v>266</v>
      </c>
      <c r="E881" t="s">
        <v>267</v>
      </c>
      <c r="F881" t="s">
        <v>4</v>
      </c>
      <c r="G881" t="s">
        <v>5</v>
      </c>
      <c r="H881" s="3">
        <v>503.95</v>
      </c>
      <c r="I881" t="s">
        <v>268</v>
      </c>
      <c r="J881" t="s">
        <v>8</v>
      </c>
      <c r="K881" t="s">
        <v>627</v>
      </c>
      <c r="L881" t="s">
        <v>8</v>
      </c>
      <c r="M881" t="s">
        <v>270</v>
      </c>
      <c r="N881" t="s">
        <v>1475</v>
      </c>
      <c r="O881" t="s">
        <v>95</v>
      </c>
      <c r="P881" t="s">
        <v>22</v>
      </c>
    </row>
    <row r="882" spans="1:16" x14ac:dyDescent="0.25">
      <c r="A882" t="s">
        <v>0</v>
      </c>
      <c r="B882" s="2">
        <v>44741</v>
      </c>
      <c r="C882" s="5" t="s">
        <v>22</v>
      </c>
      <c r="D882" t="s">
        <v>1477</v>
      </c>
      <c r="E882" t="s">
        <v>1478</v>
      </c>
      <c r="F882" t="s">
        <v>4</v>
      </c>
      <c r="G882" t="s">
        <v>5</v>
      </c>
      <c r="H882" s="3">
        <v>500</v>
      </c>
      <c r="I882" t="s">
        <v>1479</v>
      </c>
      <c r="J882" t="s">
        <v>66</v>
      </c>
      <c r="K882" t="s">
        <v>8</v>
      </c>
      <c r="L882" t="s">
        <v>8</v>
      </c>
      <c r="M882" t="s">
        <v>8</v>
      </c>
      <c r="N882" t="s">
        <v>1481</v>
      </c>
      <c r="O882" t="s">
        <v>57</v>
      </c>
      <c r="P882" t="s">
        <v>1</v>
      </c>
    </row>
    <row r="883" spans="1:16" x14ac:dyDescent="0.25">
      <c r="A883" t="s">
        <v>0</v>
      </c>
      <c r="B883" s="2">
        <v>44741</v>
      </c>
      <c r="C883" s="5" t="s">
        <v>22</v>
      </c>
      <c r="D883" t="s">
        <v>951</v>
      </c>
      <c r="E883" t="s">
        <v>952</v>
      </c>
      <c r="F883" t="s">
        <v>4</v>
      </c>
      <c r="G883" t="s">
        <v>5</v>
      </c>
      <c r="H883" s="3">
        <v>457.49</v>
      </c>
      <c r="I883" t="s">
        <v>1359</v>
      </c>
      <c r="J883" t="s">
        <v>55</v>
      </c>
      <c r="K883" t="s">
        <v>8</v>
      </c>
      <c r="L883" t="s">
        <v>8</v>
      </c>
      <c r="M883" t="s">
        <v>8</v>
      </c>
      <c r="N883" t="s">
        <v>622</v>
      </c>
      <c r="O883" t="s">
        <v>57</v>
      </c>
      <c r="P883" t="s">
        <v>1281</v>
      </c>
    </row>
    <row r="884" spans="1:16" x14ac:dyDescent="0.25">
      <c r="A884" t="s">
        <v>0</v>
      </c>
      <c r="B884" s="2">
        <v>44741</v>
      </c>
      <c r="C884" s="5" t="s">
        <v>22</v>
      </c>
      <c r="D884" t="s">
        <v>1506</v>
      </c>
      <c r="E884" t="s">
        <v>1507</v>
      </c>
      <c r="F884" t="s">
        <v>4</v>
      </c>
      <c r="G884" t="s">
        <v>5</v>
      </c>
      <c r="H884" s="3">
        <v>374.42</v>
      </c>
      <c r="I884" t="s">
        <v>1508</v>
      </c>
      <c r="J884" t="s">
        <v>55</v>
      </c>
      <c r="K884" t="s">
        <v>8</v>
      </c>
      <c r="L884" t="s">
        <v>8</v>
      </c>
      <c r="M884" t="s">
        <v>8</v>
      </c>
      <c r="N884" t="s">
        <v>622</v>
      </c>
      <c r="O884" t="s">
        <v>57</v>
      </c>
      <c r="P884" t="s">
        <v>1626</v>
      </c>
    </row>
    <row r="885" spans="1:16" x14ac:dyDescent="0.25">
      <c r="A885" t="s">
        <v>0</v>
      </c>
      <c r="B885" s="2">
        <v>44741</v>
      </c>
      <c r="C885" s="5" t="s">
        <v>22</v>
      </c>
      <c r="D885" t="s">
        <v>1506</v>
      </c>
      <c r="E885" t="s">
        <v>1507</v>
      </c>
      <c r="F885" t="s">
        <v>4</v>
      </c>
      <c r="G885" t="s">
        <v>5</v>
      </c>
      <c r="H885" s="3">
        <v>353.81</v>
      </c>
      <c r="I885" t="s">
        <v>1601</v>
      </c>
      <c r="J885" t="s">
        <v>55</v>
      </c>
      <c r="K885" t="s">
        <v>8</v>
      </c>
      <c r="L885" t="s">
        <v>8</v>
      </c>
      <c r="M885" t="s">
        <v>8</v>
      </c>
      <c r="N885" t="s">
        <v>622</v>
      </c>
      <c r="O885" t="s">
        <v>57</v>
      </c>
      <c r="P885" t="s">
        <v>1636</v>
      </c>
    </row>
    <row r="886" spans="1:16" x14ac:dyDescent="0.25">
      <c r="A886" t="s">
        <v>0</v>
      </c>
      <c r="B886" s="2">
        <v>44741</v>
      </c>
      <c r="C886" s="5" t="s">
        <v>22</v>
      </c>
      <c r="D886" t="s">
        <v>380</v>
      </c>
      <c r="E886" t="s">
        <v>381</v>
      </c>
      <c r="F886" t="s">
        <v>4</v>
      </c>
      <c r="G886" t="s">
        <v>5</v>
      </c>
      <c r="H886" s="3">
        <v>336.16</v>
      </c>
      <c r="I886" t="s">
        <v>1587</v>
      </c>
      <c r="J886" t="s">
        <v>55</v>
      </c>
      <c r="K886" t="s">
        <v>8</v>
      </c>
      <c r="L886" t="s">
        <v>8</v>
      </c>
      <c r="M886" t="s">
        <v>8</v>
      </c>
      <c r="N886" t="s">
        <v>622</v>
      </c>
      <c r="O886" t="s">
        <v>57</v>
      </c>
      <c r="P886" t="s">
        <v>1648</v>
      </c>
    </row>
    <row r="887" spans="1:16" x14ac:dyDescent="0.25">
      <c r="A887" t="s">
        <v>0</v>
      </c>
      <c r="B887" s="2">
        <v>44741</v>
      </c>
      <c r="C887" s="5" t="s">
        <v>22</v>
      </c>
      <c r="D887" t="s">
        <v>266</v>
      </c>
      <c r="E887" t="s">
        <v>267</v>
      </c>
      <c r="F887" t="s">
        <v>4</v>
      </c>
      <c r="G887" t="s">
        <v>5</v>
      </c>
      <c r="H887" s="3">
        <v>283.5</v>
      </c>
      <c r="I887" t="s">
        <v>268</v>
      </c>
      <c r="J887" t="s">
        <v>8</v>
      </c>
      <c r="K887" t="s">
        <v>451</v>
      </c>
      <c r="L887" t="s">
        <v>8</v>
      </c>
      <c r="M887" t="s">
        <v>270</v>
      </c>
      <c r="N887" t="s">
        <v>1721</v>
      </c>
      <c r="O887" t="s">
        <v>95</v>
      </c>
      <c r="P887" t="s">
        <v>12</v>
      </c>
    </row>
    <row r="888" spans="1:16" x14ac:dyDescent="0.25">
      <c r="A888" t="s">
        <v>0</v>
      </c>
      <c r="B888" s="2">
        <v>44741</v>
      </c>
      <c r="C888" s="5" t="s">
        <v>22</v>
      </c>
      <c r="D888" t="s">
        <v>1050</v>
      </c>
      <c r="E888" t="s">
        <v>1051</v>
      </c>
      <c r="F888" t="s">
        <v>4</v>
      </c>
      <c r="G888" t="s">
        <v>5</v>
      </c>
      <c r="H888" s="3">
        <v>151.08000000000001</v>
      </c>
      <c r="I888" t="s">
        <v>1850</v>
      </c>
      <c r="J888" t="s">
        <v>1051</v>
      </c>
      <c r="K888" t="s">
        <v>8</v>
      </c>
      <c r="L888" t="s">
        <v>8</v>
      </c>
      <c r="M888" t="s">
        <v>8</v>
      </c>
      <c r="N888" t="s">
        <v>1851</v>
      </c>
      <c r="O888" t="s">
        <v>1054</v>
      </c>
      <c r="P888" t="s">
        <v>800</v>
      </c>
    </row>
    <row r="889" spans="1:16" x14ac:dyDescent="0.25">
      <c r="A889" t="s">
        <v>0</v>
      </c>
      <c r="B889" s="2">
        <v>44741</v>
      </c>
      <c r="C889" s="5" t="s">
        <v>22</v>
      </c>
      <c r="D889" t="s">
        <v>514</v>
      </c>
      <c r="E889" t="s">
        <v>515</v>
      </c>
      <c r="F889" t="s">
        <v>4</v>
      </c>
      <c r="G889" t="s">
        <v>5</v>
      </c>
      <c r="H889" s="3">
        <v>136.47</v>
      </c>
      <c r="I889" t="s">
        <v>1220</v>
      </c>
      <c r="J889" t="s">
        <v>55</v>
      </c>
      <c r="K889" t="s">
        <v>8</v>
      </c>
      <c r="L889" t="s">
        <v>8</v>
      </c>
      <c r="M889" t="s">
        <v>8</v>
      </c>
      <c r="N889" t="s">
        <v>622</v>
      </c>
      <c r="O889" t="s">
        <v>57</v>
      </c>
      <c r="P889" t="s">
        <v>880</v>
      </c>
    </row>
    <row r="890" spans="1:16" x14ac:dyDescent="0.25">
      <c r="A890" t="s">
        <v>0</v>
      </c>
      <c r="B890" s="2">
        <v>44741</v>
      </c>
      <c r="C890" s="5" t="s">
        <v>22</v>
      </c>
      <c r="D890" t="s">
        <v>301</v>
      </c>
      <c r="E890" t="s">
        <v>302</v>
      </c>
      <c r="F890" t="s">
        <v>4</v>
      </c>
      <c r="G890" t="s">
        <v>5</v>
      </c>
      <c r="H890" s="3">
        <v>122.3</v>
      </c>
      <c r="I890" t="s">
        <v>268</v>
      </c>
      <c r="J890" t="s">
        <v>8</v>
      </c>
      <c r="K890" t="s">
        <v>627</v>
      </c>
      <c r="L890" t="s">
        <v>8</v>
      </c>
      <c r="M890" t="s">
        <v>270</v>
      </c>
      <c r="N890" t="s">
        <v>1044</v>
      </c>
      <c r="O890" t="s">
        <v>272</v>
      </c>
      <c r="P890" t="s">
        <v>246</v>
      </c>
    </row>
    <row r="891" spans="1:16" x14ac:dyDescent="0.25">
      <c r="A891" t="s">
        <v>0</v>
      </c>
      <c r="B891" s="2">
        <v>44741</v>
      </c>
      <c r="C891" s="5" t="s">
        <v>22</v>
      </c>
      <c r="D891" t="s">
        <v>822</v>
      </c>
      <c r="E891" t="s">
        <v>823</v>
      </c>
      <c r="F891" t="s">
        <v>4</v>
      </c>
      <c r="G891" t="s">
        <v>5</v>
      </c>
      <c r="H891" s="3">
        <v>113.5</v>
      </c>
      <c r="I891" t="s">
        <v>824</v>
      </c>
      <c r="J891" t="s">
        <v>66</v>
      </c>
      <c r="K891" t="s">
        <v>8</v>
      </c>
      <c r="L891" t="s">
        <v>8</v>
      </c>
      <c r="M891" t="s">
        <v>8</v>
      </c>
      <c r="N891" t="s">
        <v>1481</v>
      </c>
      <c r="O891" t="s">
        <v>57</v>
      </c>
      <c r="P891" t="s">
        <v>43</v>
      </c>
    </row>
    <row r="892" spans="1:16" x14ac:dyDescent="0.25">
      <c r="A892" t="s">
        <v>0</v>
      </c>
      <c r="B892" s="2">
        <v>44741</v>
      </c>
      <c r="C892" s="5" t="s">
        <v>22</v>
      </c>
      <c r="D892" t="s">
        <v>624</v>
      </c>
      <c r="E892" t="s">
        <v>625</v>
      </c>
      <c r="F892" t="s">
        <v>4</v>
      </c>
      <c r="G892" t="s">
        <v>5</v>
      </c>
      <c r="H892" s="3">
        <v>74.099999999999994</v>
      </c>
      <c r="I892" t="s">
        <v>1841</v>
      </c>
      <c r="J892" t="s">
        <v>55</v>
      </c>
      <c r="K892" t="s">
        <v>8</v>
      </c>
      <c r="L892" t="s">
        <v>8</v>
      </c>
      <c r="M892" t="s">
        <v>8</v>
      </c>
      <c r="N892" t="s">
        <v>622</v>
      </c>
      <c r="O892" t="s">
        <v>57</v>
      </c>
      <c r="P892" t="s">
        <v>1977</v>
      </c>
    </row>
    <row r="893" spans="1:16" x14ac:dyDescent="0.25">
      <c r="A893" t="s">
        <v>0</v>
      </c>
      <c r="B893" s="2">
        <v>44741</v>
      </c>
      <c r="C893" s="5" t="s">
        <v>22</v>
      </c>
      <c r="D893" t="s">
        <v>390</v>
      </c>
      <c r="E893" t="s">
        <v>391</v>
      </c>
      <c r="F893" t="s">
        <v>4</v>
      </c>
      <c r="G893" t="s">
        <v>5</v>
      </c>
      <c r="H893" s="3">
        <v>69.03</v>
      </c>
      <c r="I893" t="s">
        <v>1991</v>
      </c>
      <c r="J893" t="s">
        <v>809</v>
      </c>
      <c r="K893" t="s">
        <v>8</v>
      </c>
      <c r="L893" t="s">
        <v>815</v>
      </c>
      <c r="M893" t="s">
        <v>8</v>
      </c>
      <c r="N893" t="s">
        <v>816</v>
      </c>
      <c r="O893" t="s">
        <v>29</v>
      </c>
      <c r="P893" t="s">
        <v>1304</v>
      </c>
    </row>
    <row r="894" spans="1:16" x14ac:dyDescent="0.25">
      <c r="A894" t="s">
        <v>0</v>
      </c>
      <c r="B894" s="2">
        <v>44741</v>
      </c>
      <c r="C894" s="5" t="s">
        <v>22</v>
      </c>
      <c r="D894" t="s">
        <v>951</v>
      </c>
      <c r="E894" t="s">
        <v>952</v>
      </c>
      <c r="F894" t="s">
        <v>4</v>
      </c>
      <c r="G894" t="s">
        <v>5</v>
      </c>
      <c r="H894" s="3">
        <v>40</v>
      </c>
      <c r="I894" t="s">
        <v>1178</v>
      </c>
      <c r="J894" t="s">
        <v>66</v>
      </c>
      <c r="K894" t="s">
        <v>8</v>
      </c>
      <c r="L894" t="s">
        <v>8</v>
      </c>
      <c r="M894" t="s">
        <v>8</v>
      </c>
      <c r="N894" t="s">
        <v>1481</v>
      </c>
      <c r="O894" t="s">
        <v>57</v>
      </c>
      <c r="P894" t="s">
        <v>77</v>
      </c>
    </row>
    <row r="895" spans="1:16" x14ac:dyDescent="0.25">
      <c r="A895" t="s">
        <v>0</v>
      </c>
      <c r="B895" s="2">
        <v>44741</v>
      </c>
      <c r="C895" s="5" t="s">
        <v>22</v>
      </c>
      <c r="D895" t="s">
        <v>1050</v>
      </c>
      <c r="E895" t="s">
        <v>1051</v>
      </c>
      <c r="F895" t="s">
        <v>4</v>
      </c>
      <c r="G895" t="s">
        <v>5</v>
      </c>
      <c r="H895" s="3">
        <v>18.72</v>
      </c>
      <c r="I895" t="s">
        <v>2133</v>
      </c>
      <c r="J895" t="s">
        <v>1051</v>
      </c>
      <c r="K895" t="s">
        <v>8</v>
      </c>
      <c r="L895" t="s">
        <v>8</v>
      </c>
      <c r="M895" t="s">
        <v>8</v>
      </c>
      <c r="N895" t="s">
        <v>2134</v>
      </c>
      <c r="O895" t="s">
        <v>1054</v>
      </c>
      <c r="P895" t="s">
        <v>800</v>
      </c>
    </row>
    <row r="896" spans="1:16" x14ac:dyDescent="0.25">
      <c r="A896" t="s">
        <v>0</v>
      </c>
      <c r="B896" s="2">
        <v>44741</v>
      </c>
      <c r="C896" s="5" t="s">
        <v>22</v>
      </c>
      <c r="D896" t="s">
        <v>1506</v>
      </c>
      <c r="E896" t="s">
        <v>1507</v>
      </c>
      <c r="F896" t="s">
        <v>4</v>
      </c>
      <c r="G896" t="s">
        <v>5</v>
      </c>
      <c r="H896" s="3">
        <v>16.5</v>
      </c>
      <c r="I896" t="s">
        <v>1508</v>
      </c>
      <c r="J896" t="s">
        <v>66</v>
      </c>
      <c r="K896" t="s">
        <v>8</v>
      </c>
      <c r="L896" t="s">
        <v>8</v>
      </c>
      <c r="M896" t="s">
        <v>8</v>
      </c>
      <c r="N896" t="s">
        <v>1481</v>
      </c>
      <c r="O896" t="s">
        <v>57</v>
      </c>
      <c r="P896" t="s">
        <v>12</v>
      </c>
    </row>
    <row r="897" spans="1:16" x14ac:dyDescent="0.25">
      <c r="A897" t="s">
        <v>0</v>
      </c>
      <c r="B897" s="2">
        <v>44741</v>
      </c>
      <c r="C897" s="5" t="s">
        <v>22</v>
      </c>
      <c r="D897" t="s">
        <v>380</v>
      </c>
      <c r="E897" t="s">
        <v>381</v>
      </c>
      <c r="F897" t="s">
        <v>4</v>
      </c>
      <c r="G897" t="s">
        <v>5</v>
      </c>
      <c r="H897" s="3">
        <v>14.81</v>
      </c>
      <c r="I897" t="s">
        <v>1587</v>
      </c>
      <c r="J897" t="s">
        <v>66</v>
      </c>
      <c r="K897" t="s">
        <v>8</v>
      </c>
      <c r="L897" t="s">
        <v>8</v>
      </c>
      <c r="M897" t="s">
        <v>8</v>
      </c>
      <c r="N897" t="s">
        <v>1481</v>
      </c>
      <c r="O897" t="s">
        <v>57</v>
      </c>
      <c r="P897" t="s">
        <v>17</v>
      </c>
    </row>
    <row r="898" spans="1:16" x14ac:dyDescent="0.25">
      <c r="A898" t="s">
        <v>0</v>
      </c>
      <c r="B898" s="2">
        <v>44741</v>
      </c>
      <c r="C898" s="5" t="s">
        <v>22</v>
      </c>
      <c r="D898" t="s">
        <v>644</v>
      </c>
      <c r="E898" t="s">
        <v>645</v>
      </c>
      <c r="F898" t="s">
        <v>4</v>
      </c>
      <c r="G898" t="s">
        <v>5</v>
      </c>
      <c r="H898" s="3">
        <v>-26.61</v>
      </c>
      <c r="I898" t="s">
        <v>2167</v>
      </c>
      <c r="J898" t="s">
        <v>2165</v>
      </c>
      <c r="K898" t="s">
        <v>8</v>
      </c>
      <c r="L898" t="s">
        <v>8</v>
      </c>
      <c r="M898" t="s">
        <v>8</v>
      </c>
      <c r="N898" t="s">
        <v>622</v>
      </c>
      <c r="O898" t="s">
        <v>57</v>
      </c>
      <c r="P898" t="s">
        <v>2179</v>
      </c>
    </row>
    <row r="899" spans="1:16" x14ac:dyDescent="0.25">
      <c r="A899" t="s">
        <v>0</v>
      </c>
      <c r="B899" s="2">
        <v>44741</v>
      </c>
      <c r="C899" s="5" t="s">
        <v>22</v>
      </c>
      <c r="D899" t="s">
        <v>881</v>
      </c>
      <c r="E899" t="s">
        <v>882</v>
      </c>
      <c r="F899" t="s">
        <v>4</v>
      </c>
      <c r="G899" t="s">
        <v>5</v>
      </c>
      <c r="H899" s="3">
        <v>-63.77</v>
      </c>
      <c r="I899" t="s">
        <v>2183</v>
      </c>
      <c r="J899" t="s">
        <v>2165</v>
      </c>
      <c r="K899" t="s">
        <v>8</v>
      </c>
      <c r="L899" t="s">
        <v>8</v>
      </c>
      <c r="M899" t="s">
        <v>8</v>
      </c>
      <c r="N899" t="s">
        <v>622</v>
      </c>
      <c r="O899" t="s">
        <v>57</v>
      </c>
      <c r="P899" t="s">
        <v>2188</v>
      </c>
    </row>
    <row r="900" spans="1:16" x14ac:dyDescent="0.25">
      <c r="A900" t="s">
        <v>0</v>
      </c>
      <c r="B900" s="2">
        <v>44741</v>
      </c>
      <c r="C900" s="5" t="s">
        <v>22</v>
      </c>
      <c r="D900" t="s">
        <v>2191</v>
      </c>
      <c r="E900" t="s">
        <v>2192</v>
      </c>
      <c r="F900" t="s">
        <v>4</v>
      </c>
      <c r="G900" t="s">
        <v>5</v>
      </c>
      <c r="H900" s="3">
        <v>-85.48</v>
      </c>
      <c r="I900" t="s">
        <v>2193</v>
      </c>
      <c r="J900" t="s">
        <v>2165</v>
      </c>
      <c r="K900" t="s">
        <v>8</v>
      </c>
      <c r="L900" t="s">
        <v>8</v>
      </c>
      <c r="M900" t="s">
        <v>8</v>
      </c>
      <c r="N900" t="s">
        <v>622</v>
      </c>
      <c r="O900" t="s">
        <v>57</v>
      </c>
      <c r="P900" t="s">
        <v>1978</v>
      </c>
    </row>
    <row r="901" spans="1:16" x14ac:dyDescent="0.25">
      <c r="A901" t="s">
        <v>0</v>
      </c>
      <c r="B901" s="2">
        <v>44741</v>
      </c>
      <c r="C901" s="5" t="s">
        <v>22</v>
      </c>
      <c r="D901" t="s">
        <v>108</v>
      </c>
      <c r="E901" t="s">
        <v>109</v>
      </c>
      <c r="F901" t="s">
        <v>4</v>
      </c>
      <c r="G901" t="s">
        <v>5</v>
      </c>
      <c r="H901" s="3">
        <v>-120.7</v>
      </c>
      <c r="I901" t="s">
        <v>2175</v>
      </c>
      <c r="J901" t="s">
        <v>2165</v>
      </c>
      <c r="K901" t="s">
        <v>8</v>
      </c>
      <c r="L901" t="s">
        <v>8</v>
      </c>
      <c r="M901" t="s">
        <v>8</v>
      </c>
      <c r="N901" t="s">
        <v>622</v>
      </c>
      <c r="O901" t="s">
        <v>57</v>
      </c>
      <c r="P901" t="s">
        <v>2180</v>
      </c>
    </row>
    <row r="902" spans="1:16" x14ac:dyDescent="0.25">
      <c r="A902" t="s">
        <v>0</v>
      </c>
      <c r="B902" s="2">
        <v>44741</v>
      </c>
      <c r="C902" s="5" t="s">
        <v>22</v>
      </c>
      <c r="D902" t="s">
        <v>108</v>
      </c>
      <c r="E902" t="s">
        <v>109</v>
      </c>
      <c r="F902" t="s">
        <v>4</v>
      </c>
      <c r="G902" t="s">
        <v>5</v>
      </c>
      <c r="H902" s="3">
        <v>-133.97999999999999</v>
      </c>
      <c r="I902" t="s">
        <v>2200</v>
      </c>
      <c r="J902" t="s">
        <v>2165</v>
      </c>
      <c r="K902" t="s">
        <v>8</v>
      </c>
      <c r="L902" t="s">
        <v>8</v>
      </c>
      <c r="M902" t="s">
        <v>8</v>
      </c>
      <c r="N902" t="s">
        <v>622</v>
      </c>
      <c r="O902" t="s">
        <v>57</v>
      </c>
      <c r="P902" t="s">
        <v>2201</v>
      </c>
    </row>
    <row r="903" spans="1:16" x14ac:dyDescent="0.25">
      <c r="A903" t="s">
        <v>0</v>
      </c>
      <c r="B903" s="2">
        <v>44741</v>
      </c>
      <c r="C903" s="5" t="s">
        <v>22</v>
      </c>
      <c r="D903" t="s">
        <v>1207</v>
      </c>
      <c r="E903" t="s">
        <v>1208</v>
      </c>
      <c r="F903" t="s">
        <v>4</v>
      </c>
      <c r="G903" t="s">
        <v>5</v>
      </c>
      <c r="H903" s="3">
        <v>-219.27</v>
      </c>
      <c r="I903" t="s">
        <v>2162</v>
      </c>
      <c r="J903" t="s">
        <v>2165</v>
      </c>
      <c r="K903" t="s">
        <v>8</v>
      </c>
      <c r="L903" t="s">
        <v>8</v>
      </c>
      <c r="M903" t="s">
        <v>8</v>
      </c>
      <c r="N903" t="s">
        <v>622</v>
      </c>
      <c r="O903" t="s">
        <v>57</v>
      </c>
      <c r="P903" t="s">
        <v>2212</v>
      </c>
    </row>
    <row r="904" spans="1:16" x14ac:dyDescent="0.25">
      <c r="A904" t="s">
        <v>0</v>
      </c>
      <c r="B904" s="2">
        <v>44741</v>
      </c>
      <c r="C904" s="5" t="s">
        <v>22</v>
      </c>
      <c r="D904" t="s">
        <v>108</v>
      </c>
      <c r="E904" t="s">
        <v>109</v>
      </c>
      <c r="F904" t="s">
        <v>4</v>
      </c>
      <c r="G904" t="s">
        <v>5</v>
      </c>
      <c r="H904" s="3">
        <v>-473.46</v>
      </c>
      <c r="I904" t="s">
        <v>2221</v>
      </c>
      <c r="J904" t="s">
        <v>2165</v>
      </c>
      <c r="K904" t="s">
        <v>8</v>
      </c>
      <c r="L904" t="s">
        <v>8</v>
      </c>
      <c r="M904" t="s">
        <v>8</v>
      </c>
      <c r="N904" t="s">
        <v>56</v>
      </c>
      <c r="O904" t="s">
        <v>57</v>
      </c>
      <c r="P904" t="s">
        <v>2197</v>
      </c>
    </row>
    <row r="905" spans="1:16" x14ac:dyDescent="0.25">
      <c r="A905" t="s">
        <v>0</v>
      </c>
      <c r="B905" s="2">
        <v>44741</v>
      </c>
      <c r="C905" s="5" t="s">
        <v>22</v>
      </c>
      <c r="D905" t="s">
        <v>644</v>
      </c>
      <c r="E905" t="s">
        <v>645</v>
      </c>
      <c r="F905" t="s">
        <v>4</v>
      </c>
      <c r="G905" t="s">
        <v>5</v>
      </c>
      <c r="H905" s="3">
        <v>-512.09</v>
      </c>
      <c r="I905" t="s">
        <v>2228</v>
      </c>
      <c r="J905" t="s">
        <v>2165</v>
      </c>
      <c r="K905" t="s">
        <v>8</v>
      </c>
      <c r="L905" t="s">
        <v>8</v>
      </c>
      <c r="M905" t="s">
        <v>8</v>
      </c>
      <c r="N905" t="s">
        <v>56</v>
      </c>
      <c r="O905" t="s">
        <v>57</v>
      </c>
      <c r="P905" t="s">
        <v>167</v>
      </c>
    </row>
    <row r="906" spans="1:16" x14ac:dyDescent="0.25">
      <c r="A906" t="s">
        <v>0</v>
      </c>
      <c r="B906" s="2">
        <v>44741</v>
      </c>
      <c r="C906" s="5" t="s">
        <v>22</v>
      </c>
      <c r="D906" t="s">
        <v>108</v>
      </c>
      <c r="E906" t="s">
        <v>109</v>
      </c>
      <c r="F906" t="s">
        <v>4</v>
      </c>
      <c r="G906" t="s">
        <v>5</v>
      </c>
      <c r="H906" s="3">
        <v>-599.41</v>
      </c>
      <c r="I906" t="s">
        <v>2218</v>
      </c>
      <c r="J906" t="s">
        <v>2165</v>
      </c>
      <c r="K906" t="s">
        <v>8</v>
      </c>
      <c r="L906" t="s">
        <v>8</v>
      </c>
      <c r="M906" t="s">
        <v>8</v>
      </c>
      <c r="N906" t="s">
        <v>56</v>
      </c>
      <c r="O906" t="s">
        <v>57</v>
      </c>
      <c r="P906" t="s">
        <v>2225</v>
      </c>
    </row>
    <row r="907" spans="1:16" x14ac:dyDescent="0.25">
      <c r="A907" t="s">
        <v>0</v>
      </c>
      <c r="B907" s="2">
        <v>44741</v>
      </c>
      <c r="C907" s="5" t="s">
        <v>22</v>
      </c>
      <c r="D907" t="s">
        <v>108</v>
      </c>
      <c r="E907" t="s">
        <v>109</v>
      </c>
      <c r="F907" t="s">
        <v>4</v>
      </c>
      <c r="G907" t="s">
        <v>5</v>
      </c>
      <c r="H907" s="3">
        <v>-714.56</v>
      </c>
      <c r="I907" t="s">
        <v>2233</v>
      </c>
      <c r="J907" t="s">
        <v>2165</v>
      </c>
      <c r="K907" t="s">
        <v>8</v>
      </c>
      <c r="L907" t="s">
        <v>8</v>
      </c>
      <c r="M907" t="s">
        <v>8</v>
      </c>
      <c r="N907" t="s">
        <v>56</v>
      </c>
      <c r="O907" t="s">
        <v>57</v>
      </c>
      <c r="P907" t="s">
        <v>655</v>
      </c>
    </row>
    <row r="908" spans="1:16" x14ac:dyDescent="0.25">
      <c r="A908" t="s">
        <v>0</v>
      </c>
      <c r="B908" s="2">
        <v>44741</v>
      </c>
      <c r="C908" s="5" t="s">
        <v>22</v>
      </c>
      <c r="D908" t="s">
        <v>2191</v>
      </c>
      <c r="E908" t="s">
        <v>2192</v>
      </c>
      <c r="F908" t="s">
        <v>4</v>
      </c>
      <c r="G908" t="s">
        <v>5</v>
      </c>
      <c r="H908" s="3">
        <v>-845.22</v>
      </c>
      <c r="I908" t="s">
        <v>2217</v>
      </c>
      <c r="J908" t="s">
        <v>2165</v>
      </c>
      <c r="K908" t="s">
        <v>8</v>
      </c>
      <c r="L908" t="s">
        <v>8</v>
      </c>
      <c r="M908" t="s">
        <v>8</v>
      </c>
      <c r="N908" t="s">
        <v>56</v>
      </c>
      <c r="O908" t="s">
        <v>57</v>
      </c>
      <c r="P908" t="s">
        <v>1771</v>
      </c>
    </row>
    <row r="909" spans="1:16" x14ac:dyDescent="0.25">
      <c r="A909" t="s">
        <v>0</v>
      </c>
      <c r="B909" s="2">
        <v>44741</v>
      </c>
      <c r="C909" s="5" t="s">
        <v>22</v>
      </c>
      <c r="D909" t="s">
        <v>1207</v>
      </c>
      <c r="E909" t="s">
        <v>1208</v>
      </c>
      <c r="F909" t="s">
        <v>4</v>
      </c>
      <c r="G909" t="s">
        <v>5</v>
      </c>
      <c r="H909" s="3">
        <v>-1185.1400000000001</v>
      </c>
      <c r="I909" t="s">
        <v>2244</v>
      </c>
      <c r="J909" t="s">
        <v>2165</v>
      </c>
      <c r="K909" t="s">
        <v>8</v>
      </c>
      <c r="L909" t="s">
        <v>8</v>
      </c>
      <c r="M909" t="s">
        <v>8</v>
      </c>
      <c r="N909" t="s">
        <v>56</v>
      </c>
      <c r="O909" t="s">
        <v>57</v>
      </c>
      <c r="P909" t="s">
        <v>2166</v>
      </c>
    </row>
    <row r="910" spans="1:16" x14ac:dyDescent="0.25">
      <c r="A910" t="s">
        <v>0</v>
      </c>
      <c r="B910" s="2">
        <v>44742</v>
      </c>
      <c r="C910" t="s">
        <v>22</v>
      </c>
      <c r="D910" t="s">
        <v>90</v>
      </c>
      <c r="E910" t="s">
        <v>91</v>
      </c>
      <c r="F910" t="s">
        <v>4</v>
      </c>
      <c r="G910" t="s">
        <v>5</v>
      </c>
      <c r="H910" s="3">
        <v>97364.79</v>
      </c>
      <c r="I910" t="s">
        <v>100</v>
      </c>
      <c r="J910" t="s">
        <v>93</v>
      </c>
      <c r="K910" t="s">
        <v>8</v>
      </c>
      <c r="L910" t="s">
        <v>8</v>
      </c>
      <c r="M910" t="s">
        <v>8</v>
      </c>
      <c r="N910" t="s">
        <v>101</v>
      </c>
      <c r="O910" t="s">
        <v>95</v>
      </c>
      <c r="P910" t="s">
        <v>82</v>
      </c>
    </row>
    <row r="911" spans="1:16" x14ac:dyDescent="0.25">
      <c r="A911" t="s">
        <v>0</v>
      </c>
      <c r="B911" s="2">
        <v>44742</v>
      </c>
      <c r="C911" t="s">
        <v>22</v>
      </c>
      <c r="D911" t="s">
        <v>185</v>
      </c>
      <c r="E911" t="s">
        <v>186</v>
      </c>
      <c r="F911" t="s">
        <v>4</v>
      </c>
      <c r="G911" t="s">
        <v>5</v>
      </c>
      <c r="H911" s="3">
        <v>28230.49</v>
      </c>
      <c r="I911" t="s">
        <v>201</v>
      </c>
      <c r="J911" t="s">
        <v>188</v>
      </c>
      <c r="K911" t="s">
        <v>8</v>
      </c>
      <c r="L911" t="s">
        <v>8</v>
      </c>
      <c r="M911" t="s">
        <v>8</v>
      </c>
      <c r="N911" t="s">
        <v>202</v>
      </c>
      <c r="O911" t="s">
        <v>95</v>
      </c>
      <c r="P911" t="s">
        <v>190</v>
      </c>
    </row>
    <row r="912" spans="1:16" x14ac:dyDescent="0.25">
      <c r="A912" t="s">
        <v>0</v>
      </c>
      <c r="B912" s="2">
        <v>44742</v>
      </c>
      <c r="C912" t="s">
        <v>22</v>
      </c>
      <c r="D912" t="s">
        <v>229</v>
      </c>
      <c r="E912" t="s">
        <v>230</v>
      </c>
      <c r="F912" t="s">
        <v>4</v>
      </c>
      <c r="G912" t="s">
        <v>5</v>
      </c>
      <c r="H912" s="3">
        <v>23037.439999999999</v>
      </c>
      <c r="I912" t="s">
        <v>251</v>
      </c>
      <c r="J912" t="s">
        <v>232</v>
      </c>
      <c r="K912" t="s">
        <v>8</v>
      </c>
      <c r="L912" t="s">
        <v>8</v>
      </c>
      <c r="M912" t="s">
        <v>8</v>
      </c>
      <c r="N912" t="s">
        <v>256</v>
      </c>
      <c r="O912" t="s">
        <v>234</v>
      </c>
      <c r="P912" t="s">
        <v>257</v>
      </c>
    </row>
    <row r="913" spans="1:16" x14ac:dyDescent="0.25">
      <c r="A913" t="s">
        <v>0</v>
      </c>
      <c r="B913" s="2">
        <v>44742</v>
      </c>
      <c r="C913" t="s">
        <v>22</v>
      </c>
      <c r="D913" t="s">
        <v>241</v>
      </c>
      <c r="E913" t="s">
        <v>242</v>
      </c>
      <c r="F913" t="s">
        <v>4</v>
      </c>
      <c r="G913" t="s">
        <v>5</v>
      </c>
      <c r="H913" s="3">
        <v>21907.25</v>
      </c>
      <c r="I913" t="s">
        <v>285</v>
      </c>
      <c r="J913" t="s">
        <v>244</v>
      </c>
      <c r="K913" t="s">
        <v>8</v>
      </c>
      <c r="L913" t="s">
        <v>8</v>
      </c>
      <c r="M913" t="s">
        <v>8</v>
      </c>
      <c r="N913" t="s">
        <v>286</v>
      </c>
      <c r="O913" t="s">
        <v>95</v>
      </c>
      <c r="P913" t="s">
        <v>246</v>
      </c>
    </row>
    <row r="914" spans="1:16" x14ac:dyDescent="0.25">
      <c r="A914" t="s">
        <v>0</v>
      </c>
      <c r="B914" s="2">
        <v>44742</v>
      </c>
      <c r="C914" t="s">
        <v>22</v>
      </c>
      <c r="D914" t="s">
        <v>333</v>
      </c>
      <c r="E914" t="s">
        <v>334</v>
      </c>
      <c r="F914" t="s">
        <v>4</v>
      </c>
      <c r="G914" t="s">
        <v>5</v>
      </c>
      <c r="H914" s="3">
        <v>14459.13</v>
      </c>
      <c r="I914" t="s">
        <v>352</v>
      </c>
      <c r="J914" t="s">
        <v>248</v>
      </c>
      <c r="K914" t="s">
        <v>8</v>
      </c>
      <c r="L914" t="s">
        <v>8</v>
      </c>
      <c r="M914" t="s">
        <v>8</v>
      </c>
      <c r="N914" t="s">
        <v>353</v>
      </c>
      <c r="O914" t="s">
        <v>95</v>
      </c>
      <c r="P914" t="s">
        <v>346</v>
      </c>
    </row>
    <row r="915" spans="1:16" x14ac:dyDescent="0.25">
      <c r="A915" t="s">
        <v>0</v>
      </c>
      <c r="B915" s="2">
        <v>44742</v>
      </c>
      <c r="C915" s="5" t="s">
        <v>22</v>
      </c>
      <c r="D915" t="s">
        <v>794</v>
      </c>
      <c r="E915" t="s">
        <v>795</v>
      </c>
      <c r="F915" t="s">
        <v>4</v>
      </c>
      <c r="G915" t="s">
        <v>5</v>
      </c>
      <c r="H915" s="3">
        <v>3396.14</v>
      </c>
      <c r="I915" t="s">
        <v>251</v>
      </c>
      <c r="J915" t="s">
        <v>232</v>
      </c>
      <c r="K915" t="s">
        <v>8</v>
      </c>
      <c r="L915" t="s">
        <v>8</v>
      </c>
      <c r="M915" t="s">
        <v>8</v>
      </c>
      <c r="N915" t="s">
        <v>256</v>
      </c>
      <c r="O915" t="s">
        <v>234</v>
      </c>
      <c r="P915" t="s">
        <v>72</v>
      </c>
    </row>
    <row r="916" spans="1:16" x14ac:dyDescent="0.25">
      <c r="A916" t="s">
        <v>0</v>
      </c>
      <c r="B916" s="2">
        <v>44742</v>
      </c>
      <c r="C916" s="5" t="s">
        <v>22</v>
      </c>
      <c r="D916" t="s">
        <v>1003</v>
      </c>
      <c r="E916" t="s">
        <v>1004</v>
      </c>
      <c r="F916" t="s">
        <v>4</v>
      </c>
      <c r="G916" t="s">
        <v>5</v>
      </c>
      <c r="H916" s="3">
        <v>1793.55</v>
      </c>
      <c r="I916" t="s">
        <v>100</v>
      </c>
      <c r="J916" t="s">
        <v>93</v>
      </c>
      <c r="K916" t="s">
        <v>8</v>
      </c>
      <c r="L916" t="s">
        <v>8</v>
      </c>
      <c r="M916" t="s">
        <v>8</v>
      </c>
      <c r="N916" t="s">
        <v>101</v>
      </c>
      <c r="O916" t="s">
        <v>95</v>
      </c>
      <c r="P916" t="s">
        <v>843</v>
      </c>
    </row>
    <row r="917" spans="1:16" x14ac:dyDescent="0.25">
      <c r="A917" t="s">
        <v>0</v>
      </c>
      <c r="B917" s="2">
        <v>44742</v>
      </c>
      <c r="C917" s="5" t="s">
        <v>22</v>
      </c>
      <c r="D917" t="s">
        <v>1839</v>
      </c>
      <c r="E917" t="s">
        <v>1840</v>
      </c>
      <c r="F917" t="s">
        <v>4</v>
      </c>
      <c r="G917" t="s">
        <v>5</v>
      </c>
      <c r="H917" s="3">
        <v>152.9</v>
      </c>
      <c r="I917" t="s">
        <v>352</v>
      </c>
      <c r="J917" t="s">
        <v>248</v>
      </c>
      <c r="K917" t="s">
        <v>8</v>
      </c>
      <c r="L917" t="s">
        <v>8</v>
      </c>
      <c r="M917" t="s">
        <v>8</v>
      </c>
      <c r="N917" t="s">
        <v>353</v>
      </c>
      <c r="O917" t="s">
        <v>95</v>
      </c>
      <c r="P917" t="s">
        <v>82</v>
      </c>
    </row>
    <row r="918" spans="1:16" x14ac:dyDescent="0.25">
      <c r="A918" t="s">
        <v>0</v>
      </c>
      <c r="B918" s="2">
        <v>44742</v>
      </c>
      <c r="C918" s="5" t="s">
        <v>22</v>
      </c>
      <c r="D918" t="s">
        <v>403</v>
      </c>
      <c r="E918" t="s">
        <v>404</v>
      </c>
      <c r="F918" t="s">
        <v>4</v>
      </c>
      <c r="G918" t="s">
        <v>5</v>
      </c>
      <c r="H918" s="3">
        <v>-10242.73</v>
      </c>
      <c r="I918" t="s">
        <v>2270</v>
      </c>
      <c r="J918" t="s">
        <v>406</v>
      </c>
      <c r="K918" t="s">
        <v>8</v>
      </c>
      <c r="L918" t="s">
        <v>8</v>
      </c>
      <c r="M918" t="s">
        <v>8</v>
      </c>
      <c r="N918" t="s">
        <v>2271</v>
      </c>
      <c r="O918" t="s">
        <v>2257</v>
      </c>
      <c r="P918" t="s">
        <v>1431</v>
      </c>
    </row>
    <row r="919" spans="1:16" x14ac:dyDescent="0.25">
      <c r="A919" t="s">
        <v>0</v>
      </c>
      <c r="B919" s="2">
        <v>44743</v>
      </c>
      <c r="C919" t="s">
        <v>22</v>
      </c>
      <c r="D919" t="s">
        <v>108</v>
      </c>
      <c r="E919" t="s">
        <v>109</v>
      </c>
      <c r="F919" t="s">
        <v>4</v>
      </c>
      <c r="G919" t="s">
        <v>5</v>
      </c>
      <c r="H919" s="3">
        <v>72353.27</v>
      </c>
      <c r="I919" t="s">
        <v>126</v>
      </c>
      <c r="J919" t="s">
        <v>109</v>
      </c>
      <c r="K919" t="s">
        <v>8</v>
      </c>
      <c r="L919" t="s">
        <v>8</v>
      </c>
      <c r="M919" t="s">
        <v>8</v>
      </c>
      <c r="N919" t="s">
        <v>127</v>
      </c>
      <c r="O919" t="s">
        <v>112</v>
      </c>
      <c r="P919" t="s">
        <v>128</v>
      </c>
    </row>
    <row r="920" spans="1:16" x14ac:dyDescent="0.25">
      <c r="A920" t="s">
        <v>0</v>
      </c>
      <c r="B920" s="2">
        <v>44743</v>
      </c>
      <c r="C920" s="5" t="s">
        <v>22</v>
      </c>
      <c r="D920" t="s">
        <v>301</v>
      </c>
      <c r="E920" t="s">
        <v>302</v>
      </c>
      <c r="F920" t="s">
        <v>4</v>
      </c>
      <c r="G920" t="s">
        <v>5</v>
      </c>
      <c r="H920" s="3">
        <v>9657.56</v>
      </c>
      <c r="I920" t="s">
        <v>268</v>
      </c>
      <c r="J920" t="s">
        <v>8</v>
      </c>
      <c r="K920" t="s">
        <v>451</v>
      </c>
      <c r="L920" t="s">
        <v>8</v>
      </c>
      <c r="M920" t="s">
        <v>270</v>
      </c>
      <c r="N920" t="s">
        <v>452</v>
      </c>
      <c r="O920" t="s">
        <v>272</v>
      </c>
      <c r="P920" t="s">
        <v>12</v>
      </c>
    </row>
    <row r="921" spans="1:16" x14ac:dyDescent="0.25">
      <c r="A921" t="s">
        <v>0</v>
      </c>
      <c r="B921" s="2">
        <v>44743</v>
      </c>
      <c r="C921" s="5" t="s">
        <v>22</v>
      </c>
      <c r="D921" t="s">
        <v>216</v>
      </c>
      <c r="E921" t="s">
        <v>217</v>
      </c>
      <c r="F921" t="s">
        <v>4</v>
      </c>
      <c r="G921" t="s">
        <v>5</v>
      </c>
      <c r="H921" s="3">
        <v>7618.51</v>
      </c>
      <c r="I921" t="s">
        <v>218</v>
      </c>
      <c r="J921" t="s">
        <v>8</v>
      </c>
      <c r="K921" t="s">
        <v>219</v>
      </c>
      <c r="L921" t="s">
        <v>8</v>
      </c>
      <c r="M921" t="s">
        <v>220</v>
      </c>
      <c r="N921" t="s">
        <v>575</v>
      </c>
      <c r="O921" t="s">
        <v>95</v>
      </c>
      <c r="P921" t="s">
        <v>293</v>
      </c>
    </row>
    <row r="922" spans="1:16" x14ac:dyDescent="0.25">
      <c r="A922" t="s">
        <v>0</v>
      </c>
      <c r="B922" s="2">
        <v>44743</v>
      </c>
      <c r="C922" s="5" t="s">
        <v>22</v>
      </c>
      <c r="D922" t="s">
        <v>398</v>
      </c>
      <c r="E922" t="s">
        <v>399</v>
      </c>
      <c r="F922" t="s">
        <v>4</v>
      </c>
      <c r="G922" t="s">
        <v>5</v>
      </c>
      <c r="H922" s="3">
        <v>6719.01</v>
      </c>
      <c r="I922" t="s">
        <v>400</v>
      </c>
      <c r="J922" t="s">
        <v>8</v>
      </c>
      <c r="K922" t="s">
        <v>219</v>
      </c>
      <c r="L922" t="s">
        <v>8</v>
      </c>
      <c r="M922" t="s">
        <v>220</v>
      </c>
      <c r="N922" t="s">
        <v>575</v>
      </c>
      <c r="O922" t="s">
        <v>95</v>
      </c>
      <c r="P922" t="s">
        <v>599</v>
      </c>
    </row>
    <row r="923" spans="1:16" x14ac:dyDescent="0.25">
      <c r="A923" t="s">
        <v>0</v>
      </c>
      <c r="B923" s="2">
        <v>44743</v>
      </c>
      <c r="C923" s="5" t="s">
        <v>22</v>
      </c>
      <c r="D923" t="s">
        <v>152</v>
      </c>
      <c r="E923" t="s">
        <v>153</v>
      </c>
      <c r="F923" t="s">
        <v>4</v>
      </c>
      <c r="G923" t="s">
        <v>5</v>
      </c>
      <c r="H923" s="3">
        <v>3555.29</v>
      </c>
      <c r="I923" t="s">
        <v>773</v>
      </c>
      <c r="J923" t="s">
        <v>109</v>
      </c>
      <c r="K923" t="s">
        <v>8</v>
      </c>
      <c r="L923" t="s">
        <v>8</v>
      </c>
      <c r="M923" t="s">
        <v>8</v>
      </c>
      <c r="N923" t="s">
        <v>127</v>
      </c>
      <c r="O923" t="s">
        <v>112</v>
      </c>
      <c r="P923" t="s">
        <v>180</v>
      </c>
    </row>
    <row r="924" spans="1:16" x14ac:dyDescent="0.25">
      <c r="A924" t="s">
        <v>0</v>
      </c>
      <c r="B924" s="2">
        <v>44743</v>
      </c>
      <c r="C924" s="5" t="s">
        <v>22</v>
      </c>
      <c r="D924" t="s">
        <v>644</v>
      </c>
      <c r="E924" t="s">
        <v>645</v>
      </c>
      <c r="F924" t="s">
        <v>4</v>
      </c>
      <c r="G924" t="s">
        <v>5</v>
      </c>
      <c r="H924" s="3">
        <v>2397.61</v>
      </c>
      <c r="I924" t="s">
        <v>901</v>
      </c>
      <c r="J924" t="s">
        <v>109</v>
      </c>
      <c r="K924" t="s">
        <v>8</v>
      </c>
      <c r="L924" t="s">
        <v>8</v>
      </c>
      <c r="M924" t="s">
        <v>8</v>
      </c>
      <c r="N924" t="s">
        <v>127</v>
      </c>
      <c r="O924" t="s">
        <v>112</v>
      </c>
      <c r="P924" t="s">
        <v>601</v>
      </c>
    </row>
    <row r="925" spans="1:16" x14ac:dyDescent="0.25">
      <c r="A925" t="s">
        <v>0</v>
      </c>
      <c r="B925" s="2">
        <v>44743</v>
      </c>
      <c r="C925" s="5" t="s">
        <v>22</v>
      </c>
      <c r="D925" t="s">
        <v>881</v>
      </c>
      <c r="E925" t="s">
        <v>882</v>
      </c>
      <c r="F925" t="s">
        <v>4</v>
      </c>
      <c r="G925" t="s">
        <v>5</v>
      </c>
      <c r="H925" s="3">
        <v>2195.81</v>
      </c>
      <c r="I925" t="s">
        <v>941</v>
      </c>
      <c r="J925" t="s">
        <v>109</v>
      </c>
      <c r="K925" t="s">
        <v>8</v>
      </c>
      <c r="L925" t="s">
        <v>8</v>
      </c>
      <c r="M925" t="s">
        <v>8</v>
      </c>
      <c r="N925" t="s">
        <v>127</v>
      </c>
      <c r="O925" t="s">
        <v>112</v>
      </c>
      <c r="P925" t="s">
        <v>731</v>
      </c>
    </row>
    <row r="926" spans="1:16" x14ac:dyDescent="0.25">
      <c r="A926" t="s">
        <v>0</v>
      </c>
      <c r="B926" s="2">
        <v>44743</v>
      </c>
      <c r="C926" s="5" t="s">
        <v>22</v>
      </c>
      <c r="D926" t="s">
        <v>651</v>
      </c>
      <c r="E926" t="s">
        <v>652</v>
      </c>
      <c r="F926" t="s">
        <v>4</v>
      </c>
      <c r="G926" t="s">
        <v>5</v>
      </c>
      <c r="H926" s="3">
        <v>2063.56</v>
      </c>
      <c r="I926" t="s">
        <v>653</v>
      </c>
      <c r="J926" t="s">
        <v>8</v>
      </c>
      <c r="K926" t="s">
        <v>219</v>
      </c>
      <c r="L926" t="s">
        <v>8</v>
      </c>
      <c r="M926" t="s">
        <v>220</v>
      </c>
      <c r="N926" t="s">
        <v>575</v>
      </c>
      <c r="O926" t="s">
        <v>95</v>
      </c>
      <c r="P926" t="s">
        <v>747</v>
      </c>
    </row>
    <row r="927" spans="1:16" x14ac:dyDescent="0.25">
      <c r="A927" t="s">
        <v>0</v>
      </c>
      <c r="B927" s="2">
        <v>44743</v>
      </c>
      <c r="C927" s="5" t="s">
        <v>22</v>
      </c>
      <c r="D927" t="s">
        <v>885</v>
      </c>
      <c r="E927" t="s">
        <v>886</v>
      </c>
      <c r="F927" t="s">
        <v>4</v>
      </c>
      <c r="G927" t="s">
        <v>5</v>
      </c>
      <c r="H927" s="3">
        <v>1457.4</v>
      </c>
      <c r="I927" t="s">
        <v>887</v>
      </c>
      <c r="J927" t="s">
        <v>8</v>
      </c>
      <c r="K927" t="s">
        <v>219</v>
      </c>
      <c r="L927" t="s">
        <v>8</v>
      </c>
      <c r="M927" t="s">
        <v>220</v>
      </c>
      <c r="N927" t="s">
        <v>575</v>
      </c>
      <c r="O927" t="s">
        <v>95</v>
      </c>
      <c r="P927" t="s">
        <v>946</v>
      </c>
    </row>
    <row r="928" spans="1:16" x14ac:dyDescent="0.25">
      <c r="A928" t="s">
        <v>0</v>
      </c>
      <c r="B928" s="2">
        <v>44743</v>
      </c>
      <c r="C928" s="5" t="s">
        <v>22</v>
      </c>
      <c r="D928" t="s">
        <v>108</v>
      </c>
      <c r="E928" t="s">
        <v>109</v>
      </c>
      <c r="F928" t="s">
        <v>4</v>
      </c>
      <c r="G928" t="s">
        <v>5</v>
      </c>
      <c r="H928" s="3">
        <v>1305.29</v>
      </c>
      <c r="I928" t="s">
        <v>1128</v>
      </c>
      <c r="J928" t="s">
        <v>109</v>
      </c>
      <c r="K928" t="s">
        <v>8</v>
      </c>
      <c r="L928" t="s">
        <v>8</v>
      </c>
      <c r="M928" t="s">
        <v>8</v>
      </c>
      <c r="N928" t="s">
        <v>127</v>
      </c>
      <c r="O928" t="s">
        <v>112</v>
      </c>
      <c r="P928" t="s">
        <v>1126</v>
      </c>
    </row>
    <row r="929" spans="1:16" x14ac:dyDescent="0.25">
      <c r="A929" t="s">
        <v>0</v>
      </c>
      <c r="B929" s="2">
        <v>44743</v>
      </c>
      <c r="C929" s="5" t="s">
        <v>22</v>
      </c>
      <c r="D929" t="s">
        <v>753</v>
      </c>
      <c r="E929" t="s">
        <v>754</v>
      </c>
      <c r="F929" t="s">
        <v>4</v>
      </c>
      <c r="G929" t="s">
        <v>5</v>
      </c>
      <c r="H929" s="3">
        <v>999.69</v>
      </c>
      <c r="I929" t="s">
        <v>755</v>
      </c>
      <c r="J929" t="s">
        <v>8</v>
      </c>
      <c r="K929" t="s">
        <v>219</v>
      </c>
      <c r="L929" t="s">
        <v>8</v>
      </c>
      <c r="M929" t="s">
        <v>220</v>
      </c>
      <c r="N929" t="s">
        <v>575</v>
      </c>
      <c r="O929" t="s">
        <v>95</v>
      </c>
      <c r="P929" t="s">
        <v>963</v>
      </c>
    </row>
    <row r="930" spans="1:16" x14ac:dyDescent="0.25">
      <c r="A930" t="s">
        <v>0</v>
      </c>
      <c r="B930" s="2">
        <v>44743</v>
      </c>
      <c r="C930" s="5" t="s">
        <v>22</v>
      </c>
      <c r="D930" t="s">
        <v>266</v>
      </c>
      <c r="E930" t="s">
        <v>267</v>
      </c>
      <c r="F930" t="s">
        <v>4</v>
      </c>
      <c r="G930" t="s">
        <v>5</v>
      </c>
      <c r="H930" s="3">
        <v>896.03</v>
      </c>
      <c r="I930" t="s">
        <v>268</v>
      </c>
      <c r="J930" t="s">
        <v>8</v>
      </c>
      <c r="K930" t="s">
        <v>1240</v>
      </c>
      <c r="L930" t="s">
        <v>8</v>
      </c>
      <c r="M930" t="s">
        <v>270</v>
      </c>
      <c r="N930" t="s">
        <v>1278</v>
      </c>
      <c r="O930" t="s">
        <v>272</v>
      </c>
      <c r="P930" t="s">
        <v>22</v>
      </c>
    </row>
    <row r="931" spans="1:16" x14ac:dyDescent="0.25">
      <c r="A931" t="s">
        <v>0</v>
      </c>
      <c r="B931" s="2">
        <v>44743</v>
      </c>
      <c r="C931" s="5" t="s">
        <v>72</v>
      </c>
      <c r="D931" t="s">
        <v>294</v>
      </c>
      <c r="E931" t="s">
        <v>295</v>
      </c>
      <c r="F931" t="s">
        <v>4</v>
      </c>
      <c r="G931" t="s">
        <v>5</v>
      </c>
      <c r="H931" s="3">
        <v>580</v>
      </c>
      <c r="I931" t="s">
        <v>1420</v>
      </c>
      <c r="J931" t="s">
        <v>297</v>
      </c>
      <c r="K931" t="s">
        <v>8</v>
      </c>
      <c r="L931" t="s">
        <v>1421</v>
      </c>
      <c r="M931" t="s">
        <v>8</v>
      </c>
      <c r="N931" t="s">
        <v>1422</v>
      </c>
      <c r="O931" t="s">
        <v>29</v>
      </c>
      <c r="P931" t="s">
        <v>17</v>
      </c>
    </row>
    <row r="932" spans="1:16" x14ac:dyDescent="0.25">
      <c r="A932" t="s">
        <v>0</v>
      </c>
      <c r="B932" s="2">
        <v>44743</v>
      </c>
      <c r="C932" s="5" t="s">
        <v>72</v>
      </c>
      <c r="D932" t="s">
        <v>1201</v>
      </c>
      <c r="E932" t="s">
        <v>1202</v>
      </c>
      <c r="F932" t="s">
        <v>4</v>
      </c>
      <c r="G932" t="s">
        <v>5</v>
      </c>
      <c r="H932" s="3">
        <v>144</v>
      </c>
      <c r="I932" t="s">
        <v>1861</v>
      </c>
      <c r="J932" t="s">
        <v>1204</v>
      </c>
      <c r="K932" t="s">
        <v>8</v>
      </c>
      <c r="L932" t="s">
        <v>8</v>
      </c>
      <c r="M932" t="s">
        <v>8</v>
      </c>
      <c r="N932" t="s">
        <v>1862</v>
      </c>
      <c r="O932" t="s">
        <v>389</v>
      </c>
      <c r="P932" t="s">
        <v>1</v>
      </c>
    </row>
    <row r="933" spans="1:16" x14ac:dyDescent="0.25">
      <c r="A933" t="s">
        <v>0</v>
      </c>
      <c r="B933" s="2">
        <v>44743</v>
      </c>
      <c r="C933" s="5" t="s">
        <v>72</v>
      </c>
      <c r="D933" t="s">
        <v>1373</v>
      </c>
      <c r="E933" t="s">
        <v>1374</v>
      </c>
      <c r="F933" t="s">
        <v>4</v>
      </c>
      <c r="G933" t="s">
        <v>5</v>
      </c>
      <c r="H933" s="3">
        <v>13.92</v>
      </c>
      <c r="I933" t="s">
        <v>2140</v>
      </c>
      <c r="J933" t="s">
        <v>2141</v>
      </c>
      <c r="K933" t="s">
        <v>8</v>
      </c>
      <c r="L933" t="s">
        <v>8</v>
      </c>
      <c r="M933" t="s">
        <v>8</v>
      </c>
      <c r="N933" t="s">
        <v>2142</v>
      </c>
      <c r="O933" t="s">
        <v>389</v>
      </c>
      <c r="P933" t="s">
        <v>1</v>
      </c>
    </row>
    <row r="934" spans="1:16" x14ac:dyDescent="0.25">
      <c r="A934" t="s">
        <v>0</v>
      </c>
      <c r="B934" s="2">
        <v>44743</v>
      </c>
      <c r="C934" s="5" t="s">
        <v>22</v>
      </c>
      <c r="D934" t="s">
        <v>2289</v>
      </c>
      <c r="E934" t="s">
        <v>2290</v>
      </c>
      <c r="F934" t="s">
        <v>4</v>
      </c>
      <c r="G934" t="s">
        <v>5</v>
      </c>
      <c r="H934" s="3">
        <v>-1732878.76</v>
      </c>
      <c r="I934" t="s">
        <v>2291</v>
      </c>
      <c r="J934" t="s">
        <v>8</v>
      </c>
      <c r="K934" t="s">
        <v>2292</v>
      </c>
      <c r="L934" t="s">
        <v>8</v>
      </c>
      <c r="M934" t="s">
        <v>220</v>
      </c>
      <c r="N934" t="s">
        <v>2302</v>
      </c>
      <c r="O934" t="s">
        <v>95</v>
      </c>
      <c r="P934" t="s">
        <v>2294</v>
      </c>
    </row>
    <row r="935" spans="1:16" x14ac:dyDescent="0.25">
      <c r="A935" t="s">
        <v>0</v>
      </c>
      <c r="B935" s="2">
        <v>44746</v>
      </c>
      <c r="C935" s="5" t="s">
        <v>72</v>
      </c>
      <c r="D935" t="s">
        <v>47</v>
      </c>
      <c r="E935" t="s">
        <v>48</v>
      </c>
      <c r="F935" t="s">
        <v>4</v>
      </c>
      <c r="G935" t="s">
        <v>5</v>
      </c>
      <c r="H935" s="3">
        <v>80</v>
      </c>
      <c r="I935" t="s">
        <v>942</v>
      </c>
      <c r="J935" t="s">
        <v>943</v>
      </c>
      <c r="K935" t="s">
        <v>8</v>
      </c>
      <c r="L935" t="s">
        <v>8</v>
      </c>
      <c r="M935" t="s">
        <v>8</v>
      </c>
      <c r="N935" t="s">
        <v>1966</v>
      </c>
      <c r="O935" t="s">
        <v>945</v>
      </c>
      <c r="P935" t="s">
        <v>1</v>
      </c>
    </row>
    <row r="936" spans="1:16" x14ac:dyDescent="0.25">
      <c r="A936" t="s">
        <v>0</v>
      </c>
      <c r="B936" s="2">
        <v>44748</v>
      </c>
      <c r="C936" s="5" t="s">
        <v>72</v>
      </c>
      <c r="D936" t="s">
        <v>47</v>
      </c>
      <c r="E936" t="s">
        <v>48</v>
      </c>
      <c r="F936" t="s">
        <v>4</v>
      </c>
      <c r="G936" t="s">
        <v>5</v>
      </c>
      <c r="H936" s="3">
        <v>1784.7</v>
      </c>
      <c r="I936" t="s">
        <v>1026</v>
      </c>
      <c r="J936" t="s">
        <v>1011</v>
      </c>
      <c r="K936" t="s">
        <v>8</v>
      </c>
      <c r="L936" t="s">
        <v>1027</v>
      </c>
      <c r="M936" t="s">
        <v>8</v>
      </c>
      <c r="N936" t="s">
        <v>1028</v>
      </c>
      <c r="O936" t="s">
        <v>16</v>
      </c>
      <c r="P936" t="s">
        <v>1</v>
      </c>
    </row>
    <row r="937" spans="1:16" x14ac:dyDescent="0.25">
      <c r="A937" t="s">
        <v>0</v>
      </c>
      <c r="B937" s="2">
        <v>44748</v>
      </c>
      <c r="C937" s="5" t="s">
        <v>72</v>
      </c>
      <c r="D937" t="s">
        <v>1244</v>
      </c>
      <c r="E937" t="s">
        <v>1245</v>
      </c>
      <c r="F937" t="s">
        <v>4</v>
      </c>
      <c r="G937" t="s">
        <v>5</v>
      </c>
      <c r="H937" s="3">
        <v>900</v>
      </c>
      <c r="I937" t="s">
        <v>1264</v>
      </c>
      <c r="J937" t="s">
        <v>1257</v>
      </c>
      <c r="K937" t="s">
        <v>8</v>
      </c>
      <c r="L937" t="s">
        <v>8</v>
      </c>
      <c r="M937" t="s">
        <v>8</v>
      </c>
      <c r="N937" t="s">
        <v>1265</v>
      </c>
      <c r="O937" t="s">
        <v>16</v>
      </c>
      <c r="P937" t="s">
        <v>1</v>
      </c>
    </row>
    <row r="938" spans="1:16" x14ac:dyDescent="0.25">
      <c r="A938" t="s">
        <v>0</v>
      </c>
      <c r="B938" s="2">
        <v>44749</v>
      </c>
      <c r="C938" s="5" t="s">
        <v>72</v>
      </c>
      <c r="D938" t="s">
        <v>2</v>
      </c>
      <c r="E938" t="s">
        <v>3</v>
      </c>
      <c r="F938" t="s">
        <v>4</v>
      </c>
      <c r="G938" t="s">
        <v>5</v>
      </c>
      <c r="H938" s="3">
        <v>9557.0499999999993</v>
      </c>
      <c r="I938" t="s">
        <v>469</v>
      </c>
      <c r="J938" t="s">
        <v>460</v>
      </c>
      <c r="K938" t="s">
        <v>8</v>
      </c>
      <c r="L938" t="s">
        <v>472</v>
      </c>
      <c r="M938" t="s">
        <v>8</v>
      </c>
      <c r="N938" t="s">
        <v>473</v>
      </c>
      <c r="O938" t="s">
        <v>34</v>
      </c>
      <c r="P938" t="s">
        <v>1</v>
      </c>
    </row>
    <row r="939" spans="1:16" x14ac:dyDescent="0.25">
      <c r="A939" t="s">
        <v>0</v>
      </c>
      <c r="B939" s="2">
        <v>44749</v>
      </c>
      <c r="C939" s="5" t="s">
        <v>72</v>
      </c>
      <c r="D939" t="s">
        <v>539</v>
      </c>
      <c r="E939" t="s">
        <v>540</v>
      </c>
      <c r="F939" t="s">
        <v>4</v>
      </c>
      <c r="G939" t="s">
        <v>5</v>
      </c>
      <c r="H939" s="3">
        <v>8135.89</v>
      </c>
      <c r="I939" t="s">
        <v>541</v>
      </c>
      <c r="J939" t="s">
        <v>542</v>
      </c>
      <c r="K939" t="s">
        <v>8</v>
      </c>
      <c r="L939" t="s">
        <v>549</v>
      </c>
      <c r="M939" t="s">
        <v>8</v>
      </c>
      <c r="N939" t="s">
        <v>550</v>
      </c>
      <c r="O939" t="s">
        <v>16</v>
      </c>
      <c r="P939" t="s">
        <v>12</v>
      </c>
    </row>
    <row r="940" spans="1:16" x14ac:dyDescent="0.25">
      <c r="A940" t="s">
        <v>0</v>
      </c>
      <c r="B940" s="2">
        <v>44750</v>
      </c>
      <c r="C940" s="5" t="s">
        <v>72</v>
      </c>
      <c r="D940" t="s">
        <v>885</v>
      </c>
      <c r="E940" t="s">
        <v>886</v>
      </c>
      <c r="F940" t="s">
        <v>4</v>
      </c>
      <c r="G940" t="s">
        <v>5</v>
      </c>
      <c r="H940" s="3">
        <v>2152.42</v>
      </c>
      <c r="I940" t="s">
        <v>942</v>
      </c>
      <c r="J940" t="s">
        <v>943</v>
      </c>
      <c r="K940" t="s">
        <v>8</v>
      </c>
      <c r="L940" t="s">
        <v>8</v>
      </c>
      <c r="M940" t="s">
        <v>8</v>
      </c>
      <c r="N940" t="s">
        <v>944</v>
      </c>
      <c r="O940" t="s">
        <v>945</v>
      </c>
      <c r="P940" t="s">
        <v>1</v>
      </c>
    </row>
    <row r="941" spans="1:16" x14ac:dyDescent="0.25">
      <c r="A941" t="s">
        <v>0</v>
      </c>
      <c r="B941" s="2">
        <v>44750</v>
      </c>
      <c r="C941" s="5" t="s">
        <v>72</v>
      </c>
      <c r="D941" t="s">
        <v>47</v>
      </c>
      <c r="E941" t="s">
        <v>48</v>
      </c>
      <c r="F941" t="s">
        <v>4</v>
      </c>
      <c r="G941" t="s">
        <v>5</v>
      </c>
      <c r="H941" s="3">
        <v>1784.7</v>
      </c>
      <c r="I941" t="s">
        <v>1029</v>
      </c>
      <c r="J941" t="s">
        <v>1011</v>
      </c>
      <c r="K941" t="s">
        <v>8</v>
      </c>
      <c r="L941" t="s">
        <v>1030</v>
      </c>
      <c r="M941" t="s">
        <v>8</v>
      </c>
      <c r="N941" t="s">
        <v>1031</v>
      </c>
      <c r="O941" t="s">
        <v>16</v>
      </c>
      <c r="P941" t="s">
        <v>1</v>
      </c>
    </row>
    <row r="942" spans="1:16" x14ac:dyDescent="0.25">
      <c r="A942" t="s">
        <v>0</v>
      </c>
      <c r="B942" s="2">
        <v>44750</v>
      </c>
      <c r="C942" s="5" t="s">
        <v>72</v>
      </c>
      <c r="D942" t="s">
        <v>1155</v>
      </c>
      <c r="E942" t="s">
        <v>1156</v>
      </c>
      <c r="F942" t="s">
        <v>4</v>
      </c>
      <c r="G942" t="s">
        <v>5</v>
      </c>
      <c r="H942" s="3">
        <v>20.399999999999999</v>
      </c>
      <c r="I942" t="s">
        <v>2125</v>
      </c>
      <c r="J942" t="s">
        <v>1158</v>
      </c>
      <c r="K942" t="s">
        <v>8</v>
      </c>
      <c r="L942" t="s">
        <v>8</v>
      </c>
      <c r="M942" t="s">
        <v>8</v>
      </c>
      <c r="N942" t="s">
        <v>2126</v>
      </c>
      <c r="O942" t="s">
        <v>16</v>
      </c>
      <c r="P942" t="s">
        <v>12</v>
      </c>
    </row>
    <row r="943" spans="1:16" x14ac:dyDescent="0.25">
      <c r="A943" t="s">
        <v>0</v>
      </c>
      <c r="B943" s="2">
        <v>44753</v>
      </c>
      <c r="C943" s="5" t="s">
        <v>72</v>
      </c>
      <c r="D943" t="s">
        <v>539</v>
      </c>
      <c r="E943" t="s">
        <v>540</v>
      </c>
      <c r="F943" t="s">
        <v>4</v>
      </c>
      <c r="G943" t="s">
        <v>5</v>
      </c>
      <c r="H943" s="3">
        <v>3483.6</v>
      </c>
      <c r="I943" t="s">
        <v>784</v>
      </c>
      <c r="J943" t="s">
        <v>542</v>
      </c>
      <c r="K943" t="s">
        <v>8</v>
      </c>
      <c r="L943" t="s">
        <v>785</v>
      </c>
      <c r="M943" t="s">
        <v>8</v>
      </c>
      <c r="N943" t="s">
        <v>786</v>
      </c>
      <c r="O943" t="s">
        <v>29</v>
      </c>
      <c r="P943" t="s">
        <v>12</v>
      </c>
    </row>
    <row r="944" spans="1:16" x14ac:dyDescent="0.25">
      <c r="A944" t="s">
        <v>0</v>
      </c>
      <c r="B944" s="2">
        <v>44753</v>
      </c>
      <c r="C944" s="5" t="s">
        <v>72</v>
      </c>
      <c r="D944" t="s">
        <v>410</v>
      </c>
      <c r="E944" t="s">
        <v>411</v>
      </c>
      <c r="F944" t="s">
        <v>4</v>
      </c>
      <c r="G944" t="s">
        <v>5</v>
      </c>
      <c r="H944" s="3">
        <v>10193.99</v>
      </c>
      <c r="I944" t="s">
        <v>431</v>
      </c>
      <c r="J944" t="s">
        <v>413</v>
      </c>
      <c r="K944" t="s">
        <v>8</v>
      </c>
      <c r="L944" t="s">
        <v>432</v>
      </c>
      <c r="M944" t="s">
        <v>8</v>
      </c>
      <c r="N944" t="s">
        <v>433</v>
      </c>
      <c r="O944" t="s">
        <v>29</v>
      </c>
      <c r="P944" t="s">
        <v>1</v>
      </c>
    </row>
    <row r="945" spans="1:16" x14ac:dyDescent="0.25">
      <c r="A945" t="s">
        <v>0</v>
      </c>
      <c r="B945" s="2">
        <v>44753</v>
      </c>
      <c r="C945" s="5" t="s">
        <v>72</v>
      </c>
      <c r="D945" t="s">
        <v>390</v>
      </c>
      <c r="E945" t="s">
        <v>391</v>
      </c>
      <c r="F945" t="s">
        <v>4</v>
      </c>
      <c r="G945" t="s">
        <v>5</v>
      </c>
      <c r="H945" s="3">
        <v>1105.01</v>
      </c>
      <c r="I945" t="s">
        <v>1188</v>
      </c>
      <c r="J945" t="s">
        <v>1181</v>
      </c>
      <c r="K945" t="s">
        <v>8</v>
      </c>
      <c r="L945" t="s">
        <v>1189</v>
      </c>
      <c r="M945" t="s">
        <v>8</v>
      </c>
      <c r="N945" t="s">
        <v>1190</v>
      </c>
      <c r="O945" t="s">
        <v>29</v>
      </c>
      <c r="P945" t="s">
        <v>72</v>
      </c>
    </row>
    <row r="946" spans="1:16" x14ac:dyDescent="0.25">
      <c r="A946" t="s">
        <v>0</v>
      </c>
      <c r="B946" s="2">
        <v>44753</v>
      </c>
      <c r="C946" s="5" t="s">
        <v>72</v>
      </c>
      <c r="D946" t="s">
        <v>1517</v>
      </c>
      <c r="E946" t="s">
        <v>1518</v>
      </c>
      <c r="F946" t="s">
        <v>4</v>
      </c>
      <c r="G946" t="s">
        <v>5</v>
      </c>
      <c r="H946" s="3">
        <v>438.9</v>
      </c>
      <c r="I946" t="s">
        <v>1538</v>
      </c>
      <c r="J946" t="s">
        <v>1520</v>
      </c>
      <c r="K946" t="s">
        <v>8</v>
      </c>
      <c r="L946" t="s">
        <v>1539</v>
      </c>
      <c r="M946" t="s">
        <v>8</v>
      </c>
      <c r="N946" t="s">
        <v>1540</v>
      </c>
      <c r="O946" t="s">
        <v>29</v>
      </c>
      <c r="P946" t="s">
        <v>1</v>
      </c>
    </row>
    <row r="947" spans="1:16" x14ac:dyDescent="0.25">
      <c r="A947" t="s">
        <v>0</v>
      </c>
      <c r="B947" s="2">
        <v>44753</v>
      </c>
      <c r="C947" s="5" t="s">
        <v>72</v>
      </c>
      <c r="D947" t="s">
        <v>1915</v>
      </c>
      <c r="E947" t="s">
        <v>1916</v>
      </c>
      <c r="F947" t="s">
        <v>4</v>
      </c>
      <c r="G947" t="s">
        <v>5</v>
      </c>
      <c r="H947" s="3">
        <v>105.15</v>
      </c>
      <c r="I947" t="s">
        <v>1917</v>
      </c>
      <c r="J947" t="s">
        <v>1918</v>
      </c>
      <c r="K947" t="s">
        <v>8</v>
      </c>
      <c r="L947" t="s">
        <v>8</v>
      </c>
      <c r="M947" t="s">
        <v>8</v>
      </c>
      <c r="N947" t="s">
        <v>1919</v>
      </c>
      <c r="O947" t="s">
        <v>806</v>
      </c>
      <c r="P947" t="s">
        <v>1</v>
      </c>
    </row>
    <row r="948" spans="1:16" x14ac:dyDescent="0.25">
      <c r="A948" t="s">
        <v>0</v>
      </c>
      <c r="B948" s="2">
        <v>44754</v>
      </c>
      <c r="C948" s="5" t="s">
        <v>72</v>
      </c>
      <c r="D948" t="s">
        <v>697</v>
      </c>
      <c r="E948" t="s">
        <v>698</v>
      </c>
      <c r="F948" t="s">
        <v>4</v>
      </c>
      <c r="G948" t="s">
        <v>5</v>
      </c>
      <c r="H948" s="3">
        <v>4780.07</v>
      </c>
      <c r="I948" t="s">
        <v>715</v>
      </c>
      <c r="J948" t="s">
        <v>700</v>
      </c>
      <c r="K948" t="s">
        <v>8</v>
      </c>
      <c r="L948" t="s">
        <v>716</v>
      </c>
      <c r="M948" t="s">
        <v>8</v>
      </c>
      <c r="N948" t="s">
        <v>717</v>
      </c>
      <c r="O948" t="s">
        <v>16</v>
      </c>
      <c r="P948" t="s">
        <v>1</v>
      </c>
    </row>
    <row r="949" spans="1:16" x14ac:dyDescent="0.25">
      <c r="A949" t="s">
        <v>0</v>
      </c>
      <c r="B949" s="2">
        <v>44754</v>
      </c>
      <c r="C949" s="5" t="s">
        <v>72</v>
      </c>
      <c r="D949" t="s">
        <v>591</v>
      </c>
      <c r="E949" t="s">
        <v>592</v>
      </c>
      <c r="F949" t="s">
        <v>4</v>
      </c>
      <c r="G949" t="s">
        <v>5</v>
      </c>
      <c r="H949" s="3">
        <v>947.6</v>
      </c>
      <c r="I949" t="s">
        <v>1227</v>
      </c>
      <c r="J949" t="s">
        <v>750</v>
      </c>
      <c r="K949" t="s">
        <v>8</v>
      </c>
      <c r="L949" t="s">
        <v>1228</v>
      </c>
      <c r="M949" t="s">
        <v>8</v>
      </c>
      <c r="N949" t="s">
        <v>1229</v>
      </c>
      <c r="O949" t="s">
        <v>34</v>
      </c>
      <c r="P949" t="s">
        <v>1</v>
      </c>
    </row>
    <row r="950" spans="1:16" x14ac:dyDescent="0.25">
      <c r="A950" t="s">
        <v>0</v>
      </c>
      <c r="B950" s="2">
        <v>44756</v>
      </c>
      <c r="C950" s="5" t="s">
        <v>72</v>
      </c>
      <c r="D950" t="s">
        <v>384</v>
      </c>
      <c r="E950" t="s">
        <v>385</v>
      </c>
      <c r="F950" t="s">
        <v>4</v>
      </c>
      <c r="G950" t="s">
        <v>5</v>
      </c>
      <c r="H950" s="3">
        <v>992.58</v>
      </c>
      <c r="I950" t="s">
        <v>871</v>
      </c>
      <c r="J950" t="s">
        <v>912</v>
      </c>
      <c r="K950" t="s">
        <v>8</v>
      </c>
      <c r="L950" t="s">
        <v>8</v>
      </c>
      <c r="M950" t="s">
        <v>8</v>
      </c>
      <c r="N950" t="s">
        <v>1221</v>
      </c>
      <c r="O950" t="s">
        <v>389</v>
      </c>
      <c r="P950" t="s">
        <v>1</v>
      </c>
    </row>
    <row r="951" spans="1:16" x14ac:dyDescent="0.25">
      <c r="A951" t="s">
        <v>0</v>
      </c>
      <c r="B951" s="2">
        <v>44756</v>
      </c>
      <c r="C951" s="5" t="s">
        <v>72</v>
      </c>
      <c r="D951" t="s">
        <v>384</v>
      </c>
      <c r="E951" t="s">
        <v>385</v>
      </c>
      <c r="F951" t="s">
        <v>4</v>
      </c>
      <c r="G951" t="s">
        <v>5</v>
      </c>
      <c r="H951" s="3">
        <v>666.9</v>
      </c>
      <c r="I951" t="s">
        <v>871</v>
      </c>
      <c r="J951" t="s">
        <v>1242</v>
      </c>
      <c r="K951" t="s">
        <v>8</v>
      </c>
      <c r="L951" t="s">
        <v>8</v>
      </c>
      <c r="M951" t="s">
        <v>8</v>
      </c>
      <c r="N951" t="s">
        <v>1391</v>
      </c>
      <c r="O951" t="s">
        <v>389</v>
      </c>
      <c r="P951" t="s">
        <v>12</v>
      </c>
    </row>
    <row r="952" spans="1:16" x14ac:dyDescent="0.25">
      <c r="A952" t="s">
        <v>0</v>
      </c>
      <c r="B952" s="2">
        <v>44756</v>
      </c>
      <c r="C952" s="5" t="s">
        <v>72</v>
      </c>
      <c r="D952" t="s">
        <v>1340</v>
      </c>
      <c r="E952" t="s">
        <v>1341</v>
      </c>
      <c r="F952" t="s">
        <v>4</v>
      </c>
      <c r="G952" t="s">
        <v>5</v>
      </c>
      <c r="H952" s="3">
        <v>423.22</v>
      </c>
      <c r="I952" t="s">
        <v>1568</v>
      </c>
      <c r="J952" t="s">
        <v>1569</v>
      </c>
      <c r="K952" t="s">
        <v>8</v>
      </c>
      <c r="L952" t="s">
        <v>1570</v>
      </c>
      <c r="M952" t="s">
        <v>8</v>
      </c>
      <c r="N952" t="s">
        <v>1571</v>
      </c>
      <c r="O952" t="s">
        <v>16</v>
      </c>
      <c r="P952" t="s">
        <v>30</v>
      </c>
    </row>
    <row r="953" spans="1:16" x14ac:dyDescent="0.25">
      <c r="A953" t="s">
        <v>0</v>
      </c>
      <c r="B953" s="2">
        <v>44756</v>
      </c>
      <c r="C953" s="5" t="s">
        <v>72</v>
      </c>
      <c r="D953" t="s">
        <v>384</v>
      </c>
      <c r="E953" t="s">
        <v>385</v>
      </c>
      <c r="F953" t="s">
        <v>4</v>
      </c>
      <c r="G953" t="s">
        <v>5</v>
      </c>
      <c r="H953" s="3">
        <v>406.26</v>
      </c>
      <c r="I953" t="s">
        <v>871</v>
      </c>
      <c r="J953" t="s">
        <v>1417</v>
      </c>
      <c r="K953" t="s">
        <v>8</v>
      </c>
      <c r="L953" t="s">
        <v>8</v>
      </c>
      <c r="M953" t="s">
        <v>8</v>
      </c>
      <c r="N953" t="s">
        <v>1600</v>
      </c>
      <c r="O953" t="s">
        <v>389</v>
      </c>
      <c r="P953" t="s">
        <v>1</v>
      </c>
    </row>
    <row r="954" spans="1:16" x14ac:dyDescent="0.25">
      <c r="A954" t="s">
        <v>0</v>
      </c>
      <c r="B954" s="2">
        <v>44756</v>
      </c>
      <c r="C954" s="5" t="s">
        <v>72</v>
      </c>
      <c r="D954" t="s">
        <v>2</v>
      </c>
      <c r="E954" t="s">
        <v>3</v>
      </c>
      <c r="F954" t="s">
        <v>4</v>
      </c>
      <c r="G954" t="s">
        <v>5</v>
      </c>
      <c r="H954" s="3">
        <v>320</v>
      </c>
      <c r="I954" t="s">
        <v>1680</v>
      </c>
      <c r="J954" t="s">
        <v>1605</v>
      </c>
      <c r="K954" t="s">
        <v>8</v>
      </c>
      <c r="L954" t="s">
        <v>1681</v>
      </c>
      <c r="M954" t="s">
        <v>8</v>
      </c>
      <c r="N954" t="s">
        <v>1682</v>
      </c>
      <c r="O954" t="s">
        <v>16</v>
      </c>
      <c r="P954" t="s">
        <v>1</v>
      </c>
    </row>
    <row r="955" spans="1:16" x14ac:dyDescent="0.25">
      <c r="A955" t="s">
        <v>0</v>
      </c>
      <c r="B955" s="2">
        <v>44756</v>
      </c>
      <c r="C955" s="5" t="s">
        <v>72</v>
      </c>
      <c r="D955" t="s">
        <v>384</v>
      </c>
      <c r="E955" t="s">
        <v>385</v>
      </c>
      <c r="F955" t="s">
        <v>4</v>
      </c>
      <c r="G955" t="s">
        <v>5</v>
      </c>
      <c r="H955" s="3">
        <v>253.92</v>
      </c>
      <c r="I955" t="s">
        <v>1731</v>
      </c>
      <c r="J955" t="s">
        <v>912</v>
      </c>
      <c r="K955" t="s">
        <v>8</v>
      </c>
      <c r="L955" t="s">
        <v>8</v>
      </c>
      <c r="M955" t="s">
        <v>8</v>
      </c>
      <c r="N955" t="s">
        <v>1221</v>
      </c>
      <c r="O955" t="s">
        <v>389</v>
      </c>
      <c r="P955" t="s">
        <v>12</v>
      </c>
    </row>
    <row r="956" spans="1:16" x14ac:dyDescent="0.25">
      <c r="A956" t="s">
        <v>0</v>
      </c>
      <c r="B956" s="2">
        <v>44756</v>
      </c>
      <c r="C956" s="5" t="s">
        <v>72</v>
      </c>
      <c r="D956" t="s">
        <v>1373</v>
      </c>
      <c r="E956" t="s">
        <v>1374</v>
      </c>
      <c r="F956" t="s">
        <v>4</v>
      </c>
      <c r="G956" t="s">
        <v>5</v>
      </c>
      <c r="H956" s="3">
        <v>175.23</v>
      </c>
      <c r="I956" t="s">
        <v>1803</v>
      </c>
      <c r="J956" t="s">
        <v>1741</v>
      </c>
      <c r="K956" t="s">
        <v>8</v>
      </c>
      <c r="L956" t="s">
        <v>8</v>
      </c>
      <c r="M956" t="s">
        <v>8</v>
      </c>
      <c r="N956" t="s">
        <v>1804</v>
      </c>
      <c r="O956" t="s">
        <v>389</v>
      </c>
      <c r="P956" t="s">
        <v>1</v>
      </c>
    </row>
    <row r="957" spans="1:16" x14ac:dyDescent="0.25">
      <c r="A957" t="s">
        <v>0</v>
      </c>
      <c r="B957" s="2">
        <v>44756</v>
      </c>
      <c r="C957" s="5" t="s">
        <v>72</v>
      </c>
      <c r="D957" t="s">
        <v>384</v>
      </c>
      <c r="E957" t="s">
        <v>385</v>
      </c>
      <c r="F957" t="s">
        <v>4</v>
      </c>
      <c r="G957" t="s">
        <v>5</v>
      </c>
      <c r="H957" s="3">
        <v>173.03</v>
      </c>
      <c r="I957" t="s">
        <v>1805</v>
      </c>
      <c r="J957" t="s">
        <v>1806</v>
      </c>
      <c r="K957" t="s">
        <v>8</v>
      </c>
      <c r="L957" t="s">
        <v>8</v>
      </c>
      <c r="M957" t="s">
        <v>8</v>
      </c>
      <c r="N957" t="s">
        <v>1807</v>
      </c>
      <c r="O957" t="s">
        <v>389</v>
      </c>
      <c r="P957" t="s">
        <v>1</v>
      </c>
    </row>
    <row r="958" spans="1:16" x14ac:dyDescent="0.25">
      <c r="A958" t="s">
        <v>0</v>
      </c>
      <c r="B958" s="2">
        <v>44756</v>
      </c>
      <c r="C958" s="5" t="s">
        <v>72</v>
      </c>
      <c r="D958" t="s">
        <v>1201</v>
      </c>
      <c r="E958" t="s">
        <v>1202</v>
      </c>
      <c r="F958" t="s">
        <v>4</v>
      </c>
      <c r="G958" t="s">
        <v>5</v>
      </c>
      <c r="H958" s="3">
        <v>65</v>
      </c>
      <c r="I958" t="s">
        <v>2014</v>
      </c>
      <c r="J958" t="s">
        <v>1985</v>
      </c>
      <c r="K958" t="s">
        <v>8</v>
      </c>
      <c r="L958" t="s">
        <v>8</v>
      </c>
      <c r="M958" t="s">
        <v>8</v>
      </c>
      <c r="N958" t="s">
        <v>2015</v>
      </c>
      <c r="O958" t="s">
        <v>389</v>
      </c>
      <c r="P958" t="s">
        <v>1</v>
      </c>
    </row>
    <row r="959" spans="1:16" x14ac:dyDescent="0.25">
      <c r="A959" t="s">
        <v>0</v>
      </c>
      <c r="B959" s="2">
        <v>44756</v>
      </c>
      <c r="C959" s="5" t="s">
        <v>72</v>
      </c>
      <c r="D959" t="s">
        <v>1201</v>
      </c>
      <c r="E959" t="s">
        <v>1202</v>
      </c>
      <c r="F959" t="s">
        <v>4</v>
      </c>
      <c r="G959" t="s">
        <v>5</v>
      </c>
      <c r="H959" s="3">
        <v>45</v>
      </c>
      <c r="I959" t="s">
        <v>2063</v>
      </c>
      <c r="J959" t="s">
        <v>680</v>
      </c>
      <c r="K959" t="s">
        <v>8</v>
      </c>
      <c r="L959" t="s">
        <v>8</v>
      </c>
      <c r="M959" t="s">
        <v>8</v>
      </c>
      <c r="N959" t="s">
        <v>2064</v>
      </c>
      <c r="O959" t="s">
        <v>389</v>
      </c>
      <c r="P959" t="s">
        <v>1</v>
      </c>
    </row>
    <row r="960" spans="1:16" x14ac:dyDescent="0.25">
      <c r="A960" t="s">
        <v>0</v>
      </c>
      <c r="B960" s="2">
        <v>44756</v>
      </c>
      <c r="C960" s="5" t="s">
        <v>72</v>
      </c>
      <c r="D960" t="s">
        <v>1373</v>
      </c>
      <c r="E960" t="s">
        <v>1374</v>
      </c>
      <c r="F960" t="s">
        <v>4</v>
      </c>
      <c r="G960" t="s">
        <v>5</v>
      </c>
      <c r="H960" s="3">
        <v>36.909999999999997</v>
      </c>
      <c r="I960" t="s">
        <v>2075</v>
      </c>
      <c r="J960" t="s">
        <v>912</v>
      </c>
      <c r="K960" t="s">
        <v>8</v>
      </c>
      <c r="L960" t="s">
        <v>8</v>
      </c>
      <c r="M960" t="s">
        <v>8</v>
      </c>
      <c r="N960" t="s">
        <v>1221</v>
      </c>
      <c r="O960" t="s">
        <v>389</v>
      </c>
      <c r="P960" t="s">
        <v>17</v>
      </c>
    </row>
    <row r="961" spans="1:16" x14ac:dyDescent="0.25">
      <c r="A961" t="s">
        <v>0</v>
      </c>
      <c r="B961" s="2">
        <v>44756</v>
      </c>
      <c r="C961" s="5" t="s">
        <v>72</v>
      </c>
      <c r="D961" t="s">
        <v>384</v>
      </c>
      <c r="E961" t="s">
        <v>385</v>
      </c>
      <c r="F961" t="s">
        <v>4</v>
      </c>
      <c r="G961" t="s">
        <v>5</v>
      </c>
      <c r="H961" s="3">
        <v>34.4</v>
      </c>
      <c r="I961" t="s">
        <v>1757</v>
      </c>
      <c r="J961" t="s">
        <v>1104</v>
      </c>
      <c r="K961" t="s">
        <v>8</v>
      </c>
      <c r="L961" t="s">
        <v>8</v>
      </c>
      <c r="M961" t="s">
        <v>8</v>
      </c>
      <c r="N961" t="s">
        <v>2081</v>
      </c>
      <c r="O961" t="s">
        <v>389</v>
      </c>
      <c r="P961" t="s">
        <v>12</v>
      </c>
    </row>
    <row r="962" spans="1:16" x14ac:dyDescent="0.25">
      <c r="A962" t="s">
        <v>0</v>
      </c>
      <c r="B962" s="2">
        <v>44757</v>
      </c>
      <c r="C962" s="5" t="s">
        <v>72</v>
      </c>
      <c r="D962" t="s">
        <v>384</v>
      </c>
      <c r="E962" t="s">
        <v>385</v>
      </c>
      <c r="F962" t="s">
        <v>4</v>
      </c>
      <c r="G962" t="s">
        <v>5</v>
      </c>
      <c r="H962" s="3">
        <v>4082.77</v>
      </c>
      <c r="I962" t="s">
        <v>737</v>
      </c>
      <c r="J962" t="s">
        <v>387</v>
      </c>
      <c r="K962" t="s">
        <v>8</v>
      </c>
      <c r="L962" t="s">
        <v>8</v>
      </c>
      <c r="M962" t="s">
        <v>8</v>
      </c>
      <c r="N962" t="s">
        <v>738</v>
      </c>
      <c r="O962" t="s">
        <v>389</v>
      </c>
      <c r="P962" t="s">
        <v>43</v>
      </c>
    </row>
    <row r="963" spans="1:16" x14ac:dyDescent="0.25">
      <c r="A963" t="s">
        <v>0</v>
      </c>
      <c r="B963" s="2">
        <v>44757</v>
      </c>
      <c r="C963" s="5" t="s">
        <v>72</v>
      </c>
      <c r="D963" t="s">
        <v>384</v>
      </c>
      <c r="E963" t="s">
        <v>385</v>
      </c>
      <c r="F963" t="s">
        <v>4</v>
      </c>
      <c r="G963" t="s">
        <v>5</v>
      </c>
      <c r="H963" s="3">
        <v>2205.77</v>
      </c>
      <c r="I963" t="s">
        <v>935</v>
      </c>
      <c r="J963" t="s">
        <v>387</v>
      </c>
      <c r="K963" t="s">
        <v>8</v>
      </c>
      <c r="L963" t="s">
        <v>8</v>
      </c>
      <c r="M963" t="s">
        <v>8</v>
      </c>
      <c r="N963" t="s">
        <v>738</v>
      </c>
      <c r="O963" t="s">
        <v>389</v>
      </c>
      <c r="P963" t="s">
        <v>12</v>
      </c>
    </row>
    <row r="964" spans="1:16" x14ac:dyDescent="0.25">
      <c r="A964" t="s">
        <v>0</v>
      </c>
      <c r="B964" s="2">
        <v>44757</v>
      </c>
      <c r="C964" s="5" t="s">
        <v>72</v>
      </c>
      <c r="D964" t="s">
        <v>969</v>
      </c>
      <c r="E964" t="s">
        <v>970</v>
      </c>
      <c r="F964" t="s">
        <v>4</v>
      </c>
      <c r="G964" t="s">
        <v>5</v>
      </c>
      <c r="H964" s="3">
        <v>1882.92</v>
      </c>
      <c r="I964" t="s">
        <v>986</v>
      </c>
      <c r="J964" t="s">
        <v>972</v>
      </c>
      <c r="K964" t="s">
        <v>8</v>
      </c>
      <c r="L964" t="s">
        <v>8</v>
      </c>
      <c r="M964" t="s">
        <v>8</v>
      </c>
      <c r="N964" t="s">
        <v>991</v>
      </c>
      <c r="O964" t="s">
        <v>992</v>
      </c>
      <c r="P964" t="s">
        <v>342</v>
      </c>
    </row>
    <row r="965" spans="1:16" x14ac:dyDescent="0.25">
      <c r="A965" t="s">
        <v>0</v>
      </c>
      <c r="B965" s="2">
        <v>44757</v>
      </c>
      <c r="C965" s="5" t="s">
        <v>72</v>
      </c>
      <c r="D965" t="s">
        <v>373</v>
      </c>
      <c r="E965" t="s">
        <v>374</v>
      </c>
      <c r="F965" t="s">
        <v>4</v>
      </c>
      <c r="G965" t="s">
        <v>5</v>
      </c>
      <c r="H965" s="3">
        <v>833.94</v>
      </c>
      <c r="I965" t="s">
        <v>1301</v>
      </c>
      <c r="J965" t="s">
        <v>1302</v>
      </c>
      <c r="K965" t="s">
        <v>8</v>
      </c>
      <c r="L965" t="s">
        <v>8</v>
      </c>
      <c r="M965" t="s">
        <v>8</v>
      </c>
      <c r="N965" t="s">
        <v>1309</v>
      </c>
      <c r="O965" t="s">
        <v>992</v>
      </c>
      <c r="P965" t="s">
        <v>1304</v>
      </c>
    </row>
    <row r="966" spans="1:16" x14ac:dyDescent="0.25">
      <c r="A966" t="s">
        <v>0</v>
      </c>
      <c r="B966" s="2">
        <v>44757</v>
      </c>
      <c r="C966" s="5" t="s">
        <v>72</v>
      </c>
      <c r="D966" t="s">
        <v>1155</v>
      </c>
      <c r="E966" t="s">
        <v>1156</v>
      </c>
      <c r="F966" t="s">
        <v>4</v>
      </c>
      <c r="G966" t="s">
        <v>5</v>
      </c>
      <c r="H966" s="3">
        <v>286</v>
      </c>
      <c r="I966" t="s">
        <v>1714</v>
      </c>
      <c r="J966" t="s">
        <v>322</v>
      </c>
      <c r="K966" t="s">
        <v>8</v>
      </c>
      <c r="L966" t="s">
        <v>8</v>
      </c>
      <c r="M966" t="s">
        <v>8</v>
      </c>
      <c r="N966" t="s">
        <v>1716</v>
      </c>
      <c r="O966" t="s">
        <v>1054</v>
      </c>
      <c r="P966" t="s">
        <v>800</v>
      </c>
    </row>
    <row r="967" spans="1:16" x14ac:dyDescent="0.25">
      <c r="A967" t="s">
        <v>0</v>
      </c>
      <c r="B967" s="2">
        <v>44757</v>
      </c>
      <c r="C967" s="5" t="s">
        <v>72</v>
      </c>
      <c r="D967" t="s">
        <v>384</v>
      </c>
      <c r="E967" t="s">
        <v>385</v>
      </c>
      <c r="F967" t="s">
        <v>4</v>
      </c>
      <c r="G967" t="s">
        <v>5</v>
      </c>
      <c r="H967" s="3">
        <v>232.12</v>
      </c>
      <c r="I967" t="s">
        <v>1753</v>
      </c>
      <c r="J967" t="s">
        <v>387</v>
      </c>
      <c r="K967" t="s">
        <v>8</v>
      </c>
      <c r="L967" t="s">
        <v>8</v>
      </c>
      <c r="M967" t="s">
        <v>8</v>
      </c>
      <c r="N967" t="s">
        <v>738</v>
      </c>
      <c r="O967" t="s">
        <v>389</v>
      </c>
      <c r="P967" t="s">
        <v>77</v>
      </c>
    </row>
    <row r="968" spans="1:16" x14ac:dyDescent="0.25">
      <c r="A968" t="s">
        <v>0</v>
      </c>
      <c r="B968" s="2">
        <v>44757</v>
      </c>
      <c r="C968" s="5" t="s">
        <v>72</v>
      </c>
      <c r="D968" t="s">
        <v>384</v>
      </c>
      <c r="E968" t="s">
        <v>385</v>
      </c>
      <c r="F968" t="s">
        <v>4</v>
      </c>
      <c r="G968" t="s">
        <v>5</v>
      </c>
      <c r="H968" s="3">
        <v>173.03</v>
      </c>
      <c r="I968" t="s">
        <v>1808</v>
      </c>
      <c r="J968" t="s">
        <v>1718</v>
      </c>
      <c r="K968" t="s">
        <v>8</v>
      </c>
      <c r="L968" t="s">
        <v>8</v>
      </c>
      <c r="M968" t="s">
        <v>8</v>
      </c>
      <c r="N968" t="s">
        <v>1809</v>
      </c>
      <c r="O968" t="s">
        <v>389</v>
      </c>
      <c r="P968" t="s">
        <v>1</v>
      </c>
    </row>
    <row r="969" spans="1:16" x14ac:dyDescent="0.25">
      <c r="A969" t="s">
        <v>0</v>
      </c>
      <c r="B969" s="2">
        <v>44757</v>
      </c>
      <c r="C969" s="5" t="s">
        <v>72</v>
      </c>
      <c r="D969" t="s">
        <v>1201</v>
      </c>
      <c r="E969" t="s">
        <v>1202</v>
      </c>
      <c r="F969" t="s">
        <v>4</v>
      </c>
      <c r="G969" t="s">
        <v>5</v>
      </c>
      <c r="H969" s="3">
        <v>120</v>
      </c>
      <c r="I969" t="s">
        <v>1901</v>
      </c>
      <c r="J969" t="s">
        <v>1718</v>
      </c>
      <c r="K969" t="s">
        <v>8</v>
      </c>
      <c r="L969" t="s">
        <v>8</v>
      </c>
      <c r="M969" t="s">
        <v>8</v>
      </c>
      <c r="N969" t="s">
        <v>1809</v>
      </c>
      <c r="O969" t="s">
        <v>389</v>
      </c>
      <c r="P969" t="s">
        <v>43</v>
      </c>
    </row>
    <row r="970" spans="1:16" x14ac:dyDescent="0.25">
      <c r="A970" t="s">
        <v>0</v>
      </c>
      <c r="B970" s="2">
        <v>44757</v>
      </c>
      <c r="C970" s="5" t="s">
        <v>72</v>
      </c>
      <c r="D970" t="s">
        <v>384</v>
      </c>
      <c r="E970" t="s">
        <v>385</v>
      </c>
      <c r="F970" t="s">
        <v>4</v>
      </c>
      <c r="G970" t="s">
        <v>5</v>
      </c>
      <c r="H970" s="3">
        <v>120</v>
      </c>
      <c r="I970" t="s">
        <v>1808</v>
      </c>
      <c r="J970" t="s">
        <v>1718</v>
      </c>
      <c r="K970" t="s">
        <v>8</v>
      </c>
      <c r="L970" t="s">
        <v>8</v>
      </c>
      <c r="M970" t="s">
        <v>8</v>
      </c>
      <c r="N970" t="s">
        <v>1809</v>
      </c>
      <c r="O970" t="s">
        <v>389</v>
      </c>
      <c r="P970" t="s">
        <v>12</v>
      </c>
    </row>
    <row r="971" spans="1:16" x14ac:dyDescent="0.25">
      <c r="A971" t="s">
        <v>0</v>
      </c>
      <c r="B971" s="2">
        <v>44757</v>
      </c>
      <c r="C971" s="5" t="s">
        <v>72</v>
      </c>
      <c r="D971" t="s">
        <v>384</v>
      </c>
      <c r="E971" t="s">
        <v>385</v>
      </c>
      <c r="F971" t="s">
        <v>4</v>
      </c>
      <c r="G971" t="s">
        <v>5</v>
      </c>
      <c r="H971" s="3">
        <v>100.8</v>
      </c>
      <c r="I971" t="s">
        <v>1936</v>
      </c>
      <c r="J971" t="s">
        <v>387</v>
      </c>
      <c r="K971" t="s">
        <v>8</v>
      </c>
      <c r="L971" t="s">
        <v>8</v>
      </c>
      <c r="M971" t="s">
        <v>8</v>
      </c>
      <c r="N971" t="s">
        <v>738</v>
      </c>
      <c r="O971" t="s">
        <v>389</v>
      </c>
      <c r="P971" t="s">
        <v>22</v>
      </c>
    </row>
    <row r="972" spans="1:16" x14ac:dyDescent="0.25">
      <c r="A972" t="s">
        <v>0</v>
      </c>
      <c r="B972" s="2">
        <v>44757</v>
      </c>
      <c r="C972" s="5" t="s">
        <v>72</v>
      </c>
      <c r="D972" t="s">
        <v>1597</v>
      </c>
      <c r="E972" t="s">
        <v>1598</v>
      </c>
      <c r="F972" t="s">
        <v>4</v>
      </c>
      <c r="G972" t="s">
        <v>5</v>
      </c>
      <c r="H972" s="3">
        <v>95.98</v>
      </c>
      <c r="I972" t="s">
        <v>1753</v>
      </c>
      <c r="J972" t="s">
        <v>387</v>
      </c>
      <c r="K972" t="s">
        <v>8</v>
      </c>
      <c r="L972" t="s">
        <v>8</v>
      </c>
      <c r="M972" t="s">
        <v>8</v>
      </c>
      <c r="N972" t="s">
        <v>738</v>
      </c>
      <c r="O972" t="s">
        <v>389</v>
      </c>
      <c r="P972" t="s">
        <v>87</v>
      </c>
    </row>
    <row r="973" spans="1:16" x14ac:dyDescent="0.25">
      <c r="A973" t="s">
        <v>0</v>
      </c>
      <c r="B973" s="2">
        <v>44757</v>
      </c>
      <c r="C973" s="5" t="s">
        <v>72</v>
      </c>
      <c r="D973" t="s">
        <v>384</v>
      </c>
      <c r="E973" t="s">
        <v>385</v>
      </c>
      <c r="F973" t="s">
        <v>4</v>
      </c>
      <c r="G973" t="s">
        <v>5</v>
      </c>
      <c r="H973" s="3">
        <v>40</v>
      </c>
      <c r="I973" t="s">
        <v>2070</v>
      </c>
      <c r="J973" t="s">
        <v>387</v>
      </c>
      <c r="K973" t="s">
        <v>8</v>
      </c>
      <c r="L973" t="s">
        <v>8</v>
      </c>
      <c r="M973" t="s">
        <v>8</v>
      </c>
      <c r="N973" t="s">
        <v>738</v>
      </c>
      <c r="O973" t="s">
        <v>389</v>
      </c>
      <c r="P973" t="s">
        <v>17</v>
      </c>
    </row>
    <row r="974" spans="1:16" x14ac:dyDescent="0.25">
      <c r="A974" t="s">
        <v>0</v>
      </c>
      <c r="B974" s="2">
        <v>44761</v>
      </c>
      <c r="C974" s="5" t="s">
        <v>72</v>
      </c>
      <c r="D974" t="s">
        <v>591</v>
      </c>
      <c r="E974" t="s">
        <v>592</v>
      </c>
      <c r="F974" t="s">
        <v>4</v>
      </c>
      <c r="G974" t="s">
        <v>5</v>
      </c>
      <c r="H974" s="3">
        <v>5453.12</v>
      </c>
      <c r="I974" t="s">
        <v>656</v>
      </c>
      <c r="J974" t="s">
        <v>460</v>
      </c>
      <c r="K974" t="s">
        <v>8</v>
      </c>
      <c r="L974" t="s">
        <v>8</v>
      </c>
      <c r="M974" t="s">
        <v>8</v>
      </c>
      <c r="N974" t="s">
        <v>657</v>
      </c>
      <c r="O974" t="s">
        <v>34</v>
      </c>
      <c r="P974" t="s">
        <v>1</v>
      </c>
    </row>
    <row r="975" spans="1:16" x14ac:dyDescent="0.25">
      <c r="A975" t="s">
        <v>0</v>
      </c>
      <c r="B975" s="2">
        <v>44761</v>
      </c>
      <c r="C975" s="5" t="s">
        <v>72</v>
      </c>
      <c r="D975" t="s">
        <v>390</v>
      </c>
      <c r="E975" t="s">
        <v>391</v>
      </c>
      <c r="F975" t="s">
        <v>4</v>
      </c>
      <c r="G975" t="s">
        <v>5</v>
      </c>
      <c r="H975" s="3">
        <v>1550</v>
      </c>
      <c r="I975" t="s">
        <v>1082</v>
      </c>
      <c r="J975" t="s">
        <v>1076</v>
      </c>
      <c r="K975" t="s">
        <v>8</v>
      </c>
      <c r="L975" t="s">
        <v>1083</v>
      </c>
      <c r="M975" t="s">
        <v>8</v>
      </c>
      <c r="N975" t="s">
        <v>1084</v>
      </c>
      <c r="O975" t="s">
        <v>16</v>
      </c>
      <c r="P975" t="s">
        <v>82</v>
      </c>
    </row>
    <row r="976" spans="1:16" x14ac:dyDescent="0.25">
      <c r="A976" t="s">
        <v>0</v>
      </c>
      <c r="B976" s="2">
        <v>44761</v>
      </c>
      <c r="C976" s="5" t="s">
        <v>72</v>
      </c>
      <c r="D976" t="s">
        <v>390</v>
      </c>
      <c r="E976" t="s">
        <v>391</v>
      </c>
      <c r="F976" t="s">
        <v>4</v>
      </c>
      <c r="G976" t="s">
        <v>5</v>
      </c>
      <c r="H976" s="3">
        <v>152</v>
      </c>
      <c r="I976" t="s">
        <v>1843</v>
      </c>
      <c r="J976" t="s">
        <v>1076</v>
      </c>
      <c r="K976" t="s">
        <v>8</v>
      </c>
      <c r="L976" t="s">
        <v>1083</v>
      </c>
      <c r="M976" t="s">
        <v>8</v>
      </c>
      <c r="N976" t="s">
        <v>1084</v>
      </c>
      <c r="O976" t="s">
        <v>16</v>
      </c>
      <c r="P976" t="s">
        <v>246</v>
      </c>
    </row>
    <row r="977" spans="1:16" x14ac:dyDescent="0.25">
      <c r="A977" t="s">
        <v>0</v>
      </c>
      <c r="B977" s="2">
        <v>44762</v>
      </c>
      <c r="C977" s="5" t="s">
        <v>72</v>
      </c>
      <c r="D977" t="s">
        <v>1201</v>
      </c>
      <c r="E977" t="s">
        <v>1202</v>
      </c>
      <c r="F977" t="s">
        <v>4</v>
      </c>
      <c r="G977" t="s">
        <v>5</v>
      </c>
      <c r="H977" s="3">
        <v>301</v>
      </c>
      <c r="I977" t="s">
        <v>1694</v>
      </c>
      <c r="J977" t="s">
        <v>1695</v>
      </c>
      <c r="K977" t="s">
        <v>8</v>
      </c>
      <c r="L977" t="s">
        <v>8</v>
      </c>
      <c r="M977" t="s">
        <v>8</v>
      </c>
      <c r="N977" t="s">
        <v>1696</v>
      </c>
      <c r="O977" t="s">
        <v>389</v>
      </c>
      <c r="P977" t="s">
        <v>1</v>
      </c>
    </row>
    <row r="978" spans="1:16" x14ac:dyDescent="0.25">
      <c r="A978" t="s">
        <v>0</v>
      </c>
      <c r="B978" s="2">
        <v>44762</v>
      </c>
      <c r="C978" s="5" t="s">
        <v>72</v>
      </c>
      <c r="D978" t="s">
        <v>1597</v>
      </c>
      <c r="E978" t="s">
        <v>1598</v>
      </c>
      <c r="F978" t="s">
        <v>4</v>
      </c>
      <c r="G978" t="s">
        <v>5</v>
      </c>
      <c r="H978" s="3">
        <v>122.5</v>
      </c>
      <c r="I978" t="s">
        <v>1890</v>
      </c>
      <c r="J978" t="s">
        <v>1695</v>
      </c>
      <c r="K978" t="s">
        <v>8</v>
      </c>
      <c r="L978" t="s">
        <v>8</v>
      </c>
      <c r="M978" t="s">
        <v>8</v>
      </c>
      <c r="N978" t="s">
        <v>1696</v>
      </c>
      <c r="O978" t="s">
        <v>389</v>
      </c>
      <c r="P978" t="s">
        <v>12</v>
      </c>
    </row>
    <row r="979" spans="1:16" x14ac:dyDescent="0.25">
      <c r="A979" t="s">
        <v>0</v>
      </c>
      <c r="B979" s="2">
        <v>44762</v>
      </c>
      <c r="C979" s="5" t="s">
        <v>72</v>
      </c>
      <c r="D979" t="s">
        <v>1597</v>
      </c>
      <c r="E979" t="s">
        <v>1598</v>
      </c>
      <c r="F979" t="s">
        <v>4</v>
      </c>
      <c r="G979" t="s">
        <v>5</v>
      </c>
      <c r="H979" s="3">
        <v>30.5</v>
      </c>
      <c r="I979" t="s">
        <v>1890</v>
      </c>
      <c r="J979" t="s">
        <v>1695</v>
      </c>
      <c r="K979" t="s">
        <v>8</v>
      </c>
      <c r="L979" t="s">
        <v>8</v>
      </c>
      <c r="M979" t="s">
        <v>8</v>
      </c>
      <c r="N979" t="s">
        <v>1696</v>
      </c>
      <c r="O979" t="s">
        <v>389</v>
      </c>
      <c r="P979" t="s">
        <v>17</v>
      </c>
    </row>
    <row r="980" spans="1:16" x14ac:dyDescent="0.25">
      <c r="A980" t="s">
        <v>0</v>
      </c>
      <c r="B980" s="2">
        <v>44763</v>
      </c>
      <c r="C980" s="5" t="s">
        <v>72</v>
      </c>
      <c r="D980" t="s">
        <v>390</v>
      </c>
      <c r="E980" t="s">
        <v>391</v>
      </c>
      <c r="F980" t="s">
        <v>4</v>
      </c>
      <c r="G980" t="s">
        <v>5</v>
      </c>
      <c r="H980" s="3">
        <v>3204.06</v>
      </c>
      <c r="I980" t="s">
        <v>808</v>
      </c>
      <c r="J980" t="s">
        <v>809</v>
      </c>
      <c r="K980" t="s">
        <v>8</v>
      </c>
      <c r="L980" t="s">
        <v>817</v>
      </c>
      <c r="M980" t="s">
        <v>8</v>
      </c>
      <c r="N980" t="s">
        <v>818</v>
      </c>
      <c r="O980" t="s">
        <v>16</v>
      </c>
      <c r="P980" t="s">
        <v>1</v>
      </c>
    </row>
    <row r="981" spans="1:16" x14ac:dyDescent="0.25">
      <c r="A981" t="s">
        <v>0</v>
      </c>
      <c r="B981" s="2">
        <v>44763</v>
      </c>
      <c r="C981" s="5" t="s">
        <v>72</v>
      </c>
      <c r="D981" t="s">
        <v>1992</v>
      </c>
      <c r="E981" t="s">
        <v>1993</v>
      </c>
      <c r="F981" t="s">
        <v>4</v>
      </c>
      <c r="G981" t="s">
        <v>5</v>
      </c>
      <c r="H981" s="3">
        <v>69.03</v>
      </c>
      <c r="I981" t="s">
        <v>1991</v>
      </c>
      <c r="J981" t="s">
        <v>809</v>
      </c>
      <c r="K981" t="s">
        <v>8</v>
      </c>
      <c r="L981" t="s">
        <v>817</v>
      </c>
      <c r="M981" t="s">
        <v>8</v>
      </c>
      <c r="N981" t="s">
        <v>818</v>
      </c>
      <c r="O981" t="s">
        <v>16</v>
      </c>
      <c r="P981" t="s">
        <v>1304</v>
      </c>
    </row>
    <row r="982" spans="1:16" x14ac:dyDescent="0.25">
      <c r="A982" t="s">
        <v>0</v>
      </c>
      <c r="B982" s="2">
        <v>44768</v>
      </c>
      <c r="C982" s="5" t="s">
        <v>72</v>
      </c>
      <c r="D982" t="s">
        <v>294</v>
      </c>
      <c r="E982" t="s">
        <v>295</v>
      </c>
      <c r="F982" t="s">
        <v>4</v>
      </c>
      <c r="G982" t="s">
        <v>5</v>
      </c>
      <c r="H982" s="3">
        <v>5145.2299999999996</v>
      </c>
      <c r="I982" t="s">
        <v>690</v>
      </c>
      <c r="J982" t="s">
        <v>297</v>
      </c>
      <c r="K982" t="s">
        <v>8</v>
      </c>
      <c r="L982" t="s">
        <v>691</v>
      </c>
      <c r="M982" t="s">
        <v>8</v>
      </c>
      <c r="N982" t="s">
        <v>692</v>
      </c>
      <c r="O982" t="s">
        <v>300</v>
      </c>
      <c r="P982" t="s">
        <v>43</v>
      </c>
    </row>
    <row r="983" spans="1:16" x14ac:dyDescent="0.25">
      <c r="A983" t="s">
        <v>0</v>
      </c>
      <c r="B983" s="2">
        <v>44768</v>
      </c>
      <c r="C983" s="5" t="s">
        <v>72</v>
      </c>
      <c r="D983" t="s">
        <v>152</v>
      </c>
      <c r="E983" t="s">
        <v>153</v>
      </c>
      <c r="F983" t="s">
        <v>4</v>
      </c>
      <c r="G983" t="s">
        <v>5</v>
      </c>
      <c r="H983" s="3">
        <v>834.66</v>
      </c>
      <c r="I983" t="s">
        <v>1299</v>
      </c>
      <c r="J983" t="s">
        <v>153</v>
      </c>
      <c r="K983" t="s">
        <v>8</v>
      </c>
      <c r="L983" t="s">
        <v>8</v>
      </c>
      <c r="M983" t="s">
        <v>8</v>
      </c>
      <c r="N983" t="s">
        <v>1300</v>
      </c>
      <c r="O983" t="s">
        <v>1054</v>
      </c>
      <c r="P983" t="s">
        <v>733</v>
      </c>
    </row>
    <row r="984" spans="1:16" x14ac:dyDescent="0.25">
      <c r="A984" t="s">
        <v>0</v>
      </c>
      <c r="B984" s="2">
        <v>44768</v>
      </c>
      <c r="C984" s="5" t="s">
        <v>72</v>
      </c>
      <c r="D984" t="s">
        <v>1207</v>
      </c>
      <c r="E984" t="s">
        <v>1208</v>
      </c>
      <c r="F984" t="s">
        <v>4</v>
      </c>
      <c r="G984" t="s">
        <v>5</v>
      </c>
      <c r="H984" s="3">
        <v>720.47</v>
      </c>
      <c r="I984" t="s">
        <v>1368</v>
      </c>
      <c r="J984" t="s">
        <v>153</v>
      </c>
      <c r="K984" t="s">
        <v>8</v>
      </c>
      <c r="L984" t="s">
        <v>8</v>
      </c>
      <c r="M984" t="s">
        <v>8</v>
      </c>
      <c r="N984" t="s">
        <v>1300</v>
      </c>
      <c r="O984" t="s">
        <v>1054</v>
      </c>
      <c r="P984" t="s">
        <v>30</v>
      </c>
    </row>
    <row r="985" spans="1:16" x14ac:dyDescent="0.25">
      <c r="A985" t="s">
        <v>0</v>
      </c>
      <c r="B985" s="2">
        <v>44769</v>
      </c>
      <c r="C985" t="s">
        <v>72</v>
      </c>
      <c r="D985" t="s">
        <v>63</v>
      </c>
      <c r="E985" t="s">
        <v>64</v>
      </c>
      <c r="F985" t="s">
        <v>4</v>
      </c>
      <c r="G985" t="s">
        <v>5</v>
      </c>
      <c r="H985" s="3">
        <v>109760.44</v>
      </c>
      <c r="I985" t="s">
        <v>65</v>
      </c>
      <c r="J985" t="s">
        <v>55</v>
      </c>
      <c r="K985" t="s">
        <v>8</v>
      </c>
      <c r="L985" t="s">
        <v>8</v>
      </c>
      <c r="M985" t="s">
        <v>8</v>
      </c>
      <c r="N985" t="s">
        <v>73</v>
      </c>
      <c r="O985" t="s">
        <v>57</v>
      </c>
      <c r="P985" t="s">
        <v>74</v>
      </c>
    </row>
    <row r="986" spans="1:16" x14ac:dyDescent="0.25">
      <c r="A986" t="s">
        <v>0</v>
      </c>
      <c r="B986" s="2">
        <v>44769</v>
      </c>
      <c r="C986" t="s">
        <v>72</v>
      </c>
      <c r="D986" t="s">
        <v>63</v>
      </c>
      <c r="E986" t="s">
        <v>64</v>
      </c>
      <c r="F986" t="s">
        <v>4</v>
      </c>
      <c r="G986" t="s">
        <v>5</v>
      </c>
      <c r="H986" s="3">
        <v>58639.66</v>
      </c>
      <c r="I986" t="s">
        <v>114</v>
      </c>
      <c r="J986" t="s">
        <v>55</v>
      </c>
      <c r="K986" t="s">
        <v>8</v>
      </c>
      <c r="L986" t="s">
        <v>8</v>
      </c>
      <c r="M986" t="s">
        <v>8</v>
      </c>
      <c r="N986" t="s">
        <v>73</v>
      </c>
      <c r="O986" t="s">
        <v>57</v>
      </c>
      <c r="P986" t="s">
        <v>148</v>
      </c>
    </row>
    <row r="987" spans="1:16" x14ac:dyDescent="0.25">
      <c r="A987" t="s">
        <v>0</v>
      </c>
      <c r="B987" s="2">
        <v>44769</v>
      </c>
      <c r="C987" t="s">
        <v>72</v>
      </c>
      <c r="D987" t="s">
        <v>122</v>
      </c>
      <c r="E987" t="s">
        <v>123</v>
      </c>
      <c r="F987" t="s">
        <v>4</v>
      </c>
      <c r="G987" t="s">
        <v>5</v>
      </c>
      <c r="H987" s="3">
        <v>44149.64</v>
      </c>
      <c r="I987" t="s">
        <v>124</v>
      </c>
      <c r="J987" t="s">
        <v>55</v>
      </c>
      <c r="K987" t="s">
        <v>8</v>
      </c>
      <c r="L987" t="s">
        <v>8</v>
      </c>
      <c r="M987" t="s">
        <v>8</v>
      </c>
      <c r="N987" t="s">
        <v>73</v>
      </c>
      <c r="O987" t="s">
        <v>57</v>
      </c>
      <c r="P987" t="s">
        <v>167</v>
      </c>
    </row>
    <row r="988" spans="1:16" x14ac:dyDescent="0.25">
      <c r="A988" t="s">
        <v>0</v>
      </c>
      <c r="B988" s="2">
        <v>44769</v>
      </c>
      <c r="C988" t="s">
        <v>72</v>
      </c>
      <c r="D988" t="s">
        <v>173</v>
      </c>
      <c r="E988" t="s">
        <v>174</v>
      </c>
      <c r="F988" t="s">
        <v>4</v>
      </c>
      <c r="G988" t="s">
        <v>5</v>
      </c>
      <c r="H988" s="3">
        <v>26040.959999999999</v>
      </c>
      <c r="I988" t="s">
        <v>175</v>
      </c>
      <c r="J988" t="s">
        <v>55</v>
      </c>
      <c r="K988" t="s">
        <v>8</v>
      </c>
      <c r="L988" t="s">
        <v>8</v>
      </c>
      <c r="M988" t="s">
        <v>8</v>
      </c>
      <c r="N988" t="s">
        <v>73</v>
      </c>
      <c r="O988" t="s">
        <v>57</v>
      </c>
      <c r="P988" t="s">
        <v>226</v>
      </c>
    </row>
    <row r="989" spans="1:16" x14ac:dyDescent="0.25">
      <c r="A989" t="s">
        <v>0</v>
      </c>
      <c r="B989" s="2">
        <v>44769</v>
      </c>
      <c r="C989" t="s">
        <v>72</v>
      </c>
      <c r="D989" t="s">
        <v>169</v>
      </c>
      <c r="E989" t="s">
        <v>170</v>
      </c>
      <c r="F989" t="s">
        <v>4</v>
      </c>
      <c r="G989" t="s">
        <v>5</v>
      </c>
      <c r="H989" s="3">
        <v>22278.35</v>
      </c>
      <c r="I989" t="s">
        <v>171</v>
      </c>
      <c r="J989" t="s">
        <v>55</v>
      </c>
      <c r="K989" t="s">
        <v>8</v>
      </c>
      <c r="L989" t="s">
        <v>8</v>
      </c>
      <c r="M989" t="s">
        <v>8</v>
      </c>
      <c r="N989" t="s">
        <v>73</v>
      </c>
      <c r="O989" t="s">
        <v>57</v>
      </c>
      <c r="P989" t="s">
        <v>165</v>
      </c>
    </row>
    <row r="990" spans="1:16" x14ac:dyDescent="0.25">
      <c r="A990" t="s">
        <v>0</v>
      </c>
      <c r="B990" s="2">
        <v>44769</v>
      </c>
      <c r="C990" t="s">
        <v>72</v>
      </c>
      <c r="D990" t="s">
        <v>273</v>
      </c>
      <c r="E990" t="s">
        <v>274</v>
      </c>
      <c r="F990" t="s">
        <v>4</v>
      </c>
      <c r="G990" t="s">
        <v>5</v>
      </c>
      <c r="H990" s="3">
        <v>18539</v>
      </c>
      <c r="I990" t="s">
        <v>275</v>
      </c>
      <c r="J990" t="s">
        <v>55</v>
      </c>
      <c r="K990" t="s">
        <v>8</v>
      </c>
      <c r="L990" t="s">
        <v>8</v>
      </c>
      <c r="M990" t="s">
        <v>8</v>
      </c>
      <c r="N990" t="s">
        <v>73</v>
      </c>
      <c r="O990" t="s">
        <v>57</v>
      </c>
      <c r="P990" t="s">
        <v>310</v>
      </c>
    </row>
    <row r="991" spans="1:16" x14ac:dyDescent="0.25">
      <c r="A991" t="s">
        <v>0</v>
      </c>
      <c r="B991" s="2">
        <v>44769</v>
      </c>
      <c r="C991" t="s">
        <v>72</v>
      </c>
      <c r="D991" t="s">
        <v>59</v>
      </c>
      <c r="E991" t="s">
        <v>60</v>
      </c>
      <c r="F991" t="s">
        <v>4</v>
      </c>
      <c r="G991" t="s">
        <v>5</v>
      </c>
      <c r="H991" s="3">
        <v>15559.34</v>
      </c>
      <c r="I991" t="s">
        <v>61</v>
      </c>
      <c r="J991" t="s">
        <v>55</v>
      </c>
      <c r="K991" t="s">
        <v>8</v>
      </c>
      <c r="L991" t="s">
        <v>8</v>
      </c>
      <c r="M991" t="s">
        <v>8</v>
      </c>
      <c r="N991" t="s">
        <v>73</v>
      </c>
      <c r="O991" t="s">
        <v>57</v>
      </c>
      <c r="P991" t="s">
        <v>329</v>
      </c>
    </row>
    <row r="992" spans="1:16" x14ac:dyDescent="0.25">
      <c r="A992" t="s">
        <v>0</v>
      </c>
      <c r="B992" s="2">
        <v>44769</v>
      </c>
      <c r="C992" s="5" t="s">
        <v>72</v>
      </c>
      <c r="D992" t="s">
        <v>507</v>
      </c>
      <c r="E992" t="s">
        <v>508</v>
      </c>
      <c r="F992" t="s">
        <v>4</v>
      </c>
      <c r="G992" t="s">
        <v>5</v>
      </c>
      <c r="H992" s="3">
        <v>7749.51</v>
      </c>
      <c r="I992" t="s">
        <v>509</v>
      </c>
      <c r="J992" t="s">
        <v>55</v>
      </c>
      <c r="K992" t="s">
        <v>8</v>
      </c>
      <c r="L992" t="s">
        <v>8</v>
      </c>
      <c r="M992" t="s">
        <v>8</v>
      </c>
      <c r="N992" t="s">
        <v>73</v>
      </c>
      <c r="O992" t="s">
        <v>57</v>
      </c>
      <c r="P992" t="s">
        <v>570</v>
      </c>
    </row>
    <row r="993" spans="1:16" x14ac:dyDescent="0.25">
      <c r="A993" t="s">
        <v>0</v>
      </c>
      <c r="B993" s="2">
        <v>44769</v>
      </c>
      <c r="C993" s="5" t="s">
        <v>72</v>
      </c>
      <c r="D993" t="s">
        <v>380</v>
      </c>
      <c r="E993" t="s">
        <v>381</v>
      </c>
      <c r="F993" t="s">
        <v>4</v>
      </c>
      <c r="G993" t="s">
        <v>5</v>
      </c>
      <c r="H993" s="3">
        <v>6868.41</v>
      </c>
      <c r="I993" t="s">
        <v>382</v>
      </c>
      <c r="J993" t="s">
        <v>55</v>
      </c>
      <c r="K993" t="s">
        <v>8</v>
      </c>
      <c r="L993" t="s">
        <v>8</v>
      </c>
      <c r="M993" t="s">
        <v>8</v>
      </c>
      <c r="N993" t="s">
        <v>73</v>
      </c>
      <c r="O993" t="s">
        <v>57</v>
      </c>
      <c r="P993" t="s">
        <v>581</v>
      </c>
    </row>
    <row r="994" spans="1:16" x14ac:dyDescent="0.25">
      <c r="A994" t="s">
        <v>0</v>
      </c>
      <c r="B994" s="2">
        <v>44769</v>
      </c>
      <c r="C994" s="5" t="s">
        <v>72</v>
      </c>
      <c r="D994" t="s">
        <v>534</v>
      </c>
      <c r="E994" t="s">
        <v>535</v>
      </c>
      <c r="F994" t="s">
        <v>4</v>
      </c>
      <c r="G994" t="s">
        <v>5</v>
      </c>
      <c r="H994" s="3">
        <v>6809.3</v>
      </c>
      <c r="I994" t="s">
        <v>536</v>
      </c>
      <c r="J994" t="s">
        <v>55</v>
      </c>
      <c r="K994" t="s">
        <v>8</v>
      </c>
      <c r="L994" t="s">
        <v>8</v>
      </c>
      <c r="M994" t="s">
        <v>8</v>
      </c>
      <c r="N994" t="s">
        <v>73</v>
      </c>
      <c r="O994" t="s">
        <v>57</v>
      </c>
      <c r="P994" t="s">
        <v>214</v>
      </c>
    </row>
    <row r="995" spans="1:16" x14ac:dyDescent="0.25">
      <c r="A995" t="s">
        <v>0</v>
      </c>
      <c r="B995" s="2">
        <v>44769</v>
      </c>
      <c r="C995" s="5" t="s">
        <v>72</v>
      </c>
      <c r="D995" t="s">
        <v>514</v>
      </c>
      <c r="E995" t="s">
        <v>515</v>
      </c>
      <c r="F995" t="s">
        <v>4</v>
      </c>
      <c r="G995" t="s">
        <v>5</v>
      </c>
      <c r="H995" s="3">
        <v>6424.13</v>
      </c>
      <c r="I995" t="s">
        <v>516</v>
      </c>
      <c r="J995" t="s">
        <v>55</v>
      </c>
      <c r="K995" t="s">
        <v>8</v>
      </c>
      <c r="L995" t="s">
        <v>8</v>
      </c>
      <c r="M995" t="s">
        <v>8</v>
      </c>
      <c r="N995" t="s">
        <v>73</v>
      </c>
      <c r="O995" t="s">
        <v>57</v>
      </c>
      <c r="P995" t="s">
        <v>613</v>
      </c>
    </row>
    <row r="996" spans="1:16" x14ac:dyDescent="0.25">
      <c r="A996" t="s">
        <v>0</v>
      </c>
      <c r="B996" s="2">
        <v>44769</v>
      </c>
      <c r="C996" s="5" t="s">
        <v>72</v>
      </c>
      <c r="D996" t="s">
        <v>122</v>
      </c>
      <c r="E996" t="s">
        <v>123</v>
      </c>
      <c r="F996" t="s">
        <v>4</v>
      </c>
      <c r="G996" t="s">
        <v>5</v>
      </c>
      <c r="H996" s="3">
        <v>6418.23</v>
      </c>
      <c r="I996" t="s">
        <v>397</v>
      </c>
      <c r="J996" t="s">
        <v>55</v>
      </c>
      <c r="K996" t="s">
        <v>8</v>
      </c>
      <c r="L996" t="s">
        <v>8</v>
      </c>
      <c r="M996" t="s">
        <v>8</v>
      </c>
      <c r="N996" t="s">
        <v>73</v>
      </c>
      <c r="O996" t="s">
        <v>57</v>
      </c>
      <c r="P996" t="s">
        <v>125</v>
      </c>
    </row>
    <row r="997" spans="1:16" x14ac:dyDescent="0.25">
      <c r="A997" t="s">
        <v>0</v>
      </c>
      <c r="B997" s="2">
        <v>44769</v>
      </c>
      <c r="C997" s="5" t="s">
        <v>72</v>
      </c>
      <c r="D997" t="s">
        <v>624</v>
      </c>
      <c r="E997" t="s">
        <v>625</v>
      </c>
      <c r="F997" t="s">
        <v>4</v>
      </c>
      <c r="G997" t="s">
        <v>5</v>
      </c>
      <c r="H997" s="3">
        <v>5715.28</v>
      </c>
      <c r="I997" t="s">
        <v>626</v>
      </c>
      <c r="J997" t="s">
        <v>55</v>
      </c>
      <c r="K997" t="s">
        <v>8</v>
      </c>
      <c r="L997" t="s">
        <v>8</v>
      </c>
      <c r="M997" t="s">
        <v>8</v>
      </c>
      <c r="N997" t="s">
        <v>73</v>
      </c>
      <c r="O997" t="s">
        <v>57</v>
      </c>
      <c r="P997" t="s">
        <v>183</v>
      </c>
    </row>
    <row r="998" spans="1:16" x14ac:dyDescent="0.25">
      <c r="A998" t="s">
        <v>0</v>
      </c>
      <c r="B998" s="2">
        <v>44769</v>
      </c>
      <c r="C998" s="5" t="s">
        <v>72</v>
      </c>
      <c r="D998" t="s">
        <v>169</v>
      </c>
      <c r="E998" t="s">
        <v>170</v>
      </c>
      <c r="F998" t="s">
        <v>4</v>
      </c>
      <c r="G998" t="s">
        <v>5</v>
      </c>
      <c r="H998" s="3">
        <v>4382.6099999999997</v>
      </c>
      <c r="I998" t="s">
        <v>213</v>
      </c>
      <c r="J998" t="s">
        <v>55</v>
      </c>
      <c r="K998" t="s">
        <v>8</v>
      </c>
      <c r="L998" t="s">
        <v>8</v>
      </c>
      <c r="M998" t="s">
        <v>8</v>
      </c>
      <c r="N998" t="s">
        <v>73</v>
      </c>
      <c r="O998" t="s">
        <v>57</v>
      </c>
      <c r="P998" t="s">
        <v>71</v>
      </c>
    </row>
    <row r="999" spans="1:16" x14ac:dyDescent="0.25">
      <c r="A999" t="s">
        <v>0</v>
      </c>
      <c r="B999" s="2">
        <v>44769</v>
      </c>
      <c r="C999" s="5" t="s">
        <v>72</v>
      </c>
      <c r="D999" t="s">
        <v>591</v>
      </c>
      <c r="E999" t="s">
        <v>592</v>
      </c>
      <c r="F999" t="s">
        <v>4</v>
      </c>
      <c r="G999" t="s">
        <v>5</v>
      </c>
      <c r="H999" s="3">
        <v>3920</v>
      </c>
      <c r="I999" t="s">
        <v>749</v>
      </c>
      <c r="J999" t="s">
        <v>750</v>
      </c>
      <c r="K999" t="s">
        <v>8</v>
      </c>
      <c r="L999" t="s">
        <v>751</v>
      </c>
      <c r="M999" t="s">
        <v>8</v>
      </c>
      <c r="N999" t="s">
        <v>752</v>
      </c>
      <c r="O999" t="s">
        <v>34</v>
      </c>
      <c r="P999" t="s">
        <v>1</v>
      </c>
    </row>
    <row r="1000" spans="1:16" x14ac:dyDescent="0.25">
      <c r="A1000" t="s">
        <v>0</v>
      </c>
      <c r="B1000" s="2">
        <v>44769</v>
      </c>
      <c r="C1000" s="5" t="s">
        <v>72</v>
      </c>
      <c r="D1000" t="s">
        <v>769</v>
      </c>
      <c r="E1000" t="s">
        <v>770</v>
      </c>
      <c r="F1000" t="s">
        <v>4</v>
      </c>
      <c r="G1000" t="s">
        <v>5</v>
      </c>
      <c r="H1000" s="3">
        <v>2983.26</v>
      </c>
      <c r="I1000" t="s">
        <v>771</v>
      </c>
      <c r="J1000" t="s">
        <v>55</v>
      </c>
      <c r="K1000" t="s">
        <v>8</v>
      </c>
      <c r="L1000" t="s">
        <v>8</v>
      </c>
      <c r="M1000" t="s">
        <v>8</v>
      </c>
      <c r="N1000" t="s">
        <v>73</v>
      </c>
      <c r="O1000" t="s">
        <v>57</v>
      </c>
      <c r="P1000" t="s">
        <v>843</v>
      </c>
    </row>
    <row r="1001" spans="1:16" x14ac:dyDescent="0.25">
      <c r="A1001" t="s">
        <v>0</v>
      </c>
      <c r="B1001" s="2">
        <v>44769</v>
      </c>
      <c r="C1001" s="5" t="s">
        <v>72</v>
      </c>
      <c r="D1001" t="s">
        <v>822</v>
      </c>
      <c r="E1001" t="s">
        <v>823</v>
      </c>
      <c r="F1001" t="s">
        <v>4</v>
      </c>
      <c r="G1001" t="s">
        <v>5</v>
      </c>
      <c r="H1001" s="3">
        <v>2504.5500000000002</v>
      </c>
      <c r="I1001" t="s">
        <v>824</v>
      </c>
      <c r="J1001" t="s">
        <v>55</v>
      </c>
      <c r="K1001" t="s">
        <v>8</v>
      </c>
      <c r="L1001" t="s">
        <v>8</v>
      </c>
      <c r="M1001" t="s">
        <v>8</v>
      </c>
      <c r="N1001" t="s">
        <v>879</v>
      </c>
      <c r="O1001" t="s">
        <v>57</v>
      </c>
      <c r="P1001" t="s">
        <v>880</v>
      </c>
    </row>
    <row r="1002" spans="1:16" x14ac:dyDescent="0.25">
      <c r="A1002" t="s">
        <v>0</v>
      </c>
      <c r="B1002" s="2">
        <v>44769</v>
      </c>
      <c r="C1002" s="5" t="s">
        <v>72</v>
      </c>
      <c r="D1002" t="s">
        <v>954</v>
      </c>
      <c r="E1002" t="s">
        <v>955</v>
      </c>
      <c r="F1002" t="s">
        <v>4</v>
      </c>
      <c r="G1002" t="s">
        <v>5</v>
      </c>
      <c r="H1002" s="3">
        <v>2000</v>
      </c>
      <c r="I1002" t="s">
        <v>956</v>
      </c>
      <c r="J1002" t="s">
        <v>55</v>
      </c>
      <c r="K1002" t="s">
        <v>8</v>
      </c>
      <c r="L1002" t="s">
        <v>8</v>
      </c>
      <c r="M1002" t="s">
        <v>8</v>
      </c>
      <c r="N1002" t="s">
        <v>879</v>
      </c>
      <c r="O1002" t="s">
        <v>57</v>
      </c>
      <c r="P1002" t="s">
        <v>962</v>
      </c>
    </row>
    <row r="1003" spans="1:16" x14ac:dyDescent="0.25">
      <c r="A1003" t="s">
        <v>0</v>
      </c>
      <c r="B1003" s="2">
        <v>44769</v>
      </c>
      <c r="C1003" s="5" t="s">
        <v>72</v>
      </c>
      <c r="D1003" t="s">
        <v>514</v>
      </c>
      <c r="E1003" t="s">
        <v>515</v>
      </c>
      <c r="F1003" t="s">
        <v>4</v>
      </c>
      <c r="G1003" t="s">
        <v>5</v>
      </c>
      <c r="H1003" s="3">
        <v>1466.72</v>
      </c>
      <c r="I1003" t="s">
        <v>889</v>
      </c>
      <c r="J1003" t="s">
        <v>55</v>
      </c>
      <c r="K1003" t="s">
        <v>8</v>
      </c>
      <c r="L1003" t="s">
        <v>8</v>
      </c>
      <c r="M1003" t="s">
        <v>8</v>
      </c>
      <c r="N1003" t="s">
        <v>879</v>
      </c>
      <c r="O1003" t="s">
        <v>57</v>
      </c>
      <c r="P1003" t="s">
        <v>623</v>
      </c>
    </row>
    <row r="1004" spans="1:16" x14ac:dyDescent="0.25">
      <c r="A1004" t="s">
        <v>0</v>
      </c>
      <c r="B1004" s="2">
        <v>44769</v>
      </c>
      <c r="C1004" s="5" t="s">
        <v>72</v>
      </c>
      <c r="D1004" t="s">
        <v>881</v>
      </c>
      <c r="E1004" t="s">
        <v>882</v>
      </c>
      <c r="F1004" t="s">
        <v>4</v>
      </c>
      <c r="G1004" t="s">
        <v>5</v>
      </c>
      <c r="H1004" s="3">
        <v>1321</v>
      </c>
      <c r="I1004" t="s">
        <v>1065</v>
      </c>
      <c r="J1004" t="s">
        <v>55</v>
      </c>
      <c r="K1004" t="s">
        <v>8</v>
      </c>
      <c r="L1004" t="s">
        <v>8</v>
      </c>
      <c r="M1004" t="s">
        <v>8</v>
      </c>
      <c r="N1004" t="s">
        <v>73</v>
      </c>
      <c r="O1004" t="s">
        <v>57</v>
      </c>
      <c r="P1004" t="s">
        <v>58</v>
      </c>
    </row>
    <row r="1005" spans="1:16" x14ac:dyDescent="0.25">
      <c r="A1005" t="s">
        <v>0</v>
      </c>
      <c r="B1005" s="2">
        <v>44769</v>
      </c>
      <c r="C1005" s="5" t="s">
        <v>72</v>
      </c>
      <c r="D1005" t="s">
        <v>951</v>
      </c>
      <c r="E1005" t="s">
        <v>952</v>
      </c>
      <c r="F1005" t="s">
        <v>4</v>
      </c>
      <c r="G1005" t="s">
        <v>5</v>
      </c>
      <c r="H1005" s="3">
        <v>1274.6500000000001</v>
      </c>
      <c r="I1005" t="s">
        <v>953</v>
      </c>
      <c r="J1005" t="s">
        <v>55</v>
      </c>
      <c r="K1005" t="s">
        <v>8</v>
      </c>
      <c r="L1005" t="s">
        <v>8</v>
      </c>
      <c r="M1005" t="s">
        <v>8</v>
      </c>
      <c r="N1005" t="s">
        <v>73</v>
      </c>
      <c r="O1005" t="s">
        <v>57</v>
      </c>
      <c r="P1005" t="s">
        <v>1132</v>
      </c>
    </row>
    <row r="1006" spans="1:16" x14ac:dyDescent="0.25">
      <c r="A1006" t="s">
        <v>0</v>
      </c>
      <c r="B1006" s="2">
        <v>44769</v>
      </c>
      <c r="C1006" s="5" t="s">
        <v>72</v>
      </c>
      <c r="D1006" t="s">
        <v>316</v>
      </c>
      <c r="E1006" t="s">
        <v>317</v>
      </c>
      <c r="F1006" t="s">
        <v>4</v>
      </c>
      <c r="G1006" t="s">
        <v>5</v>
      </c>
      <c r="H1006" s="3">
        <v>1000</v>
      </c>
      <c r="I1006" t="s">
        <v>318</v>
      </c>
      <c r="J1006" t="s">
        <v>55</v>
      </c>
      <c r="K1006" t="s">
        <v>8</v>
      </c>
      <c r="L1006" t="s">
        <v>8</v>
      </c>
      <c r="M1006" t="s">
        <v>8</v>
      </c>
      <c r="N1006" t="s">
        <v>73</v>
      </c>
      <c r="O1006" t="s">
        <v>57</v>
      </c>
      <c r="P1006" t="s">
        <v>655</v>
      </c>
    </row>
    <row r="1007" spans="1:16" x14ac:dyDescent="0.25">
      <c r="A1007" t="s">
        <v>0</v>
      </c>
      <c r="B1007" s="2">
        <v>44769</v>
      </c>
      <c r="C1007" s="5" t="s">
        <v>72</v>
      </c>
      <c r="D1007" t="s">
        <v>1184</v>
      </c>
      <c r="E1007" t="s">
        <v>1185</v>
      </c>
      <c r="F1007" t="s">
        <v>4</v>
      </c>
      <c r="G1007" t="s">
        <v>5</v>
      </c>
      <c r="H1007" s="3">
        <v>982.98</v>
      </c>
      <c r="I1007" t="s">
        <v>1186</v>
      </c>
      <c r="J1007" t="s">
        <v>55</v>
      </c>
      <c r="K1007" t="s">
        <v>8</v>
      </c>
      <c r="L1007" t="s">
        <v>8</v>
      </c>
      <c r="M1007" t="s">
        <v>8</v>
      </c>
      <c r="N1007" t="s">
        <v>73</v>
      </c>
      <c r="O1007" t="s">
        <v>57</v>
      </c>
      <c r="P1007" t="s">
        <v>351</v>
      </c>
    </row>
    <row r="1008" spans="1:16" x14ac:dyDescent="0.25">
      <c r="A1008" t="s">
        <v>0</v>
      </c>
      <c r="B1008" s="2">
        <v>44769</v>
      </c>
      <c r="C1008" s="5" t="s">
        <v>72</v>
      </c>
      <c r="D1008" t="s">
        <v>951</v>
      </c>
      <c r="E1008" t="s">
        <v>952</v>
      </c>
      <c r="F1008" t="s">
        <v>4</v>
      </c>
      <c r="G1008" t="s">
        <v>5</v>
      </c>
      <c r="H1008" s="3">
        <v>882.66</v>
      </c>
      <c r="I1008" t="s">
        <v>1178</v>
      </c>
      <c r="J1008" t="s">
        <v>55</v>
      </c>
      <c r="K1008" t="s">
        <v>8</v>
      </c>
      <c r="L1008" t="s">
        <v>8</v>
      </c>
      <c r="M1008" t="s">
        <v>8</v>
      </c>
      <c r="N1008" t="s">
        <v>879</v>
      </c>
      <c r="O1008" t="s">
        <v>57</v>
      </c>
      <c r="P1008" t="s">
        <v>1281</v>
      </c>
    </row>
    <row r="1009" spans="1:16" x14ac:dyDescent="0.25">
      <c r="A1009" t="s">
        <v>0</v>
      </c>
      <c r="B1009" s="2">
        <v>44769</v>
      </c>
      <c r="C1009" s="5" t="s">
        <v>72</v>
      </c>
      <c r="D1009" t="s">
        <v>951</v>
      </c>
      <c r="E1009" t="s">
        <v>952</v>
      </c>
      <c r="F1009" t="s">
        <v>4</v>
      </c>
      <c r="G1009" t="s">
        <v>5</v>
      </c>
      <c r="H1009" s="3">
        <v>468.18</v>
      </c>
      <c r="I1009" t="s">
        <v>1359</v>
      </c>
      <c r="J1009" t="s">
        <v>55</v>
      </c>
      <c r="K1009" t="s">
        <v>8</v>
      </c>
      <c r="L1009" t="s">
        <v>8</v>
      </c>
      <c r="M1009" t="s">
        <v>8</v>
      </c>
      <c r="N1009" t="s">
        <v>73</v>
      </c>
      <c r="O1009" t="s">
        <v>57</v>
      </c>
      <c r="P1009" t="s">
        <v>1005</v>
      </c>
    </row>
    <row r="1010" spans="1:16" x14ac:dyDescent="0.25">
      <c r="A1010" t="s">
        <v>0</v>
      </c>
      <c r="B1010" s="2">
        <v>44769</v>
      </c>
      <c r="C1010" s="5" t="s">
        <v>72</v>
      </c>
      <c r="D1010" t="s">
        <v>1506</v>
      </c>
      <c r="E1010" t="s">
        <v>1507</v>
      </c>
      <c r="F1010" t="s">
        <v>4</v>
      </c>
      <c r="G1010" t="s">
        <v>5</v>
      </c>
      <c r="H1010" s="3">
        <v>364.1</v>
      </c>
      <c r="I1010" t="s">
        <v>1508</v>
      </c>
      <c r="J1010" t="s">
        <v>55</v>
      </c>
      <c r="K1010" t="s">
        <v>8</v>
      </c>
      <c r="L1010" t="s">
        <v>8</v>
      </c>
      <c r="M1010" t="s">
        <v>8</v>
      </c>
      <c r="N1010" t="s">
        <v>879</v>
      </c>
      <c r="O1010" t="s">
        <v>57</v>
      </c>
      <c r="P1010" t="s">
        <v>304</v>
      </c>
    </row>
    <row r="1011" spans="1:16" x14ac:dyDescent="0.25">
      <c r="A1011" t="s">
        <v>0</v>
      </c>
      <c r="B1011" s="2">
        <v>44769</v>
      </c>
      <c r="C1011" s="5" t="s">
        <v>72</v>
      </c>
      <c r="D1011" t="s">
        <v>1506</v>
      </c>
      <c r="E1011" t="s">
        <v>1507</v>
      </c>
      <c r="F1011" t="s">
        <v>4</v>
      </c>
      <c r="G1011" t="s">
        <v>5</v>
      </c>
      <c r="H1011" s="3">
        <v>361.05</v>
      </c>
      <c r="I1011" t="s">
        <v>1601</v>
      </c>
      <c r="J1011" t="s">
        <v>55</v>
      </c>
      <c r="K1011" t="s">
        <v>8</v>
      </c>
      <c r="L1011" t="s">
        <v>8</v>
      </c>
      <c r="M1011" t="s">
        <v>8</v>
      </c>
      <c r="N1011" t="s">
        <v>73</v>
      </c>
      <c r="O1011" t="s">
        <v>57</v>
      </c>
      <c r="P1011" t="s">
        <v>324</v>
      </c>
    </row>
    <row r="1012" spans="1:16" x14ac:dyDescent="0.25">
      <c r="A1012" t="s">
        <v>0</v>
      </c>
      <c r="B1012" s="2">
        <v>44769</v>
      </c>
      <c r="C1012" s="5" t="s">
        <v>72</v>
      </c>
      <c r="D1012" t="s">
        <v>380</v>
      </c>
      <c r="E1012" t="s">
        <v>381</v>
      </c>
      <c r="F1012" t="s">
        <v>4</v>
      </c>
      <c r="G1012" t="s">
        <v>5</v>
      </c>
      <c r="H1012" s="3">
        <v>326.89999999999998</v>
      </c>
      <c r="I1012" t="s">
        <v>1587</v>
      </c>
      <c r="J1012" t="s">
        <v>55</v>
      </c>
      <c r="K1012" t="s">
        <v>8</v>
      </c>
      <c r="L1012" t="s">
        <v>8</v>
      </c>
      <c r="M1012" t="s">
        <v>8</v>
      </c>
      <c r="N1012" t="s">
        <v>879</v>
      </c>
      <c r="O1012" t="s">
        <v>57</v>
      </c>
      <c r="P1012" t="s">
        <v>1656</v>
      </c>
    </row>
    <row r="1013" spans="1:16" x14ac:dyDescent="0.25">
      <c r="A1013" t="s">
        <v>0</v>
      </c>
      <c r="B1013" s="2">
        <v>44769</v>
      </c>
      <c r="C1013" s="5" t="s">
        <v>72</v>
      </c>
      <c r="D1013" t="s">
        <v>1331</v>
      </c>
      <c r="E1013" t="s">
        <v>1332</v>
      </c>
      <c r="F1013" t="s">
        <v>4</v>
      </c>
      <c r="G1013" t="s">
        <v>5</v>
      </c>
      <c r="H1013" s="3">
        <v>231.11</v>
      </c>
      <c r="I1013" t="s">
        <v>1754</v>
      </c>
      <c r="J1013" t="s">
        <v>1334</v>
      </c>
      <c r="K1013" t="s">
        <v>8</v>
      </c>
      <c r="L1013" t="s">
        <v>1755</v>
      </c>
      <c r="M1013" t="s">
        <v>8</v>
      </c>
      <c r="N1013" t="s">
        <v>1756</v>
      </c>
      <c r="O1013" t="s">
        <v>16</v>
      </c>
      <c r="P1013" t="s">
        <v>43</v>
      </c>
    </row>
    <row r="1014" spans="1:16" x14ac:dyDescent="0.25">
      <c r="A1014" t="s">
        <v>0</v>
      </c>
      <c r="B1014" s="2">
        <v>44769</v>
      </c>
      <c r="C1014" s="5" t="s">
        <v>72</v>
      </c>
      <c r="D1014" t="s">
        <v>514</v>
      </c>
      <c r="E1014" t="s">
        <v>515</v>
      </c>
      <c r="F1014" t="s">
        <v>4</v>
      </c>
      <c r="G1014" t="s">
        <v>5</v>
      </c>
      <c r="H1014" s="3">
        <v>159.22</v>
      </c>
      <c r="I1014" t="s">
        <v>1220</v>
      </c>
      <c r="J1014" t="s">
        <v>55</v>
      </c>
      <c r="K1014" t="s">
        <v>8</v>
      </c>
      <c r="L1014" t="s">
        <v>8</v>
      </c>
      <c r="M1014" t="s">
        <v>8</v>
      </c>
      <c r="N1014" t="s">
        <v>73</v>
      </c>
      <c r="O1014" t="s">
        <v>57</v>
      </c>
      <c r="P1014" t="s">
        <v>1503</v>
      </c>
    </row>
    <row r="1015" spans="1:16" x14ac:dyDescent="0.25">
      <c r="A1015" t="s">
        <v>0</v>
      </c>
      <c r="B1015" s="2">
        <v>44769</v>
      </c>
      <c r="C1015" s="5" t="s">
        <v>72</v>
      </c>
      <c r="D1015" t="s">
        <v>624</v>
      </c>
      <c r="E1015" t="s">
        <v>625</v>
      </c>
      <c r="F1015" t="s">
        <v>4</v>
      </c>
      <c r="G1015" t="s">
        <v>5</v>
      </c>
      <c r="H1015" s="3">
        <v>74.099999999999994</v>
      </c>
      <c r="I1015" t="s">
        <v>1841</v>
      </c>
      <c r="J1015" t="s">
        <v>55</v>
      </c>
      <c r="K1015" t="s">
        <v>8</v>
      </c>
      <c r="L1015" t="s">
        <v>8</v>
      </c>
      <c r="M1015" t="s">
        <v>8</v>
      </c>
      <c r="N1015" t="s">
        <v>879</v>
      </c>
      <c r="O1015" t="s">
        <v>57</v>
      </c>
      <c r="P1015" t="s">
        <v>1978</v>
      </c>
    </row>
    <row r="1016" spans="1:16" x14ac:dyDescent="0.25">
      <c r="A1016" t="s">
        <v>0</v>
      </c>
      <c r="B1016" s="2">
        <v>44769</v>
      </c>
      <c r="C1016" s="5" t="s">
        <v>72</v>
      </c>
      <c r="D1016" t="s">
        <v>644</v>
      </c>
      <c r="E1016" t="s">
        <v>645</v>
      </c>
      <c r="F1016" t="s">
        <v>4</v>
      </c>
      <c r="G1016" t="s">
        <v>5</v>
      </c>
      <c r="H1016" s="3">
        <v>-26.61</v>
      </c>
      <c r="I1016" t="s">
        <v>2167</v>
      </c>
      <c r="J1016" t="s">
        <v>2165</v>
      </c>
      <c r="K1016" t="s">
        <v>8</v>
      </c>
      <c r="L1016" t="s">
        <v>8</v>
      </c>
      <c r="M1016" t="s">
        <v>8</v>
      </c>
      <c r="N1016" t="s">
        <v>879</v>
      </c>
      <c r="O1016" t="s">
        <v>57</v>
      </c>
      <c r="P1016" t="s">
        <v>2180</v>
      </c>
    </row>
    <row r="1017" spans="1:16" x14ac:dyDescent="0.25">
      <c r="A1017" t="s">
        <v>0</v>
      </c>
      <c r="B1017" s="2">
        <v>44769</v>
      </c>
      <c r="C1017" s="5" t="s">
        <v>72</v>
      </c>
      <c r="D1017" t="s">
        <v>881</v>
      </c>
      <c r="E1017" t="s">
        <v>882</v>
      </c>
      <c r="F1017" t="s">
        <v>4</v>
      </c>
      <c r="G1017" t="s">
        <v>5</v>
      </c>
      <c r="H1017" s="3">
        <v>-59.9</v>
      </c>
      <c r="I1017" t="s">
        <v>2183</v>
      </c>
      <c r="J1017" t="s">
        <v>2165</v>
      </c>
      <c r="K1017" t="s">
        <v>8</v>
      </c>
      <c r="L1017" t="s">
        <v>8</v>
      </c>
      <c r="M1017" t="s">
        <v>8</v>
      </c>
      <c r="N1017" t="s">
        <v>879</v>
      </c>
      <c r="O1017" t="s">
        <v>57</v>
      </c>
      <c r="P1017" t="s">
        <v>2184</v>
      </c>
    </row>
    <row r="1018" spans="1:16" x14ac:dyDescent="0.25">
      <c r="A1018" t="s">
        <v>0</v>
      </c>
      <c r="B1018" s="2">
        <v>44769</v>
      </c>
      <c r="C1018" s="5" t="s">
        <v>72</v>
      </c>
      <c r="D1018" t="s">
        <v>2191</v>
      </c>
      <c r="E1018" t="s">
        <v>2192</v>
      </c>
      <c r="F1018" t="s">
        <v>4</v>
      </c>
      <c r="G1018" t="s">
        <v>5</v>
      </c>
      <c r="H1018" s="3">
        <v>-80.03</v>
      </c>
      <c r="I1018" t="s">
        <v>2193</v>
      </c>
      <c r="J1018" t="s">
        <v>2165</v>
      </c>
      <c r="K1018" t="s">
        <v>8</v>
      </c>
      <c r="L1018" t="s">
        <v>8</v>
      </c>
      <c r="M1018" t="s">
        <v>8</v>
      </c>
      <c r="N1018" t="s">
        <v>73</v>
      </c>
      <c r="O1018" t="s">
        <v>57</v>
      </c>
      <c r="P1018" t="s">
        <v>1591</v>
      </c>
    </row>
    <row r="1019" spans="1:16" x14ac:dyDescent="0.25">
      <c r="A1019" t="s">
        <v>0</v>
      </c>
      <c r="B1019" s="2">
        <v>44769</v>
      </c>
      <c r="C1019" s="5" t="s">
        <v>72</v>
      </c>
      <c r="D1019" t="s">
        <v>108</v>
      </c>
      <c r="E1019" t="s">
        <v>109</v>
      </c>
      <c r="F1019" t="s">
        <v>4</v>
      </c>
      <c r="G1019" t="s">
        <v>5</v>
      </c>
      <c r="H1019" s="3">
        <v>-121.15</v>
      </c>
      <c r="I1019" t="s">
        <v>2175</v>
      </c>
      <c r="J1019" t="s">
        <v>2165</v>
      </c>
      <c r="K1019" t="s">
        <v>8</v>
      </c>
      <c r="L1019" t="s">
        <v>8</v>
      </c>
      <c r="M1019" t="s">
        <v>8</v>
      </c>
      <c r="N1019" t="s">
        <v>73</v>
      </c>
      <c r="O1019" t="s">
        <v>57</v>
      </c>
      <c r="P1019" t="s">
        <v>1594</v>
      </c>
    </row>
    <row r="1020" spans="1:16" x14ac:dyDescent="0.25">
      <c r="A1020" t="s">
        <v>0</v>
      </c>
      <c r="B1020" s="2">
        <v>44769</v>
      </c>
      <c r="C1020" s="5" t="s">
        <v>72</v>
      </c>
      <c r="D1020" t="s">
        <v>108</v>
      </c>
      <c r="E1020" t="s">
        <v>109</v>
      </c>
      <c r="F1020" t="s">
        <v>4</v>
      </c>
      <c r="G1020" t="s">
        <v>5</v>
      </c>
      <c r="H1020" s="3">
        <v>-133.97999999999999</v>
      </c>
      <c r="I1020" t="s">
        <v>2200</v>
      </c>
      <c r="J1020" t="s">
        <v>2165</v>
      </c>
      <c r="K1020" t="s">
        <v>8</v>
      </c>
      <c r="L1020" t="s">
        <v>8</v>
      </c>
      <c r="M1020" t="s">
        <v>8</v>
      </c>
      <c r="N1020" t="s">
        <v>879</v>
      </c>
      <c r="O1020" t="s">
        <v>57</v>
      </c>
      <c r="P1020" t="s">
        <v>2202</v>
      </c>
    </row>
    <row r="1021" spans="1:16" x14ac:dyDescent="0.25">
      <c r="A1021" t="s">
        <v>0</v>
      </c>
      <c r="B1021" s="2">
        <v>44769</v>
      </c>
      <c r="C1021" s="5" t="s">
        <v>72</v>
      </c>
      <c r="D1021" t="s">
        <v>1207</v>
      </c>
      <c r="E1021" t="s">
        <v>1208</v>
      </c>
      <c r="F1021" t="s">
        <v>4</v>
      </c>
      <c r="G1021" t="s">
        <v>5</v>
      </c>
      <c r="H1021" s="3">
        <v>-219.27</v>
      </c>
      <c r="I1021" t="s">
        <v>2162</v>
      </c>
      <c r="J1021" t="s">
        <v>2165</v>
      </c>
      <c r="K1021" t="s">
        <v>8</v>
      </c>
      <c r="L1021" t="s">
        <v>8</v>
      </c>
      <c r="M1021" t="s">
        <v>8</v>
      </c>
      <c r="N1021" t="s">
        <v>879</v>
      </c>
      <c r="O1021" t="s">
        <v>57</v>
      </c>
      <c r="P1021" t="s">
        <v>828</v>
      </c>
    </row>
    <row r="1022" spans="1:16" x14ac:dyDescent="0.25">
      <c r="A1022" t="s">
        <v>0</v>
      </c>
      <c r="B1022" s="2">
        <v>44769</v>
      </c>
      <c r="C1022" s="5" t="s">
        <v>72</v>
      </c>
      <c r="D1022" t="s">
        <v>108</v>
      </c>
      <c r="E1022" t="s">
        <v>109</v>
      </c>
      <c r="F1022" t="s">
        <v>4</v>
      </c>
      <c r="G1022" t="s">
        <v>5</v>
      </c>
      <c r="H1022" s="3">
        <v>-473.46</v>
      </c>
      <c r="I1022" t="s">
        <v>2221</v>
      </c>
      <c r="J1022" t="s">
        <v>2165</v>
      </c>
      <c r="K1022" t="s">
        <v>8</v>
      </c>
      <c r="L1022" t="s">
        <v>8</v>
      </c>
      <c r="M1022" t="s">
        <v>8</v>
      </c>
      <c r="N1022" t="s">
        <v>73</v>
      </c>
      <c r="O1022" t="s">
        <v>57</v>
      </c>
      <c r="P1022" t="s">
        <v>2187</v>
      </c>
    </row>
    <row r="1023" spans="1:16" x14ac:dyDescent="0.25">
      <c r="A1023" t="s">
        <v>0</v>
      </c>
      <c r="B1023" s="2">
        <v>44769</v>
      </c>
      <c r="C1023" s="5" t="s">
        <v>72</v>
      </c>
      <c r="D1023" t="s">
        <v>644</v>
      </c>
      <c r="E1023" t="s">
        <v>645</v>
      </c>
      <c r="F1023" t="s">
        <v>4</v>
      </c>
      <c r="G1023" t="s">
        <v>5</v>
      </c>
      <c r="H1023" s="3">
        <v>-487.78</v>
      </c>
      <c r="I1023" t="s">
        <v>2228</v>
      </c>
      <c r="J1023" t="s">
        <v>2165</v>
      </c>
      <c r="K1023" t="s">
        <v>8</v>
      </c>
      <c r="L1023" t="s">
        <v>8</v>
      </c>
      <c r="M1023" t="s">
        <v>8</v>
      </c>
      <c r="N1023" t="s">
        <v>73</v>
      </c>
      <c r="O1023" t="s">
        <v>57</v>
      </c>
      <c r="P1023" t="s">
        <v>62</v>
      </c>
    </row>
    <row r="1024" spans="1:16" x14ac:dyDescent="0.25">
      <c r="A1024" t="s">
        <v>0</v>
      </c>
      <c r="B1024" s="2">
        <v>44769</v>
      </c>
      <c r="C1024" s="5" t="s">
        <v>72</v>
      </c>
      <c r="D1024" t="s">
        <v>108</v>
      </c>
      <c r="E1024" t="s">
        <v>109</v>
      </c>
      <c r="F1024" t="s">
        <v>4</v>
      </c>
      <c r="G1024" t="s">
        <v>5</v>
      </c>
      <c r="H1024" s="3">
        <v>-625.24</v>
      </c>
      <c r="I1024" t="s">
        <v>2233</v>
      </c>
      <c r="J1024" t="s">
        <v>2165</v>
      </c>
      <c r="K1024" t="s">
        <v>8</v>
      </c>
      <c r="L1024" t="s">
        <v>8</v>
      </c>
      <c r="M1024" t="s">
        <v>8</v>
      </c>
      <c r="N1024" t="s">
        <v>73</v>
      </c>
      <c r="O1024" t="s">
        <v>57</v>
      </c>
      <c r="P1024" t="s">
        <v>608</v>
      </c>
    </row>
    <row r="1025" spans="1:16" x14ac:dyDescent="0.25">
      <c r="A1025" t="s">
        <v>0</v>
      </c>
      <c r="B1025" s="2">
        <v>44769</v>
      </c>
      <c r="C1025" s="5" t="s">
        <v>72</v>
      </c>
      <c r="D1025" t="s">
        <v>108</v>
      </c>
      <c r="E1025" t="s">
        <v>109</v>
      </c>
      <c r="F1025" t="s">
        <v>4</v>
      </c>
      <c r="G1025" t="s">
        <v>5</v>
      </c>
      <c r="H1025" s="3">
        <v>-766.67</v>
      </c>
      <c r="I1025" t="s">
        <v>2218</v>
      </c>
      <c r="J1025" t="s">
        <v>2165</v>
      </c>
      <c r="K1025" t="s">
        <v>8</v>
      </c>
      <c r="L1025" t="s">
        <v>8</v>
      </c>
      <c r="M1025" t="s">
        <v>8</v>
      </c>
      <c r="N1025" t="s">
        <v>73</v>
      </c>
      <c r="O1025" t="s">
        <v>57</v>
      </c>
      <c r="P1025" t="s">
        <v>115</v>
      </c>
    </row>
    <row r="1026" spans="1:16" x14ac:dyDescent="0.25">
      <c r="A1026" t="s">
        <v>0</v>
      </c>
      <c r="B1026" s="2">
        <v>44769</v>
      </c>
      <c r="C1026" s="5" t="s">
        <v>72</v>
      </c>
      <c r="D1026" t="s">
        <v>2191</v>
      </c>
      <c r="E1026" t="s">
        <v>2192</v>
      </c>
      <c r="F1026" t="s">
        <v>4</v>
      </c>
      <c r="G1026" t="s">
        <v>5</v>
      </c>
      <c r="H1026" s="3">
        <v>-789.89</v>
      </c>
      <c r="I1026" t="s">
        <v>2217</v>
      </c>
      <c r="J1026" t="s">
        <v>2165</v>
      </c>
      <c r="K1026" t="s">
        <v>8</v>
      </c>
      <c r="L1026" t="s">
        <v>8</v>
      </c>
      <c r="M1026" t="s">
        <v>8</v>
      </c>
      <c r="N1026" t="s">
        <v>73</v>
      </c>
      <c r="O1026" t="s">
        <v>57</v>
      </c>
      <c r="P1026" t="s">
        <v>909</v>
      </c>
    </row>
    <row r="1027" spans="1:16" x14ac:dyDescent="0.25">
      <c r="A1027" t="s">
        <v>0</v>
      </c>
      <c r="B1027" s="2">
        <v>44769</v>
      </c>
      <c r="C1027" s="5" t="s">
        <v>72</v>
      </c>
      <c r="D1027" t="s">
        <v>1207</v>
      </c>
      <c r="E1027" t="s">
        <v>1208</v>
      </c>
      <c r="F1027" t="s">
        <v>4</v>
      </c>
      <c r="G1027" t="s">
        <v>5</v>
      </c>
      <c r="H1027" s="3">
        <v>-1276.0999999999999</v>
      </c>
      <c r="I1027" t="s">
        <v>2244</v>
      </c>
      <c r="J1027" t="s">
        <v>2165</v>
      </c>
      <c r="K1027" t="s">
        <v>8</v>
      </c>
      <c r="L1027" t="s">
        <v>8</v>
      </c>
      <c r="M1027" t="s">
        <v>8</v>
      </c>
      <c r="N1027" t="s">
        <v>73</v>
      </c>
      <c r="O1027" t="s">
        <v>57</v>
      </c>
      <c r="P1027" t="s">
        <v>1771</v>
      </c>
    </row>
    <row r="1028" spans="1:16" x14ac:dyDescent="0.25">
      <c r="A1028" t="s">
        <v>0</v>
      </c>
      <c r="B1028" s="2">
        <v>44770</v>
      </c>
      <c r="C1028" s="5" t="s">
        <v>72</v>
      </c>
      <c r="D1028" t="s">
        <v>2</v>
      </c>
      <c r="E1028" t="s">
        <v>3</v>
      </c>
      <c r="F1028" t="s">
        <v>4</v>
      </c>
      <c r="G1028" t="s">
        <v>5</v>
      </c>
      <c r="H1028" s="3">
        <v>2287.38</v>
      </c>
      <c r="I1028" t="s">
        <v>930</v>
      </c>
      <c r="J1028" t="s">
        <v>460</v>
      </c>
      <c r="K1028" t="s">
        <v>8</v>
      </c>
      <c r="L1028" t="s">
        <v>8</v>
      </c>
      <c r="M1028" t="s">
        <v>8</v>
      </c>
      <c r="N1028" t="s">
        <v>931</v>
      </c>
      <c r="O1028" t="s">
        <v>21</v>
      </c>
      <c r="P1028" t="s">
        <v>1</v>
      </c>
    </row>
    <row r="1029" spans="1:16" x14ac:dyDescent="0.25">
      <c r="A1029" t="s">
        <v>0</v>
      </c>
      <c r="B1029" s="2">
        <v>44770</v>
      </c>
      <c r="C1029" s="5" t="s">
        <v>72</v>
      </c>
      <c r="D1029" t="s">
        <v>301</v>
      </c>
      <c r="E1029" t="s">
        <v>302</v>
      </c>
      <c r="F1029" t="s">
        <v>4</v>
      </c>
      <c r="G1029" t="s">
        <v>5</v>
      </c>
      <c r="H1029" s="3">
        <v>1882.04</v>
      </c>
      <c r="I1029" t="s">
        <v>268</v>
      </c>
      <c r="J1029" t="s">
        <v>8</v>
      </c>
      <c r="K1029" t="s">
        <v>269</v>
      </c>
      <c r="L1029" t="s">
        <v>8</v>
      </c>
      <c r="M1029" t="s">
        <v>270</v>
      </c>
      <c r="N1029" t="s">
        <v>998</v>
      </c>
      <c r="O1029" t="s">
        <v>272</v>
      </c>
      <c r="P1029" t="s">
        <v>43</v>
      </c>
    </row>
    <row r="1030" spans="1:16" x14ac:dyDescent="0.25">
      <c r="A1030" t="s">
        <v>0</v>
      </c>
      <c r="B1030" s="2">
        <v>44770</v>
      </c>
      <c r="C1030" s="5" t="s">
        <v>72</v>
      </c>
      <c r="D1030" t="s">
        <v>301</v>
      </c>
      <c r="E1030" t="s">
        <v>302</v>
      </c>
      <c r="F1030" t="s">
        <v>4</v>
      </c>
      <c r="G1030" t="s">
        <v>5</v>
      </c>
      <c r="H1030" s="3">
        <v>1564.21</v>
      </c>
      <c r="I1030" t="s">
        <v>268</v>
      </c>
      <c r="J1030" t="s">
        <v>8</v>
      </c>
      <c r="K1030" t="s">
        <v>826</v>
      </c>
      <c r="L1030" t="s">
        <v>8</v>
      </c>
      <c r="M1030" t="s">
        <v>270</v>
      </c>
      <c r="N1030" t="s">
        <v>1069</v>
      </c>
      <c r="O1030" t="s">
        <v>95</v>
      </c>
      <c r="P1030" t="s">
        <v>43</v>
      </c>
    </row>
    <row r="1031" spans="1:16" x14ac:dyDescent="0.25">
      <c r="A1031" t="s">
        <v>0</v>
      </c>
      <c r="B1031" s="2">
        <v>44770</v>
      </c>
      <c r="C1031" s="5" t="s">
        <v>72</v>
      </c>
      <c r="D1031" t="s">
        <v>410</v>
      </c>
      <c r="E1031" t="s">
        <v>411</v>
      </c>
      <c r="F1031" t="s">
        <v>4</v>
      </c>
      <c r="G1031" t="s">
        <v>5</v>
      </c>
      <c r="H1031" s="3">
        <v>5739.49</v>
      </c>
      <c r="I1031" t="s">
        <v>648</v>
      </c>
      <c r="J1031" t="s">
        <v>413</v>
      </c>
      <c r="K1031" t="s">
        <v>8</v>
      </c>
      <c r="L1031" t="s">
        <v>649</v>
      </c>
      <c r="M1031" t="s">
        <v>8</v>
      </c>
      <c r="N1031" t="s">
        <v>650</v>
      </c>
      <c r="O1031" t="s">
        <v>16</v>
      </c>
      <c r="P1031" t="s">
        <v>17</v>
      </c>
    </row>
    <row r="1032" spans="1:16" x14ac:dyDescent="0.25">
      <c r="A1032" t="s">
        <v>0</v>
      </c>
      <c r="B1032" s="2">
        <v>44770</v>
      </c>
      <c r="C1032" s="5" t="s">
        <v>72</v>
      </c>
      <c r="D1032" t="s">
        <v>410</v>
      </c>
      <c r="E1032" t="s">
        <v>411</v>
      </c>
      <c r="F1032" t="s">
        <v>4</v>
      </c>
      <c r="G1032" t="s">
        <v>5</v>
      </c>
      <c r="H1032" s="3">
        <v>1508.52</v>
      </c>
      <c r="I1032" t="s">
        <v>648</v>
      </c>
      <c r="J1032" t="s">
        <v>413</v>
      </c>
      <c r="K1032" t="s">
        <v>8</v>
      </c>
      <c r="L1032" t="s">
        <v>649</v>
      </c>
      <c r="M1032" t="s">
        <v>8</v>
      </c>
      <c r="N1032" t="s">
        <v>650</v>
      </c>
      <c r="O1032" t="s">
        <v>16</v>
      </c>
      <c r="P1032" t="s">
        <v>1</v>
      </c>
    </row>
    <row r="1033" spans="1:16" x14ac:dyDescent="0.25">
      <c r="A1033" t="s">
        <v>0</v>
      </c>
      <c r="B1033" s="2">
        <v>44770</v>
      </c>
      <c r="C1033" s="5" t="s">
        <v>72</v>
      </c>
      <c r="D1033" t="s">
        <v>301</v>
      </c>
      <c r="E1033" t="s">
        <v>302</v>
      </c>
      <c r="F1033" t="s">
        <v>4</v>
      </c>
      <c r="G1033" t="s">
        <v>5</v>
      </c>
      <c r="H1033" s="3">
        <v>1211.31</v>
      </c>
      <c r="I1033" t="s">
        <v>268</v>
      </c>
      <c r="J1033" t="s">
        <v>8</v>
      </c>
      <c r="K1033" t="s">
        <v>890</v>
      </c>
      <c r="L1033" t="s">
        <v>8</v>
      </c>
      <c r="M1033" t="s">
        <v>270</v>
      </c>
      <c r="N1033" t="s">
        <v>1146</v>
      </c>
      <c r="O1033" t="s">
        <v>95</v>
      </c>
      <c r="P1033" t="s">
        <v>30</v>
      </c>
    </row>
    <row r="1034" spans="1:16" x14ac:dyDescent="0.25">
      <c r="A1034" t="s">
        <v>0</v>
      </c>
      <c r="B1034" s="2">
        <v>44770</v>
      </c>
      <c r="C1034" s="5" t="s">
        <v>72</v>
      </c>
      <c r="D1034" t="s">
        <v>410</v>
      </c>
      <c r="E1034" t="s">
        <v>411</v>
      </c>
      <c r="F1034" t="s">
        <v>4</v>
      </c>
      <c r="G1034" t="s">
        <v>5</v>
      </c>
      <c r="H1034" s="3">
        <v>318.36</v>
      </c>
      <c r="I1034" t="s">
        <v>648</v>
      </c>
      <c r="J1034" t="s">
        <v>413</v>
      </c>
      <c r="K1034" t="s">
        <v>8</v>
      </c>
      <c r="L1034" t="s">
        <v>649</v>
      </c>
      <c r="M1034" t="s">
        <v>8</v>
      </c>
      <c r="N1034" t="s">
        <v>650</v>
      </c>
      <c r="O1034" t="s">
        <v>16</v>
      </c>
      <c r="P1034" t="s">
        <v>12</v>
      </c>
    </row>
    <row r="1035" spans="1:16" x14ac:dyDescent="0.25">
      <c r="A1035" t="s">
        <v>0</v>
      </c>
      <c r="B1035" s="2">
        <v>44770</v>
      </c>
      <c r="C1035" s="5" t="s">
        <v>72</v>
      </c>
      <c r="D1035" t="s">
        <v>1155</v>
      </c>
      <c r="E1035" t="s">
        <v>1156</v>
      </c>
      <c r="F1035" t="s">
        <v>4</v>
      </c>
      <c r="G1035" t="s">
        <v>5</v>
      </c>
      <c r="H1035" s="3">
        <v>1170.1199999999999</v>
      </c>
      <c r="I1035" t="s">
        <v>1157</v>
      </c>
      <c r="J1035" t="s">
        <v>1158</v>
      </c>
      <c r="K1035" t="s">
        <v>8</v>
      </c>
      <c r="L1035" t="s">
        <v>8</v>
      </c>
      <c r="M1035" t="s">
        <v>8</v>
      </c>
      <c r="N1035" t="s">
        <v>1159</v>
      </c>
      <c r="O1035" t="s">
        <v>16</v>
      </c>
      <c r="P1035" t="s">
        <v>1</v>
      </c>
    </row>
    <row r="1036" spans="1:16" x14ac:dyDescent="0.25">
      <c r="A1036" t="s">
        <v>0</v>
      </c>
      <c r="B1036" s="2">
        <v>44770</v>
      </c>
      <c r="C1036" s="5" t="s">
        <v>72</v>
      </c>
      <c r="D1036" t="s">
        <v>266</v>
      </c>
      <c r="E1036" t="s">
        <v>267</v>
      </c>
      <c r="F1036" t="s">
        <v>4</v>
      </c>
      <c r="G1036" t="s">
        <v>5</v>
      </c>
      <c r="H1036" s="3">
        <v>1136.58</v>
      </c>
      <c r="I1036" t="s">
        <v>268</v>
      </c>
      <c r="J1036" t="s">
        <v>8</v>
      </c>
      <c r="K1036" t="s">
        <v>1167</v>
      </c>
      <c r="L1036" t="s">
        <v>8</v>
      </c>
      <c r="M1036" t="s">
        <v>270</v>
      </c>
      <c r="N1036" t="s">
        <v>1172</v>
      </c>
      <c r="O1036" t="s">
        <v>272</v>
      </c>
      <c r="P1036" t="s">
        <v>43</v>
      </c>
    </row>
    <row r="1037" spans="1:16" x14ac:dyDescent="0.25">
      <c r="A1037" t="s">
        <v>0</v>
      </c>
      <c r="B1037" s="2">
        <v>44770</v>
      </c>
      <c r="C1037" s="5" t="s">
        <v>72</v>
      </c>
      <c r="D1037" t="s">
        <v>266</v>
      </c>
      <c r="E1037" t="s">
        <v>267</v>
      </c>
      <c r="F1037" t="s">
        <v>4</v>
      </c>
      <c r="G1037" t="s">
        <v>5</v>
      </c>
      <c r="H1037" s="3">
        <v>896.03</v>
      </c>
      <c r="I1037" t="s">
        <v>268</v>
      </c>
      <c r="J1037" t="s">
        <v>8</v>
      </c>
      <c r="K1037" t="s">
        <v>1240</v>
      </c>
      <c r="L1037" t="s">
        <v>8</v>
      </c>
      <c r="M1037" t="s">
        <v>270</v>
      </c>
      <c r="N1037" t="s">
        <v>1279</v>
      </c>
      <c r="O1037" t="s">
        <v>272</v>
      </c>
      <c r="P1037" t="s">
        <v>22</v>
      </c>
    </row>
    <row r="1038" spans="1:16" x14ac:dyDescent="0.25">
      <c r="A1038" t="s">
        <v>0</v>
      </c>
      <c r="B1038" s="2">
        <v>44770</v>
      </c>
      <c r="C1038" s="5" t="s">
        <v>72</v>
      </c>
      <c r="D1038" t="s">
        <v>1050</v>
      </c>
      <c r="E1038" t="s">
        <v>1051</v>
      </c>
      <c r="F1038" t="s">
        <v>4</v>
      </c>
      <c r="G1038" t="s">
        <v>5</v>
      </c>
      <c r="H1038" s="3">
        <v>569.25</v>
      </c>
      <c r="I1038" t="s">
        <v>1427</v>
      </c>
      <c r="J1038" t="s">
        <v>1051</v>
      </c>
      <c r="K1038" t="s">
        <v>8</v>
      </c>
      <c r="L1038" t="s">
        <v>8</v>
      </c>
      <c r="M1038" t="s">
        <v>8</v>
      </c>
      <c r="N1038" t="s">
        <v>1428</v>
      </c>
      <c r="O1038" t="s">
        <v>1054</v>
      </c>
      <c r="P1038" t="s">
        <v>367</v>
      </c>
    </row>
    <row r="1039" spans="1:16" x14ac:dyDescent="0.25">
      <c r="A1039" t="s">
        <v>0</v>
      </c>
      <c r="B1039" s="2">
        <v>44770</v>
      </c>
      <c r="C1039" s="5" t="s">
        <v>72</v>
      </c>
      <c r="D1039" t="s">
        <v>301</v>
      </c>
      <c r="E1039" t="s">
        <v>302</v>
      </c>
      <c r="F1039" t="s">
        <v>4</v>
      </c>
      <c r="G1039" t="s">
        <v>5</v>
      </c>
      <c r="H1039" s="3">
        <v>547.85</v>
      </c>
      <c r="I1039" t="s">
        <v>268</v>
      </c>
      <c r="J1039" t="s">
        <v>8</v>
      </c>
      <c r="K1039" t="s">
        <v>1191</v>
      </c>
      <c r="L1039" t="s">
        <v>8</v>
      </c>
      <c r="M1039" t="s">
        <v>270</v>
      </c>
      <c r="N1039" t="s">
        <v>1447</v>
      </c>
      <c r="O1039" t="s">
        <v>95</v>
      </c>
      <c r="P1039" t="s">
        <v>82</v>
      </c>
    </row>
    <row r="1040" spans="1:16" x14ac:dyDescent="0.25">
      <c r="A1040" t="s">
        <v>0</v>
      </c>
      <c r="B1040" s="2">
        <v>44770</v>
      </c>
      <c r="C1040" s="5" t="s">
        <v>72</v>
      </c>
      <c r="D1040" t="s">
        <v>1050</v>
      </c>
      <c r="E1040" t="s">
        <v>1051</v>
      </c>
      <c r="F1040" t="s">
        <v>4</v>
      </c>
      <c r="G1040" t="s">
        <v>5</v>
      </c>
      <c r="H1040" s="3">
        <v>464</v>
      </c>
      <c r="I1040" t="s">
        <v>1504</v>
      </c>
      <c r="J1040" t="s">
        <v>1051</v>
      </c>
      <c r="K1040" t="s">
        <v>8</v>
      </c>
      <c r="L1040" t="s">
        <v>8</v>
      </c>
      <c r="M1040" t="s">
        <v>8</v>
      </c>
      <c r="N1040" t="s">
        <v>1505</v>
      </c>
      <c r="O1040" t="s">
        <v>1054</v>
      </c>
      <c r="P1040" t="s">
        <v>613</v>
      </c>
    </row>
    <row r="1041" spans="1:16" x14ac:dyDescent="0.25">
      <c r="A1041" t="s">
        <v>0</v>
      </c>
      <c r="B1041" s="2">
        <v>44770</v>
      </c>
      <c r="C1041" s="5" t="s">
        <v>72</v>
      </c>
      <c r="D1041" t="s">
        <v>1050</v>
      </c>
      <c r="E1041" t="s">
        <v>1051</v>
      </c>
      <c r="F1041" t="s">
        <v>4</v>
      </c>
      <c r="G1041" t="s">
        <v>5</v>
      </c>
      <c r="H1041" s="3">
        <v>131.46</v>
      </c>
      <c r="I1041" t="s">
        <v>1878</v>
      </c>
      <c r="J1041" t="s">
        <v>1051</v>
      </c>
      <c r="K1041" t="s">
        <v>8</v>
      </c>
      <c r="L1041" t="s">
        <v>8</v>
      </c>
      <c r="M1041" t="s">
        <v>8</v>
      </c>
      <c r="N1041" t="s">
        <v>1879</v>
      </c>
      <c r="O1041" t="s">
        <v>1054</v>
      </c>
      <c r="P1041" t="s">
        <v>1304</v>
      </c>
    </row>
    <row r="1042" spans="1:16" x14ac:dyDescent="0.25">
      <c r="A1042" t="s">
        <v>0</v>
      </c>
      <c r="B1042" s="2">
        <v>44770</v>
      </c>
      <c r="C1042" s="5" t="s">
        <v>72</v>
      </c>
      <c r="D1042" t="s">
        <v>1340</v>
      </c>
      <c r="E1042" t="s">
        <v>1341</v>
      </c>
      <c r="F1042" t="s">
        <v>4</v>
      </c>
      <c r="G1042" t="s">
        <v>5</v>
      </c>
      <c r="H1042" s="3">
        <v>121.65</v>
      </c>
      <c r="I1042" t="s">
        <v>1891</v>
      </c>
      <c r="J1042" t="s">
        <v>1569</v>
      </c>
      <c r="K1042" t="s">
        <v>8</v>
      </c>
      <c r="L1042" t="s">
        <v>1892</v>
      </c>
      <c r="M1042" t="s">
        <v>8</v>
      </c>
      <c r="N1042" t="s">
        <v>1893</v>
      </c>
      <c r="O1042" t="s">
        <v>16</v>
      </c>
      <c r="P1042" t="s">
        <v>1304</v>
      </c>
    </row>
    <row r="1043" spans="1:16" x14ac:dyDescent="0.25">
      <c r="A1043" t="s">
        <v>0</v>
      </c>
      <c r="B1043" s="2">
        <v>44770</v>
      </c>
      <c r="C1043" s="5" t="s">
        <v>72</v>
      </c>
      <c r="D1043" t="s">
        <v>2105</v>
      </c>
      <c r="E1043" t="s">
        <v>2106</v>
      </c>
      <c r="F1043" t="s">
        <v>4</v>
      </c>
      <c r="G1043" t="s">
        <v>5</v>
      </c>
      <c r="H1043" s="3">
        <v>25.94</v>
      </c>
      <c r="I1043" t="s">
        <v>2107</v>
      </c>
      <c r="J1043" t="s">
        <v>2108</v>
      </c>
      <c r="K1043" t="s">
        <v>8</v>
      </c>
      <c r="L1043" t="s">
        <v>2109</v>
      </c>
      <c r="M1043" t="s">
        <v>8</v>
      </c>
      <c r="N1043" t="s">
        <v>2110</v>
      </c>
      <c r="O1043" t="s">
        <v>524</v>
      </c>
      <c r="P1043" t="s">
        <v>289</v>
      </c>
    </row>
    <row r="1044" spans="1:16" x14ac:dyDescent="0.25">
      <c r="A1044" t="s">
        <v>0</v>
      </c>
      <c r="B1044" s="2">
        <v>44770</v>
      </c>
      <c r="C1044" s="5" t="s">
        <v>72</v>
      </c>
      <c r="D1044" t="s">
        <v>1050</v>
      </c>
      <c r="E1044" t="s">
        <v>1051</v>
      </c>
      <c r="F1044" t="s">
        <v>4</v>
      </c>
      <c r="G1044" t="s">
        <v>5</v>
      </c>
      <c r="H1044" s="3">
        <v>18.72</v>
      </c>
      <c r="I1044" t="s">
        <v>2135</v>
      </c>
      <c r="J1044" t="s">
        <v>1051</v>
      </c>
      <c r="K1044" t="s">
        <v>8</v>
      </c>
      <c r="L1044" t="s">
        <v>8</v>
      </c>
      <c r="M1044" t="s">
        <v>8</v>
      </c>
      <c r="N1044" t="s">
        <v>2136</v>
      </c>
      <c r="O1044" t="s">
        <v>1054</v>
      </c>
      <c r="P1044" t="s">
        <v>1304</v>
      </c>
    </row>
    <row r="1045" spans="1:16" x14ac:dyDescent="0.25">
      <c r="A1045" t="s">
        <v>0</v>
      </c>
      <c r="B1045" s="2">
        <v>44770</v>
      </c>
      <c r="C1045" s="5" t="s">
        <v>72</v>
      </c>
      <c r="D1045" t="s">
        <v>266</v>
      </c>
      <c r="E1045" t="s">
        <v>267</v>
      </c>
      <c r="F1045" t="s">
        <v>4</v>
      </c>
      <c r="G1045" t="s">
        <v>5</v>
      </c>
      <c r="H1045" s="3">
        <v>0.35</v>
      </c>
      <c r="I1045" t="s">
        <v>268</v>
      </c>
      <c r="J1045" t="s">
        <v>8</v>
      </c>
      <c r="K1045" t="s">
        <v>767</v>
      </c>
      <c r="L1045" t="s">
        <v>8</v>
      </c>
      <c r="M1045" t="s">
        <v>270</v>
      </c>
      <c r="N1045" t="s">
        <v>2155</v>
      </c>
      <c r="O1045" t="s">
        <v>272</v>
      </c>
      <c r="P1045" t="s">
        <v>12</v>
      </c>
    </row>
    <row r="1046" spans="1:16" x14ac:dyDescent="0.25">
      <c r="A1046" t="s">
        <v>0</v>
      </c>
      <c r="B1046" s="2">
        <v>44770</v>
      </c>
      <c r="C1046" s="5" t="s">
        <v>72</v>
      </c>
      <c r="D1046" t="s">
        <v>266</v>
      </c>
      <c r="E1046" t="s">
        <v>267</v>
      </c>
      <c r="F1046" t="s">
        <v>4</v>
      </c>
      <c r="G1046" t="s">
        <v>5</v>
      </c>
      <c r="H1046" s="3">
        <v>-0.33</v>
      </c>
      <c r="I1046" t="s">
        <v>268</v>
      </c>
      <c r="J1046" t="s">
        <v>8</v>
      </c>
      <c r="K1046" t="s">
        <v>378</v>
      </c>
      <c r="L1046" t="s">
        <v>8</v>
      </c>
      <c r="M1046" t="s">
        <v>270</v>
      </c>
      <c r="N1046" t="s">
        <v>2156</v>
      </c>
      <c r="O1046" t="s">
        <v>272</v>
      </c>
      <c r="P1046" t="s">
        <v>12</v>
      </c>
    </row>
    <row r="1047" spans="1:16" x14ac:dyDescent="0.25">
      <c r="A1047" t="s">
        <v>0</v>
      </c>
      <c r="B1047" s="2">
        <v>44770</v>
      </c>
      <c r="C1047" s="5" t="s">
        <v>72</v>
      </c>
      <c r="D1047" t="s">
        <v>266</v>
      </c>
      <c r="E1047" t="s">
        <v>267</v>
      </c>
      <c r="F1047" t="s">
        <v>4</v>
      </c>
      <c r="G1047" t="s">
        <v>5</v>
      </c>
      <c r="H1047" s="3">
        <v>-283.5</v>
      </c>
      <c r="I1047" t="s">
        <v>268</v>
      </c>
      <c r="J1047" t="s">
        <v>8</v>
      </c>
      <c r="K1047" t="s">
        <v>451</v>
      </c>
      <c r="L1047" t="s">
        <v>8</v>
      </c>
      <c r="M1047" t="s">
        <v>270</v>
      </c>
      <c r="N1047" t="s">
        <v>2215</v>
      </c>
      <c r="O1047" t="s">
        <v>272</v>
      </c>
      <c r="P1047" t="s">
        <v>12</v>
      </c>
    </row>
    <row r="1048" spans="1:16" x14ac:dyDescent="0.25">
      <c r="A1048" t="s">
        <v>0</v>
      </c>
      <c r="B1048" s="2">
        <v>44770</v>
      </c>
      <c r="C1048" s="5" t="s">
        <v>72</v>
      </c>
      <c r="D1048" t="s">
        <v>266</v>
      </c>
      <c r="E1048" t="s">
        <v>267</v>
      </c>
      <c r="F1048" t="s">
        <v>4</v>
      </c>
      <c r="G1048" t="s">
        <v>5</v>
      </c>
      <c r="H1048" s="3">
        <v>-503.95</v>
      </c>
      <c r="I1048" t="s">
        <v>268</v>
      </c>
      <c r="J1048" t="s">
        <v>8</v>
      </c>
      <c r="K1048" t="s">
        <v>627</v>
      </c>
      <c r="L1048" t="s">
        <v>8</v>
      </c>
      <c r="M1048" t="s">
        <v>270</v>
      </c>
      <c r="N1048" t="s">
        <v>2231</v>
      </c>
      <c r="O1048" t="s">
        <v>272</v>
      </c>
      <c r="P1048" t="s">
        <v>22</v>
      </c>
    </row>
    <row r="1049" spans="1:16" x14ac:dyDescent="0.25">
      <c r="A1049" t="s">
        <v>0</v>
      </c>
      <c r="B1049" s="2">
        <v>44770</v>
      </c>
      <c r="C1049" s="5" t="s">
        <v>72</v>
      </c>
      <c r="D1049" t="s">
        <v>266</v>
      </c>
      <c r="E1049" t="s">
        <v>267</v>
      </c>
      <c r="F1049" t="s">
        <v>4</v>
      </c>
      <c r="G1049" t="s">
        <v>5</v>
      </c>
      <c r="H1049" s="3">
        <v>-1882.4</v>
      </c>
      <c r="I1049" t="s">
        <v>268</v>
      </c>
      <c r="J1049" t="s">
        <v>8</v>
      </c>
      <c r="K1049" t="s">
        <v>269</v>
      </c>
      <c r="L1049" t="s">
        <v>8</v>
      </c>
      <c r="M1049" t="s">
        <v>270</v>
      </c>
      <c r="N1049" t="s">
        <v>998</v>
      </c>
      <c r="O1049" t="s">
        <v>272</v>
      </c>
      <c r="P1049" t="s">
        <v>12</v>
      </c>
    </row>
    <row r="1050" spans="1:16" x14ac:dyDescent="0.25">
      <c r="A1050" t="s">
        <v>0</v>
      </c>
      <c r="B1050" s="2">
        <v>44771</v>
      </c>
      <c r="C1050" t="s">
        <v>72</v>
      </c>
      <c r="D1050" t="s">
        <v>90</v>
      </c>
      <c r="E1050" t="s">
        <v>91</v>
      </c>
      <c r="F1050" t="s">
        <v>4</v>
      </c>
      <c r="G1050" t="s">
        <v>5</v>
      </c>
      <c r="H1050" s="3">
        <v>97364.800000000003</v>
      </c>
      <c r="I1050" t="s">
        <v>96</v>
      </c>
      <c r="J1050" t="s">
        <v>93</v>
      </c>
      <c r="K1050" t="s">
        <v>8</v>
      </c>
      <c r="L1050" t="s">
        <v>8</v>
      </c>
      <c r="M1050" t="s">
        <v>8</v>
      </c>
      <c r="N1050" t="s">
        <v>97</v>
      </c>
      <c r="O1050" t="s">
        <v>95</v>
      </c>
      <c r="P1050" t="s">
        <v>82</v>
      </c>
    </row>
    <row r="1051" spans="1:16" x14ac:dyDescent="0.25">
      <c r="A1051" t="s">
        <v>0</v>
      </c>
      <c r="B1051" s="2">
        <v>44771</v>
      </c>
      <c r="C1051" t="s">
        <v>72</v>
      </c>
      <c r="D1051" t="s">
        <v>108</v>
      </c>
      <c r="E1051" t="s">
        <v>109</v>
      </c>
      <c r="F1051" t="s">
        <v>4</v>
      </c>
      <c r="G1051" t="s">
        <v>5</v>
      </c>
      <c r="H1051" s="3">
        <v>65804.36</v>
      </c>
      <c r="I1051" t="s">
        <v>139</v>
      </c>
      <c r="J1051" t="s">
        <v>109</v>
      </c>
      <c r="K1051" t="s">
        <v>8</v>
      </c>
      <c r="L1051" t="s">
        <v>8</v>
      </c>
      <c r="M1051" t="s">
        <v>8</v>
      </c>
      <c r="N1051" t="s">
        <v>140</v>
      </c>
      <c r="O1051" t="s">
        <v>112</v>
      </c>
      <c r="P1051" t="s">
        <v>128</v>
      </c>
    </row>
    <row r="1052" spans="1:16" x14ac:dyDescent="0.25">
      <c r="A1052" t="s">
        <v>0</v>
      </c>
      <c r="B1052" s="2">
        <v>44771</v>
      </c>
      <c r="C1052" t="s">
        <v>72</v>
      </c>
      <c r="D1052" t="s">
        <v>152</v>
      </c>
      <c r="E1052" t="s">
        <v>153</v>
      </c>
      <c r="F1052" t="s">
        <v>4</v>
      </c>
      <c r="G1052" t="s">
        <v>5</v>
      </c>
      <c r="H1052" s="3">
        <v>32064.19</v>
      </c>
      <c r="I1052" t="s">
        <v>179</v>
      </c>
      <c r="J1052" t="s">
        <v>109</v>
      </c>
      <c r="K1052" t="s">
        <v>8</v>
      </c>
      <c r="L1052" t="s">
        <v>8</v>
      </c>
      <c r="M1052" t="s">
        <v>8</v>
      </c>
      <c r="N1052" t="s">
        <v>140</v>
      </c>
      <c r="O1052" t="s">
        <v>112</v>
      </c>
      <c r="P1052" t="s">
        <v>180</v>
      </c>
    </row>
    <row r="1053" spans="1:16" x14ac:dyDescent="0.25">
      <c r="A1053" t="s">
        <v>0</v>
      </c>
      <c r="B1053" s="2">
        <v>44771</v>
      </c>
      <c r="C1053" t="s">
        <v>72</v>
      </c>
      <c r="D1053" t="s">
        <v>185</v>
      </c>
      <c r="E1053" t="s">
        <v>186</v>
      </c>
      <c r="F1053" t="s">
        <v>4</v>
      </c>
      <c r="G1053" t="s">
        <v>5</v>
      </c>
      <c r="H1053" s="3">
        <v>28230.5</v>
      </c>
      <c r="I1053" t="s">
        <v>194</v>
      </c>
      <c r="J1053" t="s">
        <v>188</v>
      </c>
      <c r="K1053" t="s">
        <v>8</v>
      </c>
      <c r="L1053" t="s">
        <v>8</v>
      </c>
      <c r="M1053" t="s">
        <v>8</v>
      </c>
      <c r="N1053" t="s">
        <v>195</v>
      </c>
      <c r="O1053" t="s">
        <v>95</v>
      </c>
      <c r="P1053" t="s">
        <v>190</v>
      </c>
    </row>
    <row r="1054" spans="1:16" x14ac:dyDescent="0.25">
      <c r="A1054" t="s">
        <v>0</v>
      </c>
      <c r="B1054" s="2">
        <v>44771</v>
      </c>
      <c r="C1054" t="s">
        <v>72</v>
      </c>
      <c r="D1054" t="s">
        <v>229</v>
      </c>
      <c r="E1054" t="s">
        <v>230</v>
      </c>
      <c r="F1054" t="s">
        <v>4</v>
      </c>
      <c r="G1054" t="s">
        <v>5</v>
      </c>
      <c r="H1054" s="3">
        <v>22438.76</v>
      </c>
      <c r="I1054" t="s">
        <v>251</v>
      </c>
      <c r="J1054" t="s">
        <v>232</v>
      </c>
      <c r="K1054" t="s">
        <v>8</v>
      </c>
      <c r="L1054" t="s">
        <v>8</v>
      </c>
      <c r="M1054" t="s">
        <v>8</v>
      </c>
      <c r="N1054" t="s">
        <v>264</v>
      </c>
      <c r="O1054" t="s">
        <v>234</v>
      </c>
      <c r="P1054" t="s">
        <v>265</v>
      </c>
    </row>
    <row r="1055" spans="1:16" x14ac:dyDescent="0.25">
      <c r="A1055" t="s">
        <v>0</v>
      </c>
      <c r="B1055" s="2">
        <v>44771</v>
      </c>
      <c r="C1055" t="s">
        <v>72</v>
      </c>
      <c r="D1055" t="s">
        <v>241</v>
      </c>
      <c r="E1055" t="s">
        <v>242</v>
      </c>
      <c r="F1055" t="s">
        <v>4</v>
      </c>
      <c r="G1055" t="s">
        <v>5</v>
      </c>
      <c r="H1055" s="3">
        <v>21907.27</v>
      </c>
      <c r="I1055" t="s">
        <v>280</v>
      </c>
      <c r="J1055" t="s">
        <v>244</v>
      </c>
      <c r="K1055" t="s">
        <v>8</v>
      </c>
      <c r="L1055" t="s">
        <v>8</v>
      </c>
      <c r="M1055" t="s">
        <v>8</v>
      </c>
      <c r="N1055" t="s">
        <v>281</v>
      </c>
      <c r="O1055" t="s">
        <v>95</v>
      </c>
      <c r="P1055" t="s">
        <v>282</v>
      </c>
    </row>
    <row r="1056" spans="1:16" x14ac:dyDescent="0.25">
      <c r="A1056" t="s">
        <v>0</v>
      </c>
      <c r="B1056" s="2">
        <v>44771</v>
      </c>
      <c r="C1056" t="s">
        <v>72</v>
      </c>
      <c r="D1056" t="s">
        <v>266</v>
      </c>
      <c r="E1056" t="s">
        <v>267</v>
      </c>
      <c r="F1056" t="s">
        <v>4</v>
      </c>
      <c r="G1056" t="s">
        <v>5</v>
      </c>
      <c r="H1056" s="3">
        <v>18679.66</v>
      </c>
      <c r="I1056" t="s">
        <v>268</v>
      </c>
      <c r="J1056" t="s">
        <v>8</v>
      </c>
      <c r="K1056" t="s">
        <v>269</v>
      </c>
      <c r="L1056" t="s">
        <v>8</v>
      </c>
      <c r="M1056" t="s">
        <v>270</v>
      </c>
      <c r="N1056" t="s">
        <v>308</v>
      </c>
      <c r="O1056" t="s">
        <v>95</v>
      </c>
      <c r="P1056" t="s">
        <v>12</v>
      </c>
    </row>
    <row r="1057" spans="1:16" x14ac:dyDescent="0.25">
      <c r="A1057" t="s">
        <v>0</v>
      </c>
      <c r="B1057" s="2">
        <v>44771</v>
      </c>
      <c r="C1057" t="s">
        <v>72</v>
      </c>
      <c r="D1057" t="s">
        <v>333</v>
      </c>
      <c r="E1057" t="s">
        <v>334</v>
      </c>
      <c r="F1057" t="s">
        <v>4</v>
      </c>
      <c r="G1057" t="s">
        <v>5</v>
      </c>
      <c r="H1057" s="3">
        <v>14459.14</v>
      </c>
      <c r="I1057" t="s">
        <v>340</v>
      </c>
      <c r="J1057" t="s">
        <v>248</v>
      </c>
      <c r="K1057" t="s">
        <v>8</v>
      </c>
      <c r="L1057" t="s">
        <v>8</v>
      </c>
      <c r="M1057" t="s">
        <v>8</v>
      </c>
      <c r="N1057" t="s">
        <v>341</v>
      </c>
      <c r="O1057" t="s">
        <v>95</v>
      </c>
      <c r="P1057" t="s">
        <v>342</v>
      </c>
    </row>
    <row r="1058" spans="1:16" x14ac:dyDescent="0.25">
      <c r="A1058" t="s">
        <v>0</v>
      </c>
      <c r="B1058" s="2">
        <v>44771</v>
      </c>
      <c r="C1058" s="5" t="s">
        <v>72</v>
      </c>
      <c r="D1058" t="s">
        <v>644</v>
      </c>
      <c r="E1058" t="s">
        <v>645</v>
      </c>
      <c r="F1058" t="s">
        <v>4</v>
      </c>
      <c r="G1058" t="s">
        <v>5</v>
      </c>
      <c r="H1058" s="3">
        <v>3540.38</v>
      </c>
      <c r="I1058" t="s">
        <v>774</v>
      </c>
      <c r="J1058" t="s">
        <v>109</v>
      </c>
      <c r="K1058" t="s">
        <v>8</v>
      </c>
      <c r="L1058" t="s">
        <v>8</v>
      </c>
      <c r="M1058" t="s">
        <v>8</v>
      </c>
      <c r="N1058" t="s">
        <v>140</v>
      </c>
      <c r="O1058" t="s">
        <v>112</v>
      </c>
      <c r="P1058" t="s">
        <v>601</v>
      </c>
    </row>
    <row r="1059" spans="1:16" x14ac:dyDescent="0.25">
      <c r="A1059" t="s">
        <v>0</v>
      </c>
      <c r="B1059" s="2">
        <v>44771</v>
      </c>
      <c r="C1059" s="5" t="s">
        <v>72</v>
      </c>
      <c r="D1059" t="s">
        <v>794</v>
      </c>
      <c r="E1059" t="s">
        <v>795</v>
      </c>
      <c r="F1059" t="s">
        <v>4</v>
      </c>
      <c r="G1059" t="s">
        <v>5</v>
      </c>
      <c r="H1059" s="3">
        <v>3396.12</v>
      </c>
      <c r="I1059" t="s">
        <v>251</v>
      </c>
      <c r="J1059" t="s">
        <v>232</v>
      </c>
      <c r="K1059" t="s">
        <v>8</v>
      </c>
      <c r="L1059" t="s">
        <v>8</v>
      </c>
      <c r="M1059" t="s">
        <v>8</v>
      </c>
      <c r="N1059" t="s">
        <v>264</v>
      </c>
      <c r="O1059" t="s">
        <v>234</v>
      </c>
      <c r="P1059" t="s">
        <v>799</v>
      </c>
    </row>
    <row r="1060" spans="1:16" x14ac:dyDescent="0.25">
      <c r="A1060" t="s">
        <v>0</v>
      </c>
      <c r="B1060" s="2">
        <v>44771</v>
      </c>
      <c r="C1060" s="5" t="s">
        <v>72</v>
      </c>
      <c r="D1060" t="s">
        <v>881</v>
      </c>
      <c r="E1060" t="s">
        <v>882</v>
      </c>
      <c r="F1060" t="s">
        <v>4</v>
      </c>
      <c r="G1060" t="s">
        <v>5</v>
      </c>
      <c r="H1060" s="3">
        <v>2297.3200000000002</v>
      </c>
      <c r="I1060" t="s">
        <v>929</v>
      </c>
      <c r="J1060" t="s">
        <v>109</v>
      </c>
      <c r="K1060" t="s">
        <v>8</v>
      </c>
      <c r="L1060" t="s">
        <v>8</v>
      </c>
      <c r="M1060" t="s">
        <v>8</v>
      </c>
      <c r="N1060" t="s">
        <v>140</v>
      </c>
      <c r="O1060" t="s">
        <v>112</v>
      </c>
      <c r="P1060" t="s">
        <v>731</v>
      </c>
    </row>
    <row r="1061" spans="1:16" x14ac:dyDescent="0.25">
      <c r="A1061" t="s">
        <v>0</v>
      </c>
      <c r="B1061" s="2">
        <v>44771</v>
      </c>
      <c r="C1061" s="5" t="s">
        <v>72</v>
      </c>
      <c r="D1061" t="s">
        <v>1003</v>
      </c>
      <c r="E1061" t="s">
        <v>1004</v>
      </c>
      <c r="F1061" t="s">
        <v>4</v>
      </c>
      <c r="G1061" t="s">
        <v>5</v>
      </c>
      <c r="H1061" s="3">
        <v>1793.56</v>
      </c>
      <c r="I1061" t="s">
        <v>96</v>
      </c>
      <c r="J1061" t="s">
        <v>93</v>
      </c>
      <c r="K1061" t="s">
        <v>8</v>
      </c>
      <c r="L1061" t="s">
        <v>8</v>
      </c>
      <c r="M1061" t="s">
        <v>8</v>
      </c>
      <c r="N1061" t="s">
        <v>97</v>
      </c>
      <c r="O1061" t="s">
        <v>95</v>
      </c>
      <c r="P1061" t="s">
        <v>843</v>
      </c>
    </row>
    <row r="1062" spans="1:16" x14ac:dyDescent="0.25">
      <c r="A1062" t="s">
        <v>0</v>
      </c>
      <c r="B1062" s="2">
        <v>44771</v>
      </c>
      <c r="C1062" s="5" t="s">
        <v>72</v>
      </c>
      <c r="D1062" t="s">
        <v>108</v>
      </c>
      <c r="E1062" t="s">
        <v>109</v>
      </c>
      <c r="F1062" t="s">
        <v>4</v>
      </c>
      <c r="G1062" t="s">
        <v>5</v>
      </c>
      <c r="H1062" s="3">
        <v>1307.42</v>
      </c>
      <c r="I1062" t="s">
        <v>1125</v>
      </c>
      <c r="J1062" t="s">
        <v>109</v>
      </c>
      <c r="K1062" t="s">
        <v>8</v>
      </c>
      <c r="L1062" t="s">
        <v>8</v>
      </c>
      <c r="M1062" t="s">
        <v>8</v>
      </c>
      <c r="N1062" t="s">
        <v>140</v>
      </c>
      <c r="O1062" t="s">
        <v>112</v>
      </c>
      <c r="P1062" t="s">
        <v>1126</v>
      </c>
    </row>
    <row r="1063" spans="1:16" x14ac:dyDescent="0.25">
      <c r="A1063" t="s">
        <v>0</v>
      </c>
      <c r="B1063" s="2">
        <v>44771</v>
      </c>
      <c r="C1063" s="5" t="s">
        <v>72</v>
      </c>
      <c r="D1063" t="s">
        <v>266</v>
      </c>
      <c r="E1063" t="s">
        <v>267</v>
      </c>
      <c r="F1063" t="s">
        <v>4</v>
      </c>
      <c r="G1063" t="s">
        <v>5</v>
      </c>
      <c r="H1063" s="3">
        <v>933.08</v>
      </c>
      <c r="I1063" t="s">
        <v>268</v>
      </c>
      <c r="J1063" t="s">
        <v>8</v>
      </c>
      <c r="K1063" t="s">
        <v>528</v>
      </c>
      <c r="L1063" t="s">
        <v>8</v>
      </c>
      <c r="M1063" t="s">
        <v>270</v>
      </c>
      <c r="N1063" t="s">
        <v>1235</v>
      </c>
      <c r="O1063" t="s">
        <v>95</v>
      </c>
      <c r="P1063" t="s">
        <v>12</v>
      </c>
    </row>
    <row r="1064" spans="1:16" x14ac:dyDescent="0.25">
      <c r="A1064" t="s">
        <v>0</v>
      </c>
      <c r="B1064" s="2">
        <v>44771</v>
      </c>
      <c r="C1064" s="5" t="s">
        <v>72</v>
      </c>
      <c r="D1064" t="s">
        <v>152</v>
      </c>
      <c r="E1064" t="s">
        <v>153</v>
      </c>
      <c r="F1064" t="s">
        <v>4</v>
      </c>
      <c r="G1064" t="s">
        <v>5</v>
      </c>
      <c r="H1064" s="3">
        <v>194.4</v>
      </c>
      <c r="I1064" t="s">
        <v>1783</v>
      </c>
      <c r="J1064" t="s">
        <v>153</v>
      </c>
      <c r="K1064" t="s">
        <v>8</v>
      </c>
      <c r="L1064" t="s">
        <v>8</v>
      </c>
      <c r="M1064" t="s">
        <v>8</v>
      </c>
      <c r="N1064" t="s">
        <v>1784</v>
      </c>
      <c r="O1064" t="s">
        <v>112</v>
      </c>
      <c r="P1064" t="s">
        <v>211</v>
      </c>
    </row>
    <row r="1065" spans="1:16" x14ac:dyDescent="0.25">
      <c r="A1065" t="s">
        <v>0</v>
      </c>
      <c r="B1065" s="2">
        <v>44771</v>
      </c>
      <c r="C1065" s="5" t="s">
        <v>72</v>
      </c>
      <c r="D1065" t="s">
        <v>1839</v>
      </c>
      <c r="E1065" t="s">
        <v>1840</v>
      </c>
      <c r="F1065" t="s">
        <v>4</v>
      </c>
      <c r="G1065" t="s">
        <v>5</v>
      </c>
      <c r="H1065" s="3">
        <v>152.9</v>
      </c>
      <c r="I1065" t="s">
        <v>340</v>
      </c>
      <c r="J1065" t="s">
        <v>248</v>
      </c>
      <c r="K1065" t="s">
        <v>8</v>
      </c>
      <c r="L1065" t="s">
        <v>8</v>
      </c>
      <c r="M1065" t="s">
        <v>8</v>
      </c>
      <c r="N1065" t="s">
        <v>341</v>
      </c>
      <c r="O1065" t="s">
        <v>95</v>
      </c>
      <c r="P1065" t="s">
        <v>82</v>
      </c>
    </row>
    <row r="1066" spans="1:16" x14ac:dyDescent="0.25">
      <c r="A1066" t="s">
        <v>0</v>
      </c>
      <c r="B1066" s="2">
        <v>44771</v>
      </c>
      <c r="C1066" s="5" t="s">
        <v>72</v>
      </c>
      <c r="D1066" t="s">
        <v>885</v>
      </c>
      <c r="E1066" t="s">
        <v>886</v>
      </c>
      <c r="F1066" t="s">
        <v>4</v>
      </c>
      <c r="G1066" t="s">
        <v>5</v>
      </c>
      <c r="H1066" s="3">
        <v>77</v>
      </c>
      <c r="I1066" t="s">
        <v>1971</v>
      </c>
      <c r="J1066" t="s">
        <v>943</v>
      </c>
      <c r="K1066" t="s">
        <v>8</v>
      </c>
      <c r="L1066" t="s">
        <v>8</v>
      </c>
      <c r="M1066" t="s">
        <v>8</v>
      </c>
      <c r="N1066" t="s">
        <v>1972</v>
      </c>
      <c r="O1066" t="s">
        <v>945</v>
      </c>
      <c r="P1066" t="s">
        <v>1</v>
      </c>
    </row>
    <row r="1067" spans="1:16" x14ac:dyDescent="0.25">
      <c r="A1067" t="s">
        <v>0</v>
      </c>
      <c r="B1067" s="2">
        <v>44771</v>
      </c>
      <c r="C1067" s="5" t="s">
        <v>72</v>
      </c>
      <c r="D1067" t="s">
        <v>152</v>
      </c>
      <c r="E1067" t="s">
        <v>153</v>
      </c>
      <c r="F1067" t="s">
        <v>4</v>
      </c>
      <c r="G1067" t="s">
        <v>5</v>
      </c>
      <c r="H1067" s="3">
        <v>33.82</v>
      </c>
      <c r="I1067" t="s">
        <v>2082</v>
      </c>
      <c r="J1067" t="s">
        <v>153</v>
      </c>
      <c r="K1067" t="s">
        <v>8</v>
      </c>
      <c r="L1067" t="s">
        <v>8</v>
      </c>
      <c r="M1067" t="s">
        <v>8</v>
      </c>
      <c r="N1067" t="s">
        <v>1784</v>
      </c>
      <c r="O1067" t="s">
        <v>112</v>
      </c>
      <c r="P1067" t="s">
        <v>361</v>
      </c>
    </row>
    <row r="1068" spans="1:16" x14ac:dyDescent="0.25">
      <c r="A1068" t="s">
        <v>0</v>
      </c>
      <c r="B1068" s="2">
        <v>44771</v>
      </c>
      <c r="C1068" s="5" t="s">
        <v>72</v>
      </c>
      <c r="D1068" t="s">
        <v>403</v>
      </c>
      <c r="E1068" t="s">
        <v>404</v>
      </c>
      <c r="F1068" t="s">
        <v>4</v>
      </c>
      <c r="G1068" t="s">
        <v>5</v>
      </c>
      <c r="H1068" s="3">
        <v>-10242.73</v>
      </c>
      <c r="I1068" t="s">
        <v>2272</v>
      </c>
      <c r="J1068" t="s">
        <v>406</v>
      </c>
      <c r="K1068" t="s">
        <v>8</v>
      </c>
      <c r="L1068" t="s">
        <v>8</v>
      </c>
      <c r="M1068" t="s">
        <v>8</v>
      </c>
      <c r="N1068" t="s">
        <v>2273</v>
      </c>
      <c r="O1068" t="s">
        <v>408</v>
      </c>
      <c r="P1068" t="s">
        <v>579</v>
      </c>
    </row>
    <row r="1069" spans="1:16" x14ac:dyDescent="0.25">
      <c r="A1069" t="s">
        <v>0</v>
      </c>
      <c r="B1069" s="2">
        <v>44774</v>
      </c>
      <c r="C1069" s="5" t="s">
        <v>72</v>
      </c>
      <c r="D1069" t="s">
        <v>216</v>
      </c>
      <c r="E1069" t="s">
        <v>217</v>
      </c>
      <c r="F1069" t="s">
        <v>4</v>
      </c>
      <c r="G1069" t="s">
        <v>5</v>
      </c>
      <c r="H1069" s="3">
        <v>7636.83</v>
      </c>
      <c r="I1069" t="s">
        <v>218</v>
      </c>
      <c r="J1069" t="s">
        <v>8</v>
      </c>
      <c r="K1069" t="s">
        <v>219</v>
      </c>
      <c r="L1069" t="s">
        <v>8</v>
      </c>
      <c r="M1069" t="s">
        <v>220</v>
      </c>
      <c r="N1069" t="s">
        <v>574</v>
      </c>
      <c r="O1069" t="s">
        <v>95</v>
      </c>
      <c r="P1069" t="s">
        <v>259</v>
      </c>
    </row>
    <row r="1070" spans="1:16" x14ac:dyDescent="0.25">
      <c r="A1070" t="s">
        <v>0</v>
      </c>
      <c r="B1070" s="2">
        <v>44774</v>
      </c>
      <c r="C1070" s="5" t="s">
        <v>72</v>
      </c>
      <c r="D1070" t="s">
        <v>398</v>
      </c>
      <c r="E1070" t="s">
        <v>399</v>
      </c>
      <c r="F1070" t="s">
        <v>4</v>
      </c>
      <c r="G1070" t="s">
        <v>5</v>
      </c>
      <c r="H1070" s="3">
        <v>6813.53</v>
      </c>
      <c r="I1070" t="s">
        <v>400</v>
      </c>
      <c r="J1070" t="s">
        <v>8</v>
      </c>
      <c r="K1070" t="s">
        <v>219</v>
      </c>
      <c r="L1070" t="s">
        <v>8</v>
      </c>
      <c r="M1070" t="s">
        <v>220</v>
      </c>
      <c r="N1070" t="s">
        <v>574</v>
      </c>
      <c r="O1070" t="s">
        <v>95</v>
      </c>
      <c r="P1070" t="s">
        <v>402</v>
      </c>
    </row>
    <row r="1071" spans="1:16" x14ac:dyDescent="0.25">
      <c r="A1071" t="s">
        <v>0</v>
      </c>
      <c r="B1071" s="2">
        <v>44774</v>
      </c>
      <c r="C1071" s="5" t="s">
        <v>72</v>
      </c>
      <c r="D1071" t="s">
        <v>753</v>
      </c>
      <c r="E1071" t="s">
        <v>754</v>
      </c>
      <c r="F1071" t="s">
        <v>4</v>
      </c>
      <c r="G1071" t="s">
        <v>5</v>
      </c>
      <c r="H1071" s="3">
        <v>2905.55</v>
      </c>
      <c r="I1071" t="s">
        <v>755</v>
      </c>
      <c r="J1071" t="s">
        <v>8</v>
      </c>
      <c r="K1071" t="s">
        <v>219</v>
      </c>
      <c r="L1071" t="s">
        <v>8</v>
      </c>
      <c r="M1071" t="s">
        <v>220</v>
      </c>
      <c r="N1071" t="s">
        <v>574</v>
      </c>
      <c r="O1071" t="s">
        <v>95</v>
      </c>
      <c r="P1071" t="s">
        <v>756</v>
      </c>
    </row>
    <row r="1072" spans="1:16" x14ac:dyDescent="0.25">
      <c r="A1072" t="s">
        <v>0</v>
      </c>
      <c r="B1072" s="2">
        <v>44774</v>
      </c>
      <c r="C1072" s="5" t="s">
        <v>72</v>
      </c>
      <c r="D1072" t="s">
        <v>885</v>
      </c>
      <c r="E1072" t="s">
        <v>886</v>
      </c>
      <c r="F1072" t="s">
        <v>4</v>
      </c>
      <c r="G1072" t="s">
        <v>5</v>
      </c>
      <c r="H1072" s="3">
        <v>1522.46</v>
      </c>
      <c r="I1072" t="s">
        <v>887</v>
      </c>
      <c r="J1072" t="s">
        <v>8</v>
      </c>
      <c r="K1072" t="s">
        <v>219</v>
      </c>
      <c r="L1072" t="s">
        <v>8</v>
      </c>
      <c r="M1072" t="s">
        <v>220</v>
      </c>
      <c r="N1072" t="s">
        <v>574</v>
      </c>
      <c r="O1072" t="s">
        <v>95</v>
      </c>
      <c r="P1072" t="s">
        <v>926</v>
      </c>
    </row>
    <row r="1073" spans="1:16" x14ac:dyDescent="0.25">
      <c r="A1073" t="s">
        <v>0</v>
      </c>
      <c r="B1073" s="2">
        <v>44774</v>
      </c>
      <c r="C1073" s="5" t="s">
        <v>82</v>
      </c>
      <c r="D1073" t="s">
        <v>410</v>
      </c>
      <c r="E1073" t="s">
        <v>411</v>
      </c>
      <c r="F1073" t="s">
        <v>4</v>
      </c>
      <c r="G1073" t="s">
        <v>5</v>
      </c>
      <c r="H1073" s="3">
        <v>9956.64</v>
      </c>
      <c r="I1073" t="s">
        <v>447</v>
      </c>
      <c r="J1073" t="s">
        <v>413</v>
      </c>
      <c r="K1073" t="s">
        <v>8</v>
      </c>
      <c r="L1073" t="s">
        <v>448</v>
      </c>
      <c r="M1073" t="s">
        <v>8</v>
      </c>
      <c r="N1073" t="s">
        <v>449</v>
      </c>
      <c r="O1073" t="s">
        <v>450</v>
      </c>
      <c r="P1073" t="s">
        <v>43</v>
      </c>
    </row>
    <row r="1074" spans="1:16" x14ac:dyDescent="0.25">
      <c r="A1074" t="s">
        <v>0</v>
      </c>
      <c r="B1074" s="2">
        <v>44774</v>
      </c>
      <c r="C1074" s="5" t="s">
        <v>82</v>
      </c>
      <c r="D1074" t="s">
        <v>410</v>
      </c>
      <c r="E1074" t="s">
        <v>411</v>
      </c>
      <c r="F1074" t="s">
        <v>4</v>
      </c>
      <c r="G1074" t="s">
        <v>5</v>
      </c>
      <c r="H1074" s="3">
        <v>1176.5</v>
      </c>
      <c r="I1074" t="s">
        <v>447</v>
      </c>
      <c r="J1074" t="s">
        <v>413</v>
      </c>
      <c r="K1074" t="s">
        <v>8</v>
      </c>
      <c r="L1074" t="s">
        <v>448</v>
      </c>
      <c r="M1074" t="s">
        <v>8</v>
      </c>
      <c r="N1074" t="s">
        <v>449</v>
      </c>
      <c r="O1074" t="s">
        <v>450</v>
      </c>
      <c r="P1074" t="s">
        <v>12</v>
      </c>
    </row>
    <row r="1075" spans="1:16" x14ac:dyDescent="0.25">
      <c r="A1075" t="s">
        <v>0</v>
      </c>
      <c r="B1075" s="2">
        <v>44774</v>
      </c>
      <c r="C1075" s="5" t="s">
        <v>82</v>
      </c>
      <c r="D1075" t="s">
        <v>410</v>
      </c>
      <c r="E1075" t="s">
        <v>411</v>
      </c>
      <c r="F1075" t="s">
        <v>4</v>
      </c>
      <c r="G1075" t="s">
        <v>5</v>
      </c>
      <c r="H1075" s="3">
        <v>1176.5</v>
      </c>
      <c r="I1075" t="s">
        <v>447</v>
      </c>
      <c r="J1075" t="s">
        <v>413</v>
      </c>
      <c r="K1075" t="s">
        <v>8</v>
      </c>
      <c r="L1075" t="s">
        <v>448</v>
      </c>
      <c r="M1075" t="s">
        <v>8</v>
      </c>
      <c r="N1075" t="s">
        <v>449</v>
      </c>
      <c r="O1075" t="s">
        <v>450</v>
      </c>
      <c r="P1075" t="s">
        <v>1</v>
      </c>
    </row>
    <row r="1076" spans="1:16" x14ac:dyDescent="0.25">
      <c r="A1076" t="s">
        <v>0</v>
      </c>
      <c r="B1076" s="2">
        <v>44774</v>
      </c>
      <c r="C1076" s="5" t="s">
        <v>82</v>
      </c>
      <c r="D1076" t="s">
        <v>410</v>
      </c>
      <c r="E1076" t="s">
        <v>411</v>
      </c>
      <c r="F1076" t="s">
        <v>4</v>
      </c>
      <c r="G1076" t="s">
        <v>5</v>
      </c>
      <c r="H1076" s="3">
        <v>588</v>
      </c>
      <c r="I1076" t="s">
        <v>447</v>
      </c>
      <c r="J1076" t="s">
        <v>413</v>
      </c>
      <c r="K1076" t="s">
        <v>8</v>
      </c>
      <c r="L1076" t="s">
        <v>448</v>
      </c>
      <c r="M1076" t="s">
        <v>8</v>
      </c>
      <c r="N1076" t="s">
        <v>449</v>
      </c>
      <c r="O1076" t="s">
        <v>450</v>
      </c>
      <c r="P1076" t="s">
        <v>17</v>
      </c>
    </row>
    <row r="1077" spans="1:16" x14ac:dyDescent="0.25">
      <c r="A1077" t="s">
        <v>0</v>
      </c>
      <c r="B1077" s="2">
        <v>44774</v>
      </c>
      <c r="C1077" s="5" t="s">
        <v>72</v>
      </c>
      <c r="D1077" t="s">
        <v>651</v>
      </c>
      <c r="E1077" t="s">
        <v>652</v>
      </c>
      <c r="F1077" t="s">
        <v>4</v>
      </c>
      <c r="G1077" t="s">
        <v>5</v>
      </c>
      <c r="H1077" s="3">
        <v>825.86</v>
      </c>
      <c r="I1077" t="s">
        <v>653</v>
      </c>
      <c r="J1077" t="s">
        <v>8</v>
      </c>
      <c r="K1077" t="s">
        <v>219</v>
      </c>
      <c r="L1077" t="s">
        <v>8</v>
      </c>
      <c r="M1077" t="s">
        <v>220</v>
      </c>
      <c r="N1077" t="s">
        <v>574</v>
      </c>
      <c r="O1077" t="s">
        <v>95</v>
      </c>
      <c r="P1077" t="s">
        <v>747</v>
      </c>
    </row>
    <row r="1078" spans="1:16" x14ac:dyDescent="0.25">
      <c r="A1078" t="s">
        <v>0</v>
      </c>
      <c r="B1078" s="2">
        <v>44774</v>
      </c>
      <c r="C1078" s="5" t="s">
        <v>72</v>
      </c>
      <c r="D1078" t="s">
        <v>2289</v>
      </c>
      <c r="E1078" t="s">
        <v>2290</v>
      </c>
      <c r="F1078" t="s">
        <v>4</v>
      </c>
      <c r="G1078" t="s">
        <v>5</v>
      </c>
      <c r="H1078" s="3">
        <v>-773210.27</v>
      </c>
      <c r="I1078" t="s">
        <v>2291</v>
      </c>
      <c r="J1078" t="s">
        <v>8</v>
      </c>
      <c r="K1078" t="s">
        <v>2292</v>
      </c>
      <c r="L1078" t="s">
        <v>8</v>
      </c>
      <c r="M1078" t="s">
        <v>220</v>
      </c>
      <c r="N1078" t="s">
        <v>2295</v>
      </c>
      <c r="O1078" t="s">
        <v>95</v>
      </c>
      <c r="P1078" t="s">
        <v>2294</v>
      </c>
    </row>
    <row r="1079" spans="1:16" x14ac:dyDescent="0.25">
      <c r="A1079" t="s">
        <v>0</v>
      </c>
      <c r="B1079" s="2">
        <v>44775</v>
      </c>
      <c r="C1079" s="5" t="s">
        <v>82</v>
      </c>
      <c r="D1079" t="s">
        <v>47</v>
      </c>
      <c r="E1079" t="s">
        <v>48</v>
      </c>
      <c r="F1079" t="s">
        <v>4</v>
      </c>
      <c r="G1079" t="s">
        <v>5</v>
      </c>
      <c r="H1079" s="3">
        <v>1784.7</v>
      </c>
      <c r="I1079" t="s">
        <v>1032</v>
      </c>
      <c r="J1079" t="s">
        <v>1011</v>
      </c>
      <c r="K1079" t="s">
        <v>8</v>
      </c>
      <c r="L1079" t="s">
        <v>1033</v>
      </c>
      <c r="M1079" t="s">
        <v>8</v>
      </c>
      <c r="N1079" t="s">
        <v>1034</v>
      </c>
      <c r="O1079" t="s">
        <v>16</v>
      </c>
      <c r="P1079" t="s">
        <v>1</v>
      </c>
    </row>
    <row r="1080" spans="1:16" x14ac:dyDescent="0.25">
      <c r="A1080" t="s">
        <v>0</v>
      </c>
      <c r="B1080" s="2">
        <v>44776</v>
      </c>
      <c r="C1080" s="5" t="s">
        <v>82</v>
      </c>
      <c r="D1080" t="s">
        <v>2</v>
      </c>
      <c r="E1080" t="s">
        <v>3</v>
      </c>
      <c r="F1080" t="s">
        <v>4</v>
      </c>
      <c r="G1080" t="s">
        <v>5</v>
      </c>
      <c r="H1080" s="3">
        <v>9380.1299999999992</v>
      </c>
      <c r="I1080" t="s">
        <v>499</v>
      </c>
      <c r="J1080" t="s">
        <v>487</v>
      </c>
      <c r="K1080" t="s">
        <v>8</v>
      </c>
      <c r="L1080" t="s">
        <v>500</v>
      </c>
      <c r="M1080" t="s">
        <v>8</v>
      </c>
      <c r="N1080" t="s">
        <v>501</v>
      </c>
      <c r="O1080" t="s">
        <v>16</v>
      </c>
      <c r="P1080" t="s">
        <v>1</v>
      </c>
    </row>
    <row r="1081" spans="1:16" x14ac:dyDescent="0.25">
      <c r="A1081" t="s">
        <v>0</v>
      </c>
      <c r="B1081" s="2">
        <v>44776</v>
      </c>
      <c r="C1081" s="5" t="s">
        <v>82</v>
      </c>
      <c r="D1081" t="s">
        <v>697</v>
      </c>
      <c r="E1081" t="s">
        <v>698</v>
      </c>
      <c r="F1081" t="s">
        <v>4</v>
      </c>
      <c r="G1081" t="s">
        <v>5</v>
      </c>
      <c r="H1081" s="3">
        <v>4780.07</v>
      </c>
      <c r="I1081" t="s">
        <v>718</v>
      </c>
      <c r="J1081" t="s">
        <v>700</v>
      </c>
      <c r="K1081" t="s">
        <v>8</v>
      </c>
      <c r="L1081" t="s">
        <v>719</v>
      </c>
      <c r="M1081" t="s">
        <v>8</v>
      </c>
      <c r="N1081" t="s">
        <v>720</v>
      </c>
      <c r="O1081" t="s">
        <v>16</v>
      </c>
      <c r="P1081" t="s">
        <v>1</v>
      </c>
    </row>
    <row r="1082" spans="1:16" x14ac:dyDescent="0.25">
      <c r="A1082" t="s">
        <v>0</v>
      </c>
      <c r="B1082" s="2">
        <v>44776</v>
      </c>
      <c r="C1082" s="5" t="s">
        <v>82</v>
      </c>
      <c r="D1082" t="s">
        <v>1266</v>
      </c>
      <c r="E1082" t="s">
        <v>1267</v>
      </c>
      <c r="F1082" t="s">
        <v>4</v>
      </c>
      <c r="G1082" t="s">
        <v>5</v>
      </c>
      <c r="H1082" s="3">
        <v>900</v>
      </c>
      <c r="I1082" t="s">
        <v>1268</v>
      </c>
      <c r="J1082" t="s">
        <v>1257</v>
      </c>
      <c r="K1082" t="s">
        <v>8</v>
      </c>
      <c r="L1082" t="s">
        <v>8</v>
      </c>
      <c r="M1082" t="s">
        <v>8</v>
      </c>
      <c r="N1082" t="s">
        <v>1269</v>
      </c>
      <c r="O1082" t="s">
        <v>16</v>
      </c>
      <c r="P1082" t="s">
        <v>1</v>
      </c>
    </row>
    <row r="1083" spans="1:16" x14ac:dyDescent="0.25">
      <c r="A1083" t="s">
        <v>0</v>
      </c>
      <c r="B1083" s="2">
        <v>44776</v>
      </c>
      <c r="C1083" s="5" t="s">
        <v>82</v>
      </c>
      <c r="D1083" t="s">
        <v>410</v>
      </c>
      <c r="E1083" t="s">
        <v>411</v>
      </c>
      <c r="F1083" t="s">
        <v>4</v>
      </c>
      <c r="G1083" t="s">
        <v>5</v>
      </c>
      <c r="H1083" s="3">
        <v>10193.99</v>
      </c>
      <c r="I1083" t="s">
        <v>434</v>
      </c>
      <c r="J1083" t="s">
        <v>413</v>
      </c>
      <c r="K1083" t="s">
        <v>8</v>
      </c>
      <c r="L1083" t="s">
        <v>435</v>
      </c>
      <c r="M1083" t="s">
        <v>8</v>
      </c>
      <c r="N1083" t="s">
        <v>436</v>
      </c>
      <c r="O1083" t="s">
        <v>29</v>
      </c>
      <c r="P1083" t="s">
        <v>1</v>
      </c>
    </row>
    <row r="1084" spans="1:16" x14ac:dyDescent="0.25">
      <c r="A1084" t="s">
        <v>0</v>
      </c>
      <c r="B1084" s="2">
        <v>44776</v>
      </c>
      <c r="C1084" s="5" t="s">
        <v>82</v>
      </c>
      <c r="D1084" t="s">
        <v>410</v>
      </c>
      <c r="E1084" t="s">
        <v>411</v>
      </c>
      <c r="F1084" t="s">
        <v>4</v>
      </c>
      <c r="G1084" t="s">
        <v>5</v>
      </c>
      <c r="H1084" s="3">
        <v>8116.47</v>
      </c>
      <c r="I1084" t="s">
        <v>557</v>
      </c>
      <c r="J1084" t="s">
        <v>413</v>
      </c>
      <c r="K1084" t="s">
        <v>8</v>
      </c>
      <c r="L1084" t="s">
        <v>558</v>
      </c>
      <c r="M1084" t="s">
        <v>8</v>
      </c>
      <c r="N1084" t="s">
        <v>559</v>
      </c>
      <c r="O1084" t="s">
        <v>29</v>
      </c>
      <c r="P1084" t="s">
        <v>12</v>
      </c>
    </row>
    <row r="1085" spans="1:16" x14ac:dyDescent="0.25">
      <c r="A1085" t="s">
        <v>0</v>
      </c>
      <c r="B1085" s="2">
        <v>44776</v>
      </c>
      <c r="C1085" s="5" t="s">
        <v>82</v>
      </c>
      <c r="D1085" t="s">
        <v>410</v>
      </c>
      <c r="E1085" t="s">
        <v>411</v>
      </c>
      <c r="F1085" t="s">
        <v>4</v>
      </c>
      <c r="G1085" t="s">
        <v>5</v>
      </c>
      <c r="H1085" s="3">
        <v>5174.95</v>
      </c>
      <c r="I1085" t="s">
        <v>687</v>
      </c>
      <c r="J1085" t="s">
        <v>413</v>
      </c>
      <c r="K1085" t="s">
        <v>8</v>
      </c>
      <c r="L1085" t="s">
        <v>688</v>
      </c>
      <c r="M1085" t="s">
        <v>8</v>
      </c>
      <c r="N1085" t="s">
        <v>689</v>
      </c>
      <c r="O1085" t="s">
        <v>29</v>
      </c>
      <c r="P1085" t="s">
        <v>77</v>
      </c>
    </row>
    <row r="1086" spans="1:16" x14ac:dyDescent="0.25">
      <c r="A1086" t="s">
        <v>0</v>
      </c>
      <c r="B1086" s="2">
        <v>44776</v>
      </c>
      <c r="C1086" s="5" t="s">
        <v>82</v>
      </c>
      <c r="D1086" t="s">
        <v>410</v>
      </c>
      <c r="E1086" t="s">
        <v>411</v>
      </c>
      <c r="F1086" t="s">
        <v>4</v>
      </c>
      <c r="G1086" t="s">
        <v>5</v>
      </c>
      <c r="H1086" s="3">
        <v>4641.6000000000004</v>
      </c>
      <c r="I1086" t="s">
        <v>687</v>
      </c>
      <c r="J1086" t="s">
        <v>413</v>
      </c>
      <c r="K1086" t="s">
        <v>8</v>
      </c>
      <c r="L1086" t="s">
        <v>688</v>
      </c>
      <c r="M1086" t="s">
        <v>8</v>
      </c>
      <c r="N1086" t="s">
        <v>689</v>
      </c>
      <c r="O1086" t="s">
        <v>29</v>
      </c>
      <c r="P1086" t="s">
        <v>1</v>
      </c>
    </row>
    <row r="1087" spans="1:16" x14ac:dyDescent="0.25">
      <c r="A1087" t="s">
        <v>0</v>
      </c>
      <c r="B1087" s="2">
        <v>44776</v>
      </c>
      <c r="C1087" s="5" t="s">
        <v>82</v>
      </c>
      <c r="D1087" t="s">
        <v>410</v>
      </c>
      <c r="E1087" t="s">
        <v>411</v>
      </c>
      <c r="F1087" t="s">
        <v>4</v>
      </c>
      <c r="G1087" t="s">
        <v>5</v>
      </c>
      <c r="H1087" s="3">
        <v>1919.64</v>
      </c>
      <c r="I1087" t="s">
        <v>687</v>
      </c>
      <c r="J1087" t="s">
        <v>413</v>
      </c>
      <c r="K1087" t="s">
        <v>8</v>
      </c>
      <c r="L1087" t="s">
        <v>688</v>
      </c>
      <c r="M1087" t="s">
        <v>8</v>
      </c>
      <c r="N1087" t="s">
        <v>689</v>
      </c>
      <c r="O1087" t="s">
        <v>29</v>
      </c>
      <c r="P1087" t="s">
        <v>17</v>
      </c>
    </row>
    <row r="1088" spans="1:16" x14ac:dyDescent="0.25">
      <c r="A1088" t="s">
        <v>0</v>
      </c>
      <c r="B1088" s="2">
        <v>44776</v>
      </c>
      <c r="C1088" s="5" t="s">
        <v>82</v>
      </c>
      <c r="D1088" t="s">
        <v>410</v>
      </c>
      <c r="E1088" t="s">
        <v>411</v>
      </c>
      <c r="F1088" t="s">
        <v>4</v>
      </c>
      <c r="G1088" t="s">
        <v>5</v>
      </c>
      <c r="H1088" s="3">
        <v>846.88</v>
      </c>
      <c r="I1088" t="s">
        <v>687</v>
      </c>
      <c r="J1088" t="s">
        <v>413</v>
      </c>
      <c r="K1088" t="s">
        <v>8</v>
      </c>
      <c r="L1088" t="s">
        <v>688</v>
      </c>
      <c r="M1088" t="s">
        <v>8</v>
      </c>
      <c r="N1088" t="s">
        <v>689</v>
      </c>
      <c r="O1088" t="s">
        <v>29</v>
      </c>
      <c r="P1088" t="s">
        <v>22</v>
      </c>
    </row>
    <row r="1089" spans="1:16" x14ac:dyDescent="0.25">
      <c r="A1089" t="s">
        <v>0</v>
      </c>
      <c r="B1089" s="2">
        <v>44776</v>
      </c>
      <c r="C1089" s="5" t="s">
        <v>82</v>
      </c>
      <c r="D1089" t="s">
        <v>410</v>
      </c>
      <c r="E1089" t="s">
        <v>411</v>
      </c>
      <c r="F1089" t="s">
        <v>4</v>
      </c>
      <c r="G1089" t="s">
        <v>5</v>
      </c>
      <c r="H1089" s="3">
        <v>727.68</v>
      </c>
      <c r="I1089" t="s">
        <v>687</v>
      </c>
      <c r="J1089" t="s">
        <v>413</v>
      </c>
      <c r="K1089" t="s">
        <v>8</v>
      </c>
      <c r="L1089" t="s">
        <v>688</v>
      </c>
      <c r="M1089" t="s">
        <v>8</v>
      </c>
      <c r="N1089" t="s">
        <v>689</v>
      </c>
      <c r="O1089" t="s">
        <v>29</v>
      </c>
      <c r="P1089" t="s">
        <v>12</v>
      </c>
    </row>
    <row r="1090" spans="1:16" x14ac:dyDescent="0.25">
      <c r="A1090" t="s">
        <v>0</v>
      </c>
      <c r="B1090" s="2">
        <v>44776</v>
      </c>
      <c r="C1090" s="5" t="s">
        <v>82</v>
      </c>
      <c r="D1090" t="s">
        <v>410</v>
      </c>
      <c r="E1090" t="s">
        <v>411</v>
      </c>
      <c r="F1090" t="s">
        <v>4</v>
      </c>
      <c r="G1090" t="s">
        <v>5</v>
      </c>
      <c r="H1090" s="3">
        <v>376.32</v>
      </c>
      <c r="I1090" t="s">
        <v>557</v>
      </c>
      <c r="J1090" t="s">
        <v>413</v>
      </c>
      <c r="K1090" t="s">
        <v>8</v>
      </c>
      <c r="L1090" t="s">
        <v>558</v>
      </c>
      <c r="M1090" t="s">
        <v>8</v>
      </c>
      <c r="N1090" t="s">
        <v>559</v>
      </c>
      <c r="O1090" t="s">
        <v>29</v>
      </c>
      <c r="P1090" t="s">
        <v>1</v>
      </c>
    </row>
    <row r="1091" spans="1:16" x14ac:dyDescent="0.25">
      <c r="A1091" t="s">
        <v>0</v>
      </c>
      <c r="B1091" s="2">
        <v>44776</v>
      </c>
      <c r="C1091" s="5" t="s">
        <v>82</v>
      </c>
      <c r="D1091" t="s">
        <v>410</v>
      </c>
      <c r="E1091" t="s">
        <v>411</v>
      </c>
      <c r="F1091" t="s">
        <v>4</v>
      </c>
      <c r="G1091" t="s">
        <v>5</v>
      </c>
      <c r="H1091" s="3">
        <v>75.28</v>
      </c>
      <c r="I1091" t="s">
        <v>687</v>
      </c>
      <c r="J1091" t="s">
        <v>413</v>
      </c>
      <c r="K1091" t="s">
        <v>8</v>
      </c>
      <c r="L1091" t="s">
        <v>688</v>
      </c>
      <c r="M1091" t="s">
        <v>8</v>
      </c>
      <c r="N1091" t="s">
        <v>689</v>
      </c>
      <c r="O1091" t="s">
        <v>29</v>
      </c>
      <c r="P1091" t="s">
        <v>43</v>
      </c>
    </row>
    <row r="1092" spans="1:16" x14ac:dyDescent="0.25">
      <c r="A1092" t="s">
        <v>0</v>
      </c>
      <c r="B1092" s="2">
        <v>44778</v>
      </c>
      <c r="C1092" s="5" t="s">
        <v>82</v>
      </c>
      <c r="D1092" t="s">
        <v>2</v>
      </c>
      <c r="E1092" t="s">
        <v>3</v>
      </c>
      <c r="F1092" t="s">
        <v>4</v>
      </c>
      <c r="G1092" t="s">
        <v>5</v>
      </c>
      <c r="H1092" s="3">
        <v>352</v>
      </c>
      <c r="I1092" t="s">
        <v>1637</v>
      </c>
      <c r="J1092" t="s">
        <v>1605</v>
      </c>
      <c r="K1092" t="s">
        <v>8</v>
      </c>
      <c r="L1092" t="s">
        <v>1638</v>
      </c>
      <c r="M1092" t="s">
        <v>8</v>
      </c>
      <c r="N1092" t="s">
        <v>1639</v>
      </c>
      <c r="O1092" t="s">
        <v>16</v>
      </c>
      <c r="P1092" t="s">
        <v>1</v>
      </c>
    </row>
    <row r="1093" spans="1:16" x14ac:dyDescent="0.25">
      <c r="A1093" t="s">
        <v>0</v>
      </c>
      <c r="B1093" s="2">
        <v>44778</v>
      </c>
      <c r="C1093" s="5" t="s">
        <v>82</v>
      </c>
      <c r="D1093" t="s">
        <v>892</v>
      </c>
      <c r="E1093" t="s">
        <v>893</v>
      </c>
      <c r="F1093" t="s">
        <v>4</v>
      </c>
      <c r="G1093" t="s">
        <v>5</v>
      </c>
      <c r="H1093" s="3">
        <v>350</v>
      </c>
      <c r="I1093" t="s">
        <v>1642</v>
      </c>
      <c r="J1093" t="s">
        <v>1605</v>
      </c>
      <c r="K1093" t="s">
        <v>8</v>
      </c>
      <c r="L1093" t="s">
        <v>1638</v>
      </c>
      <c r="M1093" t="s">
        <v>8</v>
      </c>
      <c r="N1093" t="s">
        <v>1639</v>
      </c>
      <c r="O1093" t="s">
        <v>16</v>
      </c>
      <c r="P1093" t="s">
        <v>77</v>
      </c>
    </row>
    <row r="1094" spans="1:16" x14ac:dyDescent="0.25">
      <c r="A1094" t="s">
        <v>0</v>
      </c>
      <c r="B1094" s="2">
        <v>44781</v>
      </c>
      <c r="C1094" s="5" t="s">
        <v>82</v>
      </c>
      <c r="D1094" t="s">
        <v>2</v>
      </c>
      <c r="E1094" t="s">
        <v>3</v>
      </c>
      <c r="F1094" t="s">
        <v>4</v>
      </c>
      <c r="G1094" t="s">
        <v>5</v>
      </c>
      <c r="H1094" s="3">
        <v>9557.0499999999993</v>
      </c>
      <c r="I1094" t="s">
        <v>474</v>
      </c>
      <c r="J1094" t="s">
        <v>460</v>
      </c>
      <c r="K1094" t="s">
        <v>8</v>
      </c>
      <c r="L1094" t="s">
        <v>475</v>
      </c>
      <c r="M1094" t="s">
        <v>8</v>
      </c>
      <c r="N1094" t="s">
        <v>476</v>
      </c>
      <c r="O1094" t="s">
        <v>34</v>
      </c>
      <c r="P1094" t="s">
        <v>1</v>
      </c>
    </row>
    <row r="1095" spans="1:16" x14ac:dyDescent="0.25">
      <c r="A1095" t="s">
        <v>0</v>
      </c>
      <c r="B1095" s="2">
        <v>44781</v>
      </c>
      <c r="C1095" s="5" t="s">
        <v>82</v>
      </c>
      <c r="D1095" t="s">
        <v>969</v>
      </c>
      <c r="E1095" t="s">
        <v>970</v>
      </c>
      <c r="F1095" t="s">
        <v>4</v>
      </c>
      <c r="G1095" t="s">
        <v>5</v>
      </c>
      <c r="H1095" s="3">
        <v>420.36</v>
      </c>
      <c r="I1095" t="s">
        <v>1581</v>
      </c>
      <c r="J1095" t="s">
        <v>1483</v>
      </c>
      <c r="K1095" t="s">
        <v>8</v>
      </c>
      <c r="L1095" t="s">
        <v>8</v>
      </c>
      <c r="M1095" t="s">
        <v>8</v>
      </c>
      <c r="N1095" t="s">
        <v>1583</v>
      </c>
      <c r="O1095" t="s">
        <v>974</v>
      </c>
      <c r="P1095" t="s">
        <v>1</v>
      </c>
    </row>
    <row r="1096" spans="1:16" x14ac:dyDescent="0.25">
      <c r="A1096" t="s">
        <v>0</v>
      </c>
      <c r="B1096" s="2">
        <v>44782</v>
      </c>
      <c r="C1096" s="5" t="s">
        <v>82</v>
      </c>
      <c r="D1096" t="s">
        <v>539</v>
      </c>
      <c r="E1096" t="s">
        <v>540</v>
      </c>
      <c r="F1096" t="s">
        <v>4</v>
      </c>
      <c r="G1096" t="s">
        <v>5</v>
      </c>
      <c r="H1096" s="3">
        <v>3483.6</v>
      </c>
      <c r="I1096" t="s">
        <v>787</v>
      </c>
      <c r="J1096" t="s">
        <v>542</v>
      </c>
      <c r="K1096" t="s">
        <v>8</v>
      </c>
      <c r="L1096" t="s">
        <v>788</v>
      </c>
      <c r="M1096" t="s">
        <v>8</v>
      </c>
      <c r="N1096" t="s">
        <v>789</v>
      </c>
      <c r="O1096" t="s">
        <v>16</v>
      </c>
      <c r="P1096" t="s">
        <v>12</v>
      </c>
    </row>
    <row r="1097" spans="1:16" x14ac:dyDescent="0.25">
      <c r="A1097" t="s">
        <v>0</v>
      </c>
      <c r="B1097" s="2">
        <v>44783</v>
      </c>
      <c r="C1097" s="5" t="s">
        <v>82</v>
      </c>
      <c r="D1097" t="s">
        <v>539</v>
      </c>
      <c r="E1097" t="s">
        <v>540</v>
      </c>
      <c r="F1097" t="s">
        <v>4</v>
      </c>
      <c r="G1097" t="s">
        <v>5</v>
      </c>
      <c r="H1097" s="3">
        <v>8135.89</v>
      </c>
      <c r="I1097" t="s">
        <v>541</v>
      </c>
      <c r="J1097" t="s">
        <v>542</v>
      </c>
      <c r="K1097" t="s">
        <v>8</v>
      </c>
      <c r="L1097" t="s">
        <v>551</v>
      </c>
      <c r="M1097" t="s">
        <v>8</v>
      </c>
      <c r="N1097" t="s">
        <v>552</v>
      </c>
      <c r="O1097" t="s">
        <v>16</v>
      </c>
      <c r="P1097" t="s">
        <v>12</v>
      </c>
    </row>
    <row r="1098" spans="1:16" x14ac:dyDescent="0.25">
      <c r="A1098" t="s">
        <v>0</v>
      </c>
      <c r="B1098" s="2">
        <v>44783</v>
      </c>
      <c r="C1098" s="5" t="s">
        <v>82</v>
      </c>
      <c r="D1098" t="s">
        <v>1517</v>
      </c>
      <c r="E1098" t="s">
        <v>1518</v>
      </c>
      <c r="F1098" t="s">
        <v>4</v>
      </c>
      <c r="G1098" t="s">
        <v>5</v>
      </c>
      <c r="H1098" s="3">
        <v>438.9</v>
      </c>
      <c r="I1098" t="s">
        <v>1541</v>
      </c>
      <c r="J1098" t="s">
        <v>1520</v>
      </c>
      <c r="K1098" t="s">
        <v>8</v>
      </c>
      <c r="L1098" t="s">
        <v>1542</v>
      </c>
      <c r="M1098" t="s">
        <v>8</v>
      </c>
      <c r="N1098" t="s">
        <v>1543</v>
      </c>
      <c r="O1098" t="s">
        <v>16</v>
      </c>
      <c r="P1098" t="s">
        <v>1</v>
      </c>
    </row>
    <row r="1099" spans="1:16" x14ac:dyDescent="0.25">
      <c r="A1099" t="s">
        <v>0</v>
      </c>
      <c r="B1099" s="2">
        <v>44784</v>
      </c>
      <c r="C1099" s="5" t="s">
        <v>82</v>
      </c>
      <c r="D1099" t="s">
        <v>384</v>
      </c>
      <c r="E1099" t="s">
        <v>385</v>
      </c>
      <c r="F1099" t="s">
        <v>4</v>
      </c>
      <c r="G1099" t="s">
        <v>5</v>
      </c>
      <c r="H1099" s="3">
        <v>800.99</v>
      </c>
      <c r="I1099" t="s">
        <v>871</v>
      </c>
      <c r="J1099" t="s">
        <v>1242</v>
      </c>
      <c r="K1099" t="s">
        <v>8</v>
      </c>
      <c r="L1099" t="s">
        <v>8</v>
      </c>
      <c r="M1099" t="s">
        <v>8</v>
      </c>
      <c r="N1099" t="s">
        <v>1337</v>
      </c>
      <c r="O1099" t="s">
        <v>389</v>
      </c>
      <c r="P1099" t="s">
        <v>1</v>
      </c>
    </row>
    <row r="1100" spans="1:16" x14ac:dyDescent="0.25">
      <c r="A1100" t="s">
        <v>0</v>
      </c>
      <c r="B1100" s="2">
        <v>44784</v>
      </c>
      <c r="C1100" s="5" t="s">
        <v>82</v>
      </c>
      <c r="D1100" t="s">
        <v>1340</v>
      </c>
      <c r="E1100" t="s">
        <v>1341</v>
      </c>
      <c r="F1100" t="s">
        <v>4</v>
      </c>
      <c r="G1100" t="s">
        <v>5</v>
      </c>
      <c r="H1100" s="3">
        <v>564.41</v>
      </c>
      <c r="I1100" t="s">
        <v>1437</v>
      </c>
      <c r="J1100" t="s">
        <v>1343</v>
      </c>
      <c r="K1100" t="s">
        <v>8</v>
      </c>
      <c r="L1100" t="s">
        <v>1438</v>
      </c>
      <c r="M1100" t="s">
        <v>8</v>
      </c>
      <c r="N1100" t="s">
        <v>1439</v>
      </c>
      <c r="O1100" t="s">
        <v>16</v>
      </c>
      <c r="P1100" t="s">
        <v>1351</v>
      </c>
    </row>
    <row r="1101" spans="1:16" x14ac:dyDescent="0.25">
      <c r="A1101" t="s">
        <v>0</v>
      </c>
      <c r="B1101" s="2">
        <v>44784</v>
      </c>
      <c r="C1101" s="5" t="s">
        <v>82</v>
      </c>
      <c r="D1101" t="s">
        <v>384</v>
      </c>
      <c r="E1101" t="s">
        <v>385</v>
      </c>
      <c r="F1101" t="s">
        <v>4</v>
      </c>
      <c r="G1101" t="s">
        <v>5</v>
      </c>
      <c r="H1101" s="3">
        <v>238.11</v>
      </c>
      <c r="I1101" t="s">
        <v>1746</v>
      </c>
      <c r="J1101" t="s">
        <v>1242</v>
      </c>
      <c r="K1101" t="s">
        <v>8</v>
      </c>
      <c r="L1101" t="s">
        <v>8</v>
      </c>
      <c r="M1101" t="s">
        <v>8</v>
      </c>
      <c r="N1101" t="s">
        <v>1337</v>
      </c>
      <c r="O1101" t="s">
        <v>389</v>
      </c>
      <c r="P1101" t="s">
        <v>12</v>
      </c>
    </row>
    <row r="1102" spans="1:16" x14ac:dyDescent="0.25">
      <c r="A1102" t="s">
        <v>0</v>
      </c>
      <c r="B1102" s="2">
        <v>44785</v>
      </c>
      <c r="C1102" s="5" t="s">
        <v>82</v>
      </c>
      <c r="D1102" t="s">
        <v>384</v>
      </c>
      <c r="E1102" t="s">
        <v>385</v>
      </c>
      <c r="F1102" t="s">
        <v>4</v>
      </c>
      <c r="G1102" t="s">
        <v>5</v>
      </c>
      <c r="H1102" s="3">
        <v>1406.96</v>
      </c>
      <c r="I1102" t="s">
        <v>871</v>
      </c>
      <c r="J1102" t="s">
        <v>1104</v>
      </c>
      <c r="K1102" t="s">
        <v>8</v>
      </c>
      <c r="L1102" t="s">
        <v>8</v>
      </c>
      <c r="M1102" t="s">
        <v>8</v>
      </c>
      <c r="N1102" t="s">
        <v>1105</v>
      </c>
      <c r="O1102" t="s">
        <v>389</v>
      </c>
      <c r="P1102" t="s">
        <v>1</v>
      </c>
    </row>
    <row r="1103" spans="1:16" x14ac:dyDescent="0.25">
      <c r="A1103" t="s">
        <v>0</v>
      </c>
      <c r="B1103" s="2">
        <v>44785</v>
      </c>
      <c r="C1103" s="5" t="s">
        <v>82</v>
      </c>
      <c r="D1103" t="s">
        <v>384</v>
      </c>
      <c r="E1103" t="s">
        <v>385</v>
      </c>
      <c r="F1103" t="s">
        <v>4</v>
      </c>
      <c r="G1103" t="s">
        <v>5</v>
      </c>
      <c r="H1103" s="3">
        <v>1000</v>
      </c>
      <c r="I1103" t="s">
        <v>1218</v>
      </c>
      <c r="J1103" t="s">
        <v>912</v>
      </c>
      <c r="K1103" t="s">
        <v>8</v>
      </c>
      <c r="L1103" t="s">
        <v>8</v>
      </c>
      <c r="M1103" t="s">
        <v>8</v>
      </c>
      <c r="N1103" t="s">
        <v>1219</v>
      </c>
      <c r="O1103" t="s">
        <v>389</v>
      </c>
      <c r="P1103" t="s">
        <v>77</v>
      </c>
    </row>
    <row r="1104" spans="1:16" x14ac:dyDescent="0.25">
      <c r="A1104" t="s">
        <v>0</v>
      </c>
      <c r="B1104" s="2">
        <v>44785</v>
      </c>
      <c r="C1104" s="5" t="s">
        <v>82</v>
      </c>
      <c r="D1104" t="s">
        <v>384</v>
      </c>
      <c r="E1104" t="s">
        <v>385</v>
      </c>
      <c r="F1104" t="s">
        <v>4</v>
      </c>
      <c r="G1104" t="s">
        <v>5</v>
      </c>
      <c r="H1104" s="3">
        <v>900</v>
      </c>
      <c r="I1104" t="s">
        <v>1270</v>
      </c>
      <c r="J1104" t="s">
        <v>1104</v>
      </c>
      <c r="K1104" t="s">
        <v>8</v>
      </c>
      <c r="L1104" t="s">
        <v>8</v>
      </c>
      <c r="M1104" t="s">
        <v>8</v>
      </c>
      <c r="N1104" t="s">
        <v>1105</v>
      </c>
      <c r="O1104" t="s">
        <v>389</v>
      </c>
      <c r="P1104" t="s">
        <v>43</v>
      </c>
    </row>
    <row r="1105" spans="1:16" x14ac:dyDescent="0.25">
      <c r="A1105" t="s">
        <v>0</v>
      </c>
      <c r="B1105" s="2">
        <v>44785</v>
      </c>
      <c r="C1105" s="5" t="s">
        <v>82</v>
      </c>
      <c r="D1105" t="s">
        <v>384</v>
      </c>
      <c r="E1105" t="s">
        <v>385</v>
      </c>
      <c r="F1105" t="s">
        <v>4</v>
      </c>
      <c r="G1105" t="s">
        <v>5</v>
      </c>
      <c r="H1105" s="3">
        <v>775.44</v>
      </c>
      <c r="I1105" t="s">
        <v>871</v>
      </c>
      <c r="J1105" t="s">
        <v>912</v>
      </c>
      <c r="K1105" t="s">
        <v>8</v>
      </c>
      <c r="L1105" t="s">
        <v>8</v>
      </c>
      <c r="M1105" t="s">
        <v>8</v>
      </c>
      <c r="N1105" t="s">
        <v>1219</v>
      </c>
      <c r="O1105" t="s">
        <v>389</v>
      </c>
      <c r="P1105" t="s">
        <v>1</v>
      </c>
    </row>
    <row r="1106" spans="1:16" x14ac:dyDescent="0.25">
      <c r="A1106" t="s">
        <v>0</v>
      </c>
      <c r="B1106" s="2">
        <v>44785</v>
      </c>
      <c r="C1106" s="5" t="s">
        <v>82</v>
      </c>
      <c r="D1106" t="s">
        <v>384</v>
      </c>
      <c r="E1106" t="s">
        <v>385</v>
      </c>
      <c r="F1106" t="s">
        <v>4</v>
      </c>
      <c r="G1106" t="s">
        <v>5</v>
      </c>
      <c r="H1106" s="3">
        <v>380</v>
      </c>
      <c r="I1106" t="s">
        <v>1142</v>
      </c>
      <c r="J1106" t="s">
        <v>912</v>
      </c>
      <c r="K1106" t="s">
        <v>8</v>
      </c>
      <c r="L1106" t="s">
        <v>8</v>
      </c>
      <c r="M1106" t="s">
        <v>8</v>
      </c>
      <c r="N1106" t="s">
        <v>1219</v>
      </c>
      <c r="O1106" t="s">
        <v>389</v>
      </c>
      <c r="P1106" t="s">
        <v>12</v>
      </c>
    </row>
    <row r="1107" spans="1:16" x14ac:dyDescent="0.25">
      <c r="A1107" t="s">
        <v>0</v>
      </c>
      <c r="B1107" s="2">
        <v>44785</v>
      </c>
      <c r="C1107" s="5" t="s">
        <v>82</v>
      </c>
      <c r="D1107" t="s">
        <v>384</v>
      </c>
      <c r="E1107" t="s">
        <v>385</v>
      </c>
      <c r="F1107" t="s">
        <v>4</v>
      </c>
      <c r="G1107" t="s">
        <v>5</v>
      </c>
      <c r="H1107" s="3">
        <v>335</v>
      </c>
      <c r="I1107" t="s">
        <v>1651</v>
      </c>
      <c r="J1107" t="s">
        <v>1104</v>
      </c>
      <c r="K1107" t="s">
        <v>8</v>
      </c>
      <c r="L1107" t="s">
        <v>8</v>
      </c>
      <c r="M1107" t="s">
        <v>8</v>
      </c>
      <c r="N1107" t="s">
        <v>1105</v>
      </c>
      <c r="O1107" t="s">
        <v>389</v>
      </c>
      <c r="P1107" t="s">
        <v>12</v>
      </c>
    </row>
    <row r="1108" spans="1:16" x14ac:dyDescent="0.25">
      <c r="A1108" t="s">
        <v>0</v>
      </c>
      <c r="B1108" s="2">
        <v>44785</v>
      </c>
      <c r="C1108" s="5" t="s">
        <v>82</v>
      </c>
      <c r="D1108" t="s">
        <v>1201</v>
      </c>
      <c r="E1108" t="s">
        <v>1202</v>
      </c>
      <c r="F1108" t="s">
        <v>4</v>
      </c>
      <c r="G1108" t="s">
        <v>5</v>
      </c>
      <c r="H1108" s="3">
        <v>309.60000000000002</v>
      </c>
      <c r="I1108" t="s">
        <v>1689</v>
      </c>
      <c r="J1108" t="s">
        <v>912</v>
      </c>
      <c r="K1108" t="s">
        <v>8</v>
      </c>
      <c r="L1108" t="s">
        <v>8</v>
      </c>
      <c r="M1108" t="s">
        <v>8</v>
      </c>
      <c r="N1108" t="s">
        <v>1219</v>
      </c>
      <c r="O1108" t="s">
        <v>389</v>
      </c>
      <c r="P1108" t="s">
        <v>22</v>
      </c>
    </row>
    <row r="1109" spans="1:16" x14ac:dyDescent="0.25">
      <c r="A1109" t="s">
        <v>0</v>
      </c>
      <c r="B1109" s="2">
        <v>44785</v>
      </c>
      <c r="C1109" s="5" t="s">
        <v>82</v>
      </c>
      <c r="D1109" t="s">
        <v>1201</v>
      </c>
      <c r="E1109" t="s">
        <v>1202</v>
      </c>
      <c r="F1109" t="s">
        <v>4</v>
      </c>
      <c r="G1109" t="s">
        <v>5</v>
      </c>
      <c r="H1109" s="3">
        <v>283.8</v>
      </c>
      <c r="I1109" t="s">
        <v>1717</v>
      </c>
      <c r="J1109" t="s">
        <v>1718</v>
      </c>
      <c r="K1109" t="s">
        <v>8</v>
      </c>
      <c r="L1109" t="s">
        <v>8</v>
      </c>
      <c r="M1109" t="s">
        <v>8</v>
      </c>
      <c r="N1109" t="s">
        <v>1719</v>
      </c>
      <c r="O1109" t="s">
        <v>389</v>
      </c>
      <c r="P1109" t="s">
        <v>12</v>
      </c>
    </row>
    <row r="1110" spans="1:16" x14ac:dyDescent="0.25">
      <c r="A1110" t="s">
        <v>0</v>
      </c>
      <c r="B1110" s="2">
        <v>44785</v>
      </c>
      <c r="C1110" s="5" t="s">
        <v>82</v>
      </c>
      <c r="D1110" t="s">
        <v>384</v>
      </c>
      <c r="E1110" t="s">
        <v>385</v>
      </c>
      <c r="F1110" t="s">
        <v>4</v>
      </c>
      <c r="G1110" t="s">
        <v>5</v>
      </c>
      <c r="H1110" s="3">
        <v>230</v>
      </c>
      <c r="I1110" t="s">
        <v>1759</v>
      </c>
      <c r="J1110" t="s">
        <v>1718</v>
      </c>
      <c r="K1110" t="s">
        <v>8</v>
      </c>
      <c r="L1110" t="s">
        <v>8</v>
      </c>
      <c r="M1110" t="s">
        <v>8</v>
      </c>
      <c r="N1110" t="s">
        <v>1719</v>
      </c>
      <c r="O1110" t="s">
        <v>389</v>
      </c>
      <c r="P1110" t="s">
        <v>1</v>
      </c>
    </row>
    <row r="1111" spans="1:16" x14ac:dyDescent="0.25">
      <c r="A1111" t="s">
        <v>0</v>
      </c>
      <c r="B1111" s="2">
        <v>44785</v>
      </c>
      <c r="C1111" s="5" t="s">
        <v>82</v>
      </c>
      <c r="D1111" t="s">
        <v>384</v>
      </c>
      <c r="E1111" t="s">
        <v>385</v>
      </c>
      <c r="F1111" t="s">
        <v>4</v>
      </c>
      <c r="G1111" t="s">
        <v>5</v>
      </c>
      <c r="H1111" s="3">
        <v>173.03</v>
      </c>
      <c r="I1111" t="s">
        <v>1810</v>
      </c>
      <c r="J1111" t="s">
        <v>1104</v>
      </c>
      <c r="K1111" t="s">
        <v>8</v>
      </c>
      <c r="L1111" t="s">
        <v>8</v>
      </c>
      <c r="M1111" t="s">
        <v>8</v>
      </c>
      <c r="N1111" t="s">
        <v>1105</v>
      </c>
      <c r="O1111" t="s">
        <v>389</v>
      </c>
      <c r="P1111" t="s">
        <v>22</v>
      </c>
    </row>
    <row r="1112" spans="1:16" x14ac:dyDescent="0.25">
      <c r="A1112" t="s">
        <v>0</v>
      </c>
      <c r="B1112" s="2">
        <v>44785</v>
      </c>
      <c r="C1112" s="5" t="s">
        <v>82</v>
      </c>
      <c r="D1112" t="s">
        <v>384</v>
      </c>
      <c r="E1112" t="s">
        <v>385</v>
      </c>
      <c r="F1112" t="s">
        <v>4</v>
      </c>
      <c r="G1112" t="s">
        <v>5</v>
      </c>
      <c r="H1112" s="3">
        <v>170</v>
      </c>
      <c r="I1112" t="s">
        <v>1816</v>
      </c>
      <c r="J1112" t="s">
        <v>1104</v>
      </c>
      <c r="K1112" t="s">
        <v>8</v>
      </c>
      <c r="L1112" t="s">
        <v>8</v>
      </c>
      <c r="M1112" t="s">
        <v>8</v>
      </c>
      <c r="N1112" t="s">
        <v>1105</v>
      </c>
      <c r="O1112" t="s">
        <v>389</v>
      </c>
      <c r="P1112" t="s">
        <v>17</v>
      </c>
    </row>
    <row r="1113" spans="1:16" x14ac:dyDescent="0.25">
      <c r="A1113" t="s">
        <v>0</v>
      </c>
      <c r="B1113" s="2">
        <v>44785</v>
      </c>
      <c r="C1113" s="5" t="s">
        <v>82</v>
      </c>
      <c r="D1113" t="s">
        <v>1201</v>
      </c>
      <c r="E1113" t="s">
        <v>1202</v>
      </c>
      <c r="F1113" t="s">
        <v>4</v>
      </c>
      <c r="G1113" t="s">
        <v>5</v>
      </c>
      <c r="H1113" s="3">
        <v>94.6</v>
      </c>
      <c r="I1113" t="s">
        <v>1947</v>
      </c>
      <c r="J1113" t="s">
        <v>1104</v>
      </c>
      <c r="K1113" t="s">
        <v>8</v>
      </c>
      <c r="L1113" t="s">
        <v>8</v>
      </c>
      <c r="M1113" t="s">
        <v>8</v>
      </c>
      <c r="N1113" t="s">
        <v>1105</v>
      </c>
      <c r="O1113" t="s">
        <v>389</v>
      </c>
      <c r="P1113" t="s">
        <v>82</v>
      </c>
    </row>
    <row r="1114" spans="1:16" x14ac:dyDescent="0.25">
      <c r="A1114" t="s">
        <v>0</v>
      </c>
      <c r="B1114" s="2">
        <v>44785</v>
      </c>
      <c r="C1114" s="5" t="s">
        <v>82</v>
      </c>
      <c r="D1114" t="s">
        <v>384</v>
      </c>
      <c r="E1114" t="s">
        <v>385</v>
      </c>
      <c r="F1114" t="s">
        <v>4</v>
      </c>
      <c r="G1114" t="s">
        <v>5</v>
      </c>
      <c r="H1114" s="3">
        <v>73.5</v>
      </c>
      <c r="I1114" t="s">
        <v>1877</v>
      </c>
      <c r="J1114" t="s">
        <v>912</v>
      </c>
      <c r="K1114" t="s">
        <v>8</v>
      </c>
      <c r="L1114" t="s">
        <v>8</v>
      </c>
      <c r="M1114" t="s">
        <v>8</v>
      </c>
      <c r="N1114" t="s">
        <v>1219</v>
      </c>
      <c r="O1114" t="s">
        <v>389</v>
      </c>
      <c r="P1114" t="s">
        <v>43</v>
      </c>
    </row>
    <row r="1115" spans="1:16" x14ac:dyDescent="0.25">
      <c r="A1115" t="s">
        <v>0</v>
      </c>
      <c r="B1115" s="2">
        <v>44785</v>
      </c>
      <c r="C1115" s="5" t="s">
        <v>82</v>
      </c>
      <c r="D1115" t="s">
        <v>384</v>
      </c>
      <c r="E1115" t="s">
        <v>385</v>
      </c>
      <c r="F1115" t="s">
        <v>4</v>
      </c>
      <c r="G1115" t="s">
        <v>5</v>
      </c>
      <c r="H1115" s="3">
        <v>34.4</v>
      </c>
      <c r="I1115" t="s">
        <v>1757</v>
      </c>
      <c r="J1115" t="s">
        <v>1104</v>
      </c>
      <c r="K1115" t="s">
        <v>8</v>
      </c>
      <c r="L1115" t="s">
        <v>8</v>
      </c>
      <c r="M1115" t="s">
        <v>8</v>
      </c>
      <c r="N1115" t="s">
        <v>1105</v>
      </c>
      <c r="O1115" t="s">
        <v>389</v>
      </c>
      <c r="P1115" t="s">
        <v>72</v>
      </c>
    </row>
    <row r="1116" spans="1:16" x14ac:dyDescent="0.25">
      <c r="A1116" t="s">
        <v>0</v>
      </c>
      <c r="B1116" s="2">
        <v>44785</v>
      </c>
      <c r="C1116" s="5" t="s">
        <v>82</v>
      </c>
      <c r="D1116" t="s">
        <v>384</v>
      </c>
      <c r="E1116" t="s">
        <v>385</v>
      </c>
      <c r="F1116" t="s">
        <v>4</v>
      </c>
      <c r="G1116" t="s">
        <v>5</v>
      </c>
      <c r="H1116" s="3">
        <v>27</v>
      </c>
      <c r="I1116" t="s">
        <v>2100</v>
      </c>
      <c r="J1116" t="s">
        <v>912</v>
      </c>
      <c r="K1116" t="s">
        <v>8</v>
      </c>
      <c r="L1116" t="s">
        <v>8</v>
      </c>
      <c r="M1116" t="s">
        <v>8</v>
      </c>
      <c r="N1116" t="s">
        <v>1219</v>
      </c>
      <c r="O1116" t="s">
        <v>389</v>
      </c>
      <c r="P1116" t="s">
        <v>17</v>
      </c>
    </row>
    <row r="1117" spans="1:16" x14ac:dyDescent="0.25">
      <c r="A1117" t="s">
        <v>0</v>
      </c>
      <c r="B1117" s="2">
        <v>44785</v>
      </c>
      <c r="C1117" s="5" t="s">
        <v>82</v>
      </c>
      <c r="D1117" t="s">
        <v>384</v>
      </c>
      <c r="E1117" t="s">
        <v>385</v>
      </c>
      <c r="F1117" t="s">
        <v>4</v>
      </c>
      <c r="G1117" t="s">
        <v>5</v>
      </c>
      <c r="H1117" s="3">
        <v>7</v>
      </c>
      <c r="I1117" t="s">
        <v>2149</v>
      </c>
      <c r="J1117" t="s">
        <v>1104</v>
      </c>
      <c r="K1117" t="s">
        <v>8</v>
      </c>
      <c r="L1117" t="s">
        <v>8</v>
      </c>
      <c r="M1117" t="s">
        <v>8</v>
      </c>
      <c r="N1117" t="s">
        <v>1105</v>
      </c>
      <c r="O1117" t="s">
        <v>389</v>
      </c>
      <c r="P1117" t="s">
        <v>77</v>
      </c>
    </row>
    <row r="1118" spans="1:16" x14ac:dyDescent="0.25">
      <c r="A1118" t="s">
        <v>0</v>
      </c>
      <c r="B1118" s="2">
        <v>44788</v>
      </c>
      <c r="C1118" s="5" t="s">
        <v>82</v>
      </c>
      <c r="D1118" t="s">
        <v>1045</v>
      </c>
      <c r="E1118" t="s">
        <v>1046</v>
      </c>
      <c r="F1118" t="s">
        <v>4</v>
      </c>
      <c r="G1118" t="s">
        <v>5</v>
      </c>
      <c r="H1118" s="3">
        <v>666</v>
      </c>
      <c r="I1118" t="s">
        <v>1392</v>
      </c>
      <c r="J1118" t="s">
        <v>1108</v>
      </c>
      <c r="K1118" t="s">
        <v>8</v>
      </c>
      <c r="L1118" t="s">
        <v>8</v>
      </c>
      <c r="M1118" t="s">
        <v>8</v>
      </c>
      <c r="N1118" t="s">
        <v>1393</v>
      </c>
      <c r="O1118" t="s">
        <v>29</v>
      </c>
      <c r="P1118" t="s">
        <v>1</v>
      </c>
    </row>
    <row r="1119" spans="1:16" x14ac:dyDescent="0.25">
      <c r="A1119" t="s">
        <v>0</v>
      </c>
      <c r="B1119" s="2">
        <v>44789</v>
      </c>
      <c r="C1119" s="5" t="s">
        <v>82</v>
      </c>
      <c r="D1119" t="s">
        <v>969</v>
      </c>
      <c r="E1119" t="s">
        <v>970</v>
      </c>
      <c r="F1119" t="s">
        <v>4</v>
      </c>
      <c r="G1119" t="s">
        <v>5</v>
      </c>
      <c r="H1119" s="3">
        <v>1882.92</v>
      </c>
      <c r="I1119" t="s">
        <v>988</v>
      </c>
      <c r="J1119" t="s">
        <v>972</v>
      </c>
      <c r="K1119" t="s">
        <v>8</v>
      </c>
      <c r="L1119" t="s">
        <v>8</v>
      </c>
      <c r="M1119" t="s">
        <v>8</v>
      </c>
      <c r="N1119" t="s">
        <v>993</v>
      </c>
      <c r="O1119" t="s">
        <v>992</v>
      </c>
      <c r="P1119" t="s">
        <v>342</v>
      </c>
    </row>
    <row r="1120" spans="1:16" x14ac:dyDescent="0.25">
      <c r="A1120" t="s">
        <v>0</v>
      </c>
      <c r="B1120" s="2">
        <v>44789</v>
      </c>
      <c r="C1120" s="5" t="s">
        <v>82</v>
      </c>
      <c r="D1120" t="s">
        <v>373</v>
      </c>
      <c r="E1120" t="s">
        <v>374</v>
      </c>
      <c r="F1120" t="s">
        <v>4</v>
      </c>
      <c r="G1120" t="s">
        <v>5</v>
      </c>
      <c r="H1120" s="3">
        <v>833.94</v>
      </c>
      <c r="I1120" t="s">
        <v>5</v>
      </c>
      <c r="J1120" t="s">
        <v>1302</v>
      </c>
      <c r="K1120" t="s">
        <v>8</v>
      </c>
      <c r="L1120" t="s">
        <v>8</v>
      </c>
      <c r="M1120" t="s">
        <v>8</v>
      </c>
      <c r="N1120" t="s">
        <v>1310</v>
      </c>
      <c r="O1120" t="s">
        <v>992</v>
      </c>
      <c r="P1120" t="s">
        <v>1304</v>
      </c>
    </row>
    <row r="1121" spans="1:16" x14ac:dyDescent="0.25">
      <c r="A1121" t="s">
        <v>0</v>
      </c>
      <c r="B1121" s="2">
        <v>44789</v>
      </c>
      <c r="C1121" s="5" t="s">
        <v>82</v>
      </c>
      <c r="D1121" t="s">
        <v>1201</v>
      </c>
      <c r="E1121" t="s">
        <v>1202</v>
      </c>
      <c r="F1121" t="s">
        <v>4</v>
      </c>
      <c r="G1121" t="s">
        <v>5</v>
      </c>
      <c r="H1121" s="3">
        <v>602</v>
      </c>
      <c r="I1121" t="s">
        <v>1413</v>
      </c>
      <c r="J1121" t="s">
        <v>1414</v>
      </c>
      <c r="K1121" t="s">
        <v>8</v>
      </c>
      <c r="L1121" t="s">
        <v>8</v>
      </c>
      <c r="M1121" t="s">
        <v>8</v>
      </c>
      <c r="N1121" t="s">
        <v>1415</v>
      </c>
      <c r="O1121" t="s">
        <v>389</v>
      </c>
      <c r="P1121" t="s">
        <v>1</v>
      </c>
    </row>
    <row r="1122" spans="1:16" x14ac:dyDescent="0.25">
      <c r="A1122" t="s">
        <v>0</v>
      </c>
      <c r="B1122" s="2">
        <v>44789</v>
      </c>
      <c r="C1122" s="5" t="s">
        <v>82</v>
      </c>
      <c r="D1122" t="s">
        <v>969</v>
      </c>
      <c r="E1122" t="s">
        <v>970</v>
      </c>
      <c r="F1122" t="s">
        <v>4</v>
      </c>
      <c r="G1122" t="s">
        <v>5</v>
      </c>
      <c r="H1122" s="3">
        <v>420.36</v>
      </c>
      <c r="I1122" t="s">
        <v>1581</v>
      </c>
      <c r="J1122" t="s">
        <v>1483</v>
      </c>
      <c r="K1122" t="s">
        <v>8</v>
      </c>
      <c r="L1122" t="s">
        <v>8</v>
      </c>
      <c r="M1122" t="s">
        <v>8</v>
      </c>
      <c r="N1122" t="s">
        <v>1584</v>
      </c>
      <c r="O1122" t="s">
        <v>992</v>
      </c>
      <c r="P1122" t="s">
        <v>1</v>
      </c>
    </row>
    <row r="1123" spans="1:16" x14ac:dyDescent="0.25">
      <c r="A1123" t="s">
        <v>0</v>
      </c>
      <c r="B1123" s="2">
        <v>44789</v>
      </c>
      <c r="C1123" s="5" t="s">
        <v>82</v>
      </c>
      <c r="D1123" t="s">
        <v>673</v>
      </c>
      <c r="E1123" t="s">
        <v>674</v>
      </c>
      <c r="F1123" t="s">
        <v>4</v>
      </c>
      <c r="G1123" t="s">
        <v>5</v>
      </c>
      <c r="H1123" s="3">
        <v>395</v>
      </c>
      <c r="I1123" t="s">
        <v>675</v>
      </c>
      <c r="J1123" t="s">
        <v>676</v>
      </c>
      <c r="K1123" t="s">
        <v>8</v>
      </c>
      <c r="L1123" t="s">
        <v>1609</v>
      </c>
      <c r="M1123" t="s">
        <v>8</v>
      </c>
      <c r="N1123" t="s">
        <v>1610</v>
      </c>
      <c r="O1123" t="s">
        <v>450</v>
      </c>
      <c r="P1123" t="s">
        <v>12</v>
      </c>
    </row>
    <row r="1124" spans="1:16" x14ac:dyDescent="0.25">
      <c r="A1124" t="s">
        <v>0</v>
      </c>
      <c r="B1124" s="2">
        <v>44789</v>
      </c>
      <c r="C1124" s="5" t="s">
        <v>82</v>
      </c>
      <c r="D1124" t="s">
        <v>1597</v>
      </c>
      <c r="E1124" t="s">
        <v>1598</v>
      </c>
      <c r="F1124" t="s">
        <v>4</v>
      </c>
      <c r="G1124" t="s">
        <v>5</v>
      </c>
      <c r="H1124" s="3">
        <v>179.78</v>
      </c>
      <c r="I1124" t="s">
        <v>1797</v>
      </c>
      <c r="J1124" t="s">
        <v>1414</v>
      </c>
      <c r="K1124" t="s">
        <v>8</v>
      </c>
      <c r="L1124" t="s">
        <v>8</v>
      </c>
      <c r="M1124" t="s">
        <v>8</v>
      </c>
      <c r="N1124" t="s">
        <v>1415</v>
      </c>
      <c r="O1124" t="s">
        <v>389</v>
      </c>
      <c r="P1124" t="s">
        <v>12</v>
      </c>
    </row>
    <row r="1125" spans="1:16" x14ac:dyDescent="0.25">
      <c r="A1125" t="s">
        <v>0</v>
      </c>
      <c r="B1125" s="2">
        <v>44791</v>
      </c>
      <c r="C1125" s="5" t="s">
        <v>82</v>
      </c>
      <c r="D1125" t="s">
        <v>390</v>
      </c>
      <c r="E1125" t="s">
        <v>391</v>
      </c>
      <c r="F1125" t="s">
        <v>4</v>
      </c>
      <c r="G1125" t="s">
        <v>5</v>
      </c>
      <c r="H1125" s="3">
        <v>2914.5</v>
      </c>
      <c r="I1125" t="s">
        <v>808</v>
      </c>
      <c r="J1125" t="s">
        <v>809</v>
      </c>
      <c r="K1125" t="s">
        <v>8</v>
      </c>
      <c r="L1125" t="s">
        <v>845</v>
      </c>
      <c r="M1125" t="s">
        <v>8</v>
      </c>
      <c r="N1125" t="s">
        <v>846</v>
      </c>
      <c r="O1125" t="s">
        <v>16</v>
      </c>
      <c r="P1125" t="s">
        <v>1</v>
      </c>
    </row>
    <row r="1126" spans="1:16" x14ac:dyDescent="0.25">
      <c r="A1126" t="s">
        <v>0</v>
      </c>
      <c r="B1126" s="2">
        <v>44792</v>
      </c>
      <c r="C1126" s="5" t="s">
        <v>82</v>
      </c>
      <c r="D1126" t="s">
        <v>152</v>
      </c>
      <c r="E1126" t="s">
        <v>153</v>
      </c>
      <c r="F1126" t="s">
        <v>4</v>
      </c>
      <c r="G1126" t="s">
        <v>5</v>
      </c>
      <c r="H1126" s="3">
        <v>1185.92</v>
      </c>
      <c r="I1126" t="s">
        <v>1152</v>
      </c>
      <c r="J1126" t="s">
        <v>153</v>
      </c>
      <c r="K1126" t="s">
        <v>8</v>
      </c>
      <c r="L1126" t="s">
        <v>8</v>
      </c>
      <c r="M1126" t="s">
        <v>8</v>
      </c>
      <c r="N1126" t="s">
        <v>1153</v>
      </c>
      <c r="O1126" t="s">
        <v>641</v>
      </c>
      <c r="P1126" t="s">
        <v>1154</v>
      </c>
    </row>
    <row r="1127" spans="1:16" x14ac:dyDescent="0.25">
      <c r="A1127" t="s">
        <v>0</v>
      </c>
      <c r="B1127" s="2">
        <v>44792</v>
      </c>
      <c r="C1127" s="5" t="s">
        <v>82</v>
      </c>
      <c r="D1127" t="s">
        <v>152</v>
      </c>
      <c r="E1127" t="s">
        <v>153</v>
      </c>
      <c r="F1127" t="s">
        <v>4</v>
      </c>
      <c r="G1127" t="s">
        <v>5</v>
      </c>
      <c r="H1127" s="3">
        <v>858.16</v>
      </c>
      <c r="I1127" t="s">
        <v>1287</v>
      </c>
      <c r="J1127" t="s">
        <v>153</v>
      </c>
      <c r="K1127" t="s">
        <v>8</v>
      </c>
      <c r="L1127" t="s">
        <v>8</v>
      </c>
      <c r="M1127" t="s">
        <v>8</v>
      </c>
      <c r="N1127" t="s">
        <v>1288</v>
      </c>
      <c r="O1127" t="s">
        <v>641</v>
      </c>
      <c r="P1127" t="s">
        <v>1113</v>
      </c>
    </row>
    <row r="1128" spans="1:16" x14ac:dyDescent="0.25">
      <c r="A1128" t="s">
        <v>0</v>
      </c>
      <c r="B1128" s="2">
        <v>44792</v>
      </c>
      <c r="C1128" s="5" t="s">
        <v>82</v>
      </c>
      <c r="D1128" t="s">
        <v>1207</v>
      </c>
      <c r="E1128" t="s">
        <v>1208</v>
      </c>
      <c r="F1128" t="s">
        <v>4</v>
      </c>
      <c r="G1128" t="s">
        <v>5</v>
      </c>
      <c r="H1128" s="3">
        <v>774.65</v>
      </c>
      <c r="I1128" t="s">
        <v>1357</v>
      </c>
      <c r="J1128" t="s">
        <v>153</v>
      </c>
      <c r="K1128" t="s">
        <v>8</v>
      </c>
      <c r="L1128" t="s">
        <v>8</v>
      </c>
      <c r="M1128" t="s">
        <v>8</v>
      </c>
      <c r="N1128" t="s">
        <v>1288</v>
      </c>
      <c r="O1128" t="s">
        <v>641</v>
      </c>
      <c r="P1128" t="s">
        <v>1154</v>
      </c>
    </row>
    <row r="1129" spans="1:16" x14ac:dyDescent="0.25">
      <c r="A1129" t="s">
        <v>0</v>
      </c>
      <c r="B1129" s="2">
        <v>44792</v>
      </c>
      <c r="C1129" s="5" t="s">
        <v>82</v>
      </c>
      <c r="D1129" t="s">
        <v>152</v>
      </c>
      <c r="E1129" t="s">
        <v>153</v>
      </c>
      <c r="F1129" t="s">
        <v>4</v>
      </c>
      <c r="G1129" t="s">
        <v>5</v>
      </c>
      <c r="H1129" s="3">
        <v>213.84</v>
      </c>
      <c r="I1129" t="s">
        <v>1768</v>
      </c>
      <c r="J1129" t="s">
        <v>153</v>
      </c>
      <c r="K1129" t="s">
        <v>8</v>
      </c>
      <c r="L1129" t="s">
        <v>8</v>
      </c>
      <c r="M1129" t="s">
        <v>8</v>
      </c>
      <c r="N1129" t="s">
        <v>1153</v>
      </c>
      <c r="O1129" t="s">
        <v>641</v>
      </c>
      <c r="P1129" t="s">
        <v>30</v>
      </c>
    </row>
    <row r="1130" spans="1:16" x14ac:dyDescent="0.25">
      <c r="A1130" t="s">
        <v>0</v>
      </c>
      <c r="B1130" s="2">
        <v>44793</v>
      </c>
      <c r="C1130" s="5" t="s">
        <v>82</v>
      </c>
      <c r="D1130" t="s">
        <v>1373</v>
      </c>
      <c r="E1130" t="s">
        <v>1374</v>
      </c>
      <c r="F1130" t="s">
        <v>4</v>
      </c>
      <c r="G1130" t="s">
        <v>5</v>
      </c>
      <c r="H1130" s="3">
        <v>699.43</v>
      </c>
      <c r="I1130" t="s">
        <v>1375</v>
      </c>
      <c r="J1130" t="s">
        <v>1376</v>
      </c>
      <c r="K1130" t="s">
        <v>8</v>
      </c>
      <c r="L1130" t="s">
        <v>8</v>
      </c>
      <c r="M1130" t="s">
        <v>8</v>
      </c>
      <c r="N1130" t="s">
        <v>1377</v>
      </c>
      <c r="O1130" t="s">
        <v>389</v>
      </c>
      <c r="P1130" t="s">
        <v>1</v>
      </c>
    </row>
    <row r="1131" spans="1:16" x14ac:dyDescent="0.25">
      <c r="A1131" t="s">
        <v>0</v>
      </c>
      <c r="B1131" s="2">
        <v>44793</v>
      </c>
      <c r="C1131" s="5" t="s">
        <v>82</v>
      </c>
      <c r="D1131" t="s">
        <v>384</v>
      </c>
      <c r="E1131" t="s">
        <v>385</v>
      </c>
      <c r="F1131" t="s">
        <v>4</v>
      </c>
      <c r="G1131" t="s">
        <v>5</v>
      </c>
      <c r="H1131" s="3">
        <v>148.38999999999999</v>
      </c>
      <c r="I1131" t="s">
        <v>871</v>
      </c>
      <c r="J1131" t="s">
        <v>1376</v>
      </c>
      <c r="K1131" t="s">
        <v>8</v>
      </c>
      <c r="L1131" t="s">
        <v>8</v>
      </c>
      <c r="M1131" t="s">
        <v>8</v>
      </c>
      <c r="N1131" t="s">
        <v>1855</v>
      </c>
      <c r="O1131" t="s">
        <v>389</v>
      </c>
      <c r="P1131" t="s">
        <v>1</v>
      </c>
    </row>
    <row r="1132" spans="1:16" x14ac:dyDescent="0.25">
      <c r="A1132" t="s">
        <v>0</v>
      </c>
      <c r="B1132" s="2">
        <v>44793</v>
      </c>
      <c r="C1132" s="5" t="s">
        <v>82</v>
      </c>
      <c r="D1132" t="s">
        <v>1597</v>
      </c>
      <c r="E1132" t="s">
        <v>1598</v>
      </c>
      <c r="F1132" t="s">
        <v>4</v>
      </c>
      <c r="G1132" t="s">
        <v>5</v>
      </c>
      <c r="H1132" s="3">
        <v>91.63</v>
      </c>
      <c r="I1132" t="s">
        <v>1375</v>
      </c>
      <c r="J1132" t="s">
        <v>1376</v>
      </c>
      <c r="K1132" t="s">
        <v>8</v>
      </c>
      <c r="L1132" t="s">
        <v>8</v>
      </c>
      <c r="M1132" t="s">
        <v>8</v>
      </c>
      <c r="N1132" t="s">
        <v>1377</v>
      </c>
      <c r="O1132" t="s">
        <v>389</v>
      </c>
      <c r="P1132" t="s">
        <v>12</v>
      </c>
    </row>
    <row r="1133" spans="1:16" x14ac:dyDescent="0.25">
      <c r="A1133" t="s">
        <v>0</v>
      </c>
      <c r="B1133" s="2">
        <v>44794</v>
      </c>
      <c r="C1133" s="5" t="s">
        <v>82</v>
      </c>
      <c r="D1133" t="s">
        <v>1201</v>
      </c>
      <c r="E1133" t="s">
        <v>1202</v>
      </c>
      <c r="F1133" t="s">
        <v>4</v>
      </c>
      <c r="G1133" t="s">
        <v>5</v>
      </c>
      <c r="H1133" s="3">
        <v>481.6</v>
      </c>
      <c r="I1133" t="s">
        <v>1489</v>
      </c>
      <c r="J1133" t="s">
        <v>1490</v>
      </c>
      <c r="K1133" t="s">
        <v>8</v>
      </c>
      <c r="L1133" t="s">
        <v>8</v>
      </c>
      <c r="M1133" t="s">
        <v>8</v>
      </c>
      <c r="N1133" t="s">
        <v>1491</v>
      </c>
      <c r="O1133" t="s">
        <v>389</v>
      </c>
      <c r="P1133" t="s">
        <v>1</v>
      </c>
    </row>
    <row r="1134" spans="1:16" x14ac:dyDescent="0.25">
      <c r="A1134" t="s">
        <v>0</v>
      </c>
      <c r="B1134" s="2">
        <v>44794</v>
      </c>
      <c r="C1134" s="5" t="s">
        <v>82</v>
      </c>
      <c r="D1134" t="s">
        <v>384</v>
      </c>
      <c r="E1134" t="s">
        <v>385</v>
      </c>
      <c r="F1134" t="s">
        <v>4</v>
      </c>
      <c r="G1134" t="s">
        <v>5</v>
      </c>
      <c r="H1134" s="3">
        <v>160</v>
      </c>
      <c r="I1134" t="s">
        <v>1142</v>
      </c>
      <c r="J1134" t="s">
        <v>680</v>
      </c>
      <c r="K1134" t="s">
        <v>8</v>
      </c>
      <c r="L1134" t="s">
        <v>8</v>
      </c>
      <c r="M1134" t="s">
        <v>8</v>
      </c>
      <c r="N1134" t="s">
        <v>1825</v>
      </c>
      <c r="O1134" t="s">
        <v>389</v>
      </c>
      <c r="P1134" t="s">
        <v>1</v>
      </c>
    </row>
    <row r="1135" spans="1:16" x14ac:dyDescent="0.25">
      <c r="A1135" t="s">
        <v>0</v>
      </c>
      <c r="B1135" s="2">
        <v>44794</v>
      </c>
      <c r="C1135" s="5" t="s">
        <v>82</v>
      </c>
      <c r="D1135" t="s">
        <v>1201</v>
      </c>
      <c r="E1135" t="s">
        <v>1202</v>
      </c>
      <c r="F1135" t="s">
        <v>4</v>
      </c>
      <c r="G1135" t="s">
        <v>5</v>
      </c>
      <c r="H1135" s="3">
        <v>100.8</v>
      </c>
      <c r="I1135" t="s">
        <v>1937</v>
      </c>
      <c r="J1135" t="s">
        <v>1490</v>
      </c>
      <c r="K1135" t="s">
        <v>8</v>
      </c>
      <c r="L1135" t="s">
        <v>8</v>
      </c>
      <c r="M1135" t="s">
        <v>8</v>
      </c>
      <c r="N1135" t="s">
        <v>1938</v>
      </c>
      <c r="O1135" t="s">
        <v>389</v>
      </c>
      <c r="P1135" t="s">
        <v>1</v>
      </c>
    </row>
    <row r="1136" spans="1:16" x14ac:dyDescent="0.25">
      <c r="A1136" t="s">
        <v>0</v>
      </c>
      <c r="B1136" s="2">
        <v>44796</v>
      </c>
      <c r="C1136" s="5" t="s">
        <v>82</v>
      </c>
      <c r="D1136" t="s">
        <v>609</v>
      </c>
      <c r="E1136" t="s">
        <v>610</v>
      </c>
      <c r="F1136" t="s">
        <v>4</v>
      </c>
      <c r="G1136" t="s">
        <v>5</v>
      </c>
      <c r="H1136" s="3">
        <v>6500</v>
      </c>
      <c r="I1136" t="s">
        <v>611</v>
      </c>
      <c r="J1136" t="s">
        <v>387</v>
      </c>
      <c r="K1136" t="s">
        <v>8</v>
      </c>
      <c r="L1136" t="s">
        <v>8</v>
      </c>
      <c r="M1136" t="s">
        <v>8</v>
      </c>
      <c r="N1136" t="s">
        <v>612</v>
      </c>
      <c r="O1136" t="s">
        <v>389</v>
      </c>
      <c r="P1136" t="s">
        <v>246</v>
      </c>
    </row>
    <row r="1137" spans="1:16" x14ac:dyDescent="0.25">
      <c r="A1137" t="s">
        <v>0</v>
      </c>
      <c r="B1137" s="2">
        <v>44796</v>
      </c>
      <c r="C1137" s="5" t="s">
        <v>82</v>
      </c>
      <c r="D1137" t="s">
        <v>384</v>
      </c>
      <c r="E1137" t="s">
        <v>385</v>
      </c>
      <c r="F1137" t="s">
        <v>4</v>
      </c>
      <c r="G1137" t="s">
        <v>5</v>
      </c>
      <c r="H1137" s="3">
        <v>2685.93</v>
      </c>
      <c r="I1137" t="s">
        <v>860</v>
      </c>
      <c r="J1137" t="s">
        <v>387</v>
      </c>
      <c r="K1137" t="s">
        <v>8</v>
      </c>
      <c r="L1137" t="s">
        <v>8</v>
      </c>
      <c r="M1137" t="s">
        <v>8</v>
      </c>
      <c r="N1137" t="s">
        <v>612</v>
      </c>
      <c r="O1137" t="s">
        <v>389</v>
      </c>
      <c r="P1137" t="s">
        <v>12</v>
      </c>
    </row>
    <row r="1138" spans="1:16" x14ac:dyDescent="0.25">
      <c r="A1138" t="s">
        <v>0</v>
      </c>
      <c r="B1138" s="2">
        <v>44796</v>
      </c>
      <c r="C1138" s="5" t="s">
        <v>82</v>
      </c>
      <c r="D1138" t="s">
        <v>1201</v>
      </c>
      <c r="E1138" t="s">
        <v>1202</v>
      </c>
      <c r="F1138" t="s">
        <v>4</v>
      </c>
      <c r="G1138" t="s">
        <v>5</v>
      </c>
      <c r="H1138" s="3">
        <v>1032</v>
      </c>
      <c r="I1138" t="s">
        <v>1203</v>
      </c>
      <c r="J1138" t="s">
        <v>1204</v>
      </c>
      <c r="K1138" t="s">
        <v>8</v>
      </c>
      <c r="L1138" t="s">
        <v>8</v>
      </c>
      <c r="M1138" t="s">
        <v>8</v>
      </c>
      <c r="N1138" t="s">
        <v>1205</v>
      </c>
      <c r="O1138" t="s">
        <v>389</v>
      </c>
      <c r="P1138" t="s">
        <v>1</v>
      </c>
    </row>
    <row r="1139" spans="1:16" x14ac:dyDescent="0.25">
      <c r="A1139" t="s">
        <v>0</v>
      </c>
      <c r="B1139" s="2">
        <v>44796</v>
      </c>
      <c r="C1139" s="5" t="s">
        <v>82</v>
      </c>
      <c r="D1139" t="s">
        <v>384</v>
      </c>
      <c r="E1139" t="s">
        <v>385</v>
      </c>
      <c r="F1139" t="s">
        <v>4</v>
      </c>
      <c r="G1139" t="s">
        <v>5</v>
      </c>
      <c r="H1139" s="3">
        <v>899</v>
      </c>
      <c r="I1139" t="s">
        <v>1277</v>
      </c>
      <c r="J1139" t="s">
        <v>387</v>
      </c>
      <c r="K1139" t="s">
        <v>8</v>
      </c>
      <c r="L1139" t="s">
        <v>8</v>
      </c>
      <c r="M1139" t="s">
        <v>8</v>
      </c>
      <c r="N1139" t="s">
        <v>612</v>
      </c>
      <c r="O1139" t="s">
        <v>389</v>
      </c>
      <c r="P1139" t="s">
        <v>43</v>
      </c>
    </row>
    <row r="1140" spans="1:16" x14ac:dyDescent="0.25">
      <c r="A1140" t="s">
        <v>0</v>
      </c>
      <c r="B1140" s="2">
        <v>44796</v>
      </c>
      <c r="C1140" s="5" t="s">
        <v>82</v>
      </c>
      <c r="D1140" t="s">
        <v>384</v>
      </c>
      <c r="E1140" t="s">
        <v>385</v>
      </c>
      <c r="F1140" t="s">
        <v>4</v>
      </c>
      <c r="G1140" t="s">
        <v>5</v>
      </c>
      <c r="H1140" s="3">
        <v>204.4</v>
      </c>
      <c r="I1140" t="s">
        <v>1773</v>
      </c>
      <c r="J1140" t="s">
        <v>387</v>
      </c>
      <c r="K1140" t="s">
        <v>8</v>
      </c>
      <c r="L1140" t="s">
        <v>8</v>
      </c>
      <c r="M1140" t="s">
        <v>8</v>
      </c>
      <c r="N1140" t="s">
        <v>612</v>
      </c>
      <c r="O1140" t="s">
        <v>389</v>
      </c>
      <c r="P1140" t="s">
        <v>87</v>
      </c>
    </row>
    <row r="1141" spans="1:16" x14ac:dyDescent="0.25">
      <c r="A1141" t="s">
        <v>0</v>
      </c>
      <c r="B1141" s="2">
        <v>44796</v>
      </c>
      <c r="C1141" s="5" t="s">
        <v>82</v>
      </c>
      <c r="D1141" t="s">
        <v>384</v>
      </c>
      <c r="E1141" t="s">
        <v>385</v>
      </c>
      <c r="F1141" t="s">
        <v>4</v>
      </c>
      <c r="G1141" t="s">
        <v>5</v>
      </c>
      <c r="H1141" s="3">
        <v>110.9</v>
      </c>
      <c r="I1141" t="s">
        <v>1910</v>
      </c>
      <c r="J1141" t="s">
        <v>387</v>
      </c>
      <c r="K1141" t="s">
        <v>8</v>
      </c>
      <c r="L1141" t="s">
        <v>8</v>
      </c>
      <c r="M1141" t="s">
        <v>8</v>
      </c>
      <c r="N1141" t="s">
        <v>612</v>
      </c>
      <c r="O1141" t="s">
        <v>389</v>
      </c>
      <c r="P1141" t="s">
        <v>72</v>
      </c>
    </row>
    <row r="1142" spans="1:16" x14ac:dyDescent="0.25">
      <c r="A1142" t="s">
        <v>0</v>
      </c>
      <c r="B1142" s="2">
        <v>44796</v>
      </c>
      <c r="C1142" s="5" t="s">
        <v>82</v>
      </c>
      <c r="D1142" t="s">
        <v>1597</v>
      </c>
      <c r="E1142" t="s">
        <v>1598</v>
      </c>
      <c r="F1142" t="s">
        <v>4</v>
      </c>
      <c r="G1142" t="s">
        <v>5</v>
      </c>
      <c r="H1142" s="3">
        <v>90.5</v>
      </c>
      <c r="I1142" t="s">
        <v>1950</v>
      </c>
      <c r="J1142" t="s">
        <v>1204</v>
      </c>
      <c r="K1142" t="s">
        <v>8</v>
      </c>
      <c r="L1142" t="s">
        <v>8</v>
      </c>
      <c r="M1142" t="s">
        <v>8</v>
      </c>
      <c r="N1142" t="s">
        <v>1205</v>
      </c>
      <c r="O1142" t="s">
        <v>389</v>
      </c>
      <c r="P1142" t="s">
        <v>12</v>
      </c>
    </row>
    <row r="1143" spans="1:16" x14ac:dyDescent="0.25">
      <c r="A1143" t="s">
        <v>0</v>
      </c>
      <c r="B1143" s="2">
        <v>44796</v>
      </c>
      <c r="C1143" s="5" t="s">
        <v>82</v>
      </c>
      <c r="D1143" t="s">
        <v>384</v>
      </c>
      <c r="E1143" t="s">
        <v>385</v>
      </c>
      <c r="F1143" t="s">
        <v>4</v>
      </c>
      <c r="G1143" t="s">
        <v>5</v>
      </c>
      <c r="H1143" s="3">
        <v>80</v>
      </c>
      <c r="I1143" t="s">
        <v>1967</v>
      </c>
      <c r="J1143" t="s">
        <v>387</v>
      </c>
      <c r="K1143" t="s">
        <v>8</v>
      </c>
      <c r="L1143" t="s">
        <v>8</v>
      </c>
      <c r="M1143" t="s">
        <v>8</v>
      </c>
      <c r="N1143" t="s">
        <v>612</v>
      </c>
      <c r="O1143" t="s">
        <v>389</v>
      </c>
      <c r="P1143" t="s">
        <v>77</v>
      </c>
    </row>
    <row r="1144" spans="1:16" x14ac:dyDescent="0.25">
      <c r="A1144" t="s">
        <v>0</v>
      </c>
      <c r="B1144" s="2">
        <v>44796</v>
      </c>
      <c r="C1144" s="5" t="s">
        <v>82</v>
      </c>
      <c r="D1144" t="s">
        <v>1597</v>
      </c>
      <c r="E1144" t="s">
        <v>1598</v>
      </c>
      <c r="F1144" t="s">
        <v>4</v>
      </c>
      <c r="G1144" t="s">
        <v>5</v>
      </c>
      <c r="H1144" s="3">
        <v>66</v>
      </c>
      <c r="I1144" t="s">
        <v>2001</v>
      </c>
      <c r="J1144" t="s">
        <v>387</v>
      </c>
      <c r="K1144" t="s">
        <v>8</v>
      </c>
      <c r="L1144" t="s">
        <v>8</v>
      </c>
      <c r="M1144" t="s">
        <v>8</v>
      </c>
      <c r="N1144" t="s">
        <v>612</v>
      </c>
      <c r="O1144" t="s">
        <v>389</v>
      </c>
      <c r="P1144" t="s">
        <v>1351</v>
      </c>
    </row>
    <row r="1145" spans="1:16" x14ac:dyDescent="0.25">
      <c r="A1145" t="s">
        <v>0</v>
      </c>
      <c r="B1145" s="2">
        <v>44796</v>
      </c>
      <c r="C1145" s="5" t="s">
        <v>82</v>
      </c>
      <c r="D1145" t="s">
        <v>384</v>
      </c>
      <c r="E1145" t="s">
        <v>385</v>
      </c>
      <c r="F1145" t="s">
        <v>4</v>
      </c>
      <c r="G1145" t="s">
        <v>5</v>
      </c>
      <c r="H1145" s="3">
        <v>58.3</v>
      </c>
      <c r="I1145" t="s">
        <v>2029</v>
      </c>
      <c r="J1145" t="s">
        <v>387</v>
      </c>
      <c r="K1145" t="s">
        <v>8</v>
      </c>
      <c r="L1145" t="s">
        <v>8</v>
      </c>
      <c r="M1145" t="s">
        <v>8</v>
      </c>
      <c r="N1145" t="s">
        <v>612</v>
      </c>
      <c r="O1145" t="s">
        <v>389</v>
      </c>
      <c r="P1145" t="s">
        <v>17</v>
      </c>
    </row>
    <row r="1146" spans="1:16" x14ac:dyDescent="0.25">
      <c r="A1146" t="s">
        <v>0</v>
      </c>
      <c r="B1146" s="2">
        <v>44796</v>
      </c>
      <c r="C1146" s="5" t="s">
        <v>82</v>
      </c>
      <c r="D1146" t="s">
        <v>2058</v>
      </c>
      <c r="E1146" t="s">
        <v>2059</v>
      </c>
      <c r="F1146" t="s">
        <v>4</v>
      </c>
      <c r="G1146" t="s">
        <v>5</v>
      </c>
      <c r="H1146" s="3">
        <v>45.8</v>
      </c>
      <c r="I1146" t="s">
        <v>2060</v>
      </c>
      <c r="J1146" t="s">
        <v>387</v>
      </c>
      <c r="K1146" t="s">
        <v>8</v>
      </c>
      <c r="L1146" t="s">
        <v>8</v>
      </c>
      <c r="M1146" t="s">
        <v>8</v>
      </c>
      <c r="N1146" t="s">
        <v>612</v>
      </c>
      <c r="O1146" t="s">
        <v>389</v>
      </c>
      <c r="P1146" t="s">
        <v>1304</v>
      </c>
    </row>
    <row r="1147" spans="1:16" x14ac:dyDescent="0.25">
      <c r="A1147" t="s">
        <v>0</v>
      </c>
      <c r="B1147" s="2">
        <v>44796</v>
      </c>
      <c r="C1147" s="5" t="s">
        <v>82</v>
      </c>
      <c r="D1147" t="s">
        <v>384</v>
      </c>
      <c r="E1147" t="s">
        <v>385</v>
      </c>
      <c r="F1147" t="s">
        <v>4</v>
      </c>
      <c r="G1147" t="s">
        <v>5</v>
      </c>
      <c r="H1147" s="3">
        <v>25.7</v>
      </c>
      <c r="I1147" t="s">
        <v>2111</v>
      </c>
      <c r="J1147" t="s">
        <v>387</v>
      </c>
      <c r="K1147" t="s">
        <v>8</v>
      </c>
      <c r="L1147" t="s">
        <v>8</v>
      </c>
      <c r="M1147" t="s">
        <v>8</v>
      </c>
      <c r="N1147" t="s">
        <v>612</v>
      </c>
      <c r="O1147" t="s">
        <v>389</v>
      </c>
      <c r="P1147" t="s">
        <v>30</v>
      </c>
    </row>
    <row r="1148" spans="1:16" x14ac:dyDescent="0.25">
      <c r="A1148" t="s">
        <v>0</v>
      </c>
      <c r="B1148" s="2">
        <v>44799</v>
      </c>
      <c r="C1148" s="5" t="s">
        <v>82</v>
      </c>
      <c r="D1148" t="s">
        <v>1340</v>
      </c>
      <c r="E1148" t="s">
        <v>1341</v>
      </c>
      <c r="F1148" t="s">
        <v>4</v>
      </c>
      <c r="G1148" t="s">
        <v>5</v>
      </c>
      <c r="H1148" s="3">
        <v>120.68</v>
      </c>
      <c r="I1148" t="s">
        <v>1894</v>
      </c>
      <c r="J1148" t="s">
        <v>1569</v>
      </c>
      <c r="K1148" t="s">
        <v>8</v>
      </c>
      <c r="L1148" t="s">
        <v>1895</v>
      </c>
      <c r="M1148" t="s">
        <v>8</v>
      </c>
      <c r="N1148" t="s">
        <v>1896</v>
      </c>
      <c r="O1148" t="s">
        <v>29</v>
      </c>
      <c r="P1148" t="s">
        <v>246</v>
      </c>
    </row>
    <row r="1149" spans="1:16" x14ac:dyDescent="0.25">
      <c r="A1149" t="s">
        <v>0</v>
      </c>
      <c r="B1149" s="2">
        <v>44799</v>
      </c>
      <c r="C1149" s="5" t="s">
        <v>82</v>
      </c>
      <c r="D1149" t="s">
        <v>591</v>
      </c>
      <c r="E1149" t="s">
        <v>592</v>
      </c>
      <c r="F1149" t="s">
        <v>4</v>
      </c>
      <c r="G1149" t="s">
        <v>5</v>
      </c>
      <c r="H1149" s="3">
        <v>54</v>
      </c>
      <c r="I1149" t="s">
        <v>2040</v>
      </c>
      <c r="J1149" t="s">
        <v>750</v>
      </c>
      <c r="K1149" t="s">
        <v>8</v>
      </c>
      <c r="L1149" t="s">
        <v>2041</v>
      </c>
      <c r="M1149" t="s">
        <v>8</v>
      </c>
      <c r="N1149" t="s">
        <v>2042</v>
      </c>
      <c r="O1149" t="s">
        <v>34</v>
      </c>
      <c r="P1149" t="s">
        <v>2043</v>
      </c>
    </row>
    <row r="1150" spans="1:16" x14ac:dyDescent="0.25">
      <c r="A1150" t="s">
        <v>0</v>
      </c>
      <c r="B1150" s="2">
        <v>44799</v>
      </c>
      <c r="C1150" s="5" t="s">
        <v>82</v>
      </c>
      <c r="D1150" t="s">
        <v>47</v>
      </c>
      <c r="E1150" t="s">
        <v>48</v>
      </c>
      <c r="F1150" t="s">
        <v>4</v>
      </c>
      <c r="G1150" t="s">
        <v>5</v>
      </c>
      <c r="H1150" s="3">
        <v>51.97</v>
      </c>
      <c r="I1150" t="s">
        <v>942</v>
      </c>
      <c r="J1150" t="s">
        <v>943</v>
      </c>
      <c r="K1150" t="s">
        <v>8</v>
      </c>
      <c r="L1150" t="s">
        <v>8</v>
      </c>
      <c r="M1150" t="s">
        <v>8</v>
      </c>
      <c r="N1150" t="s">
        <v>2045</v>
      </c>
      <c r="O1150" t="s">
        <v>945</v>
      </c>
      <c r="P1150" t="s">
        <v>1</v>
      </c>
    </row>
    <row r="1151" spans="1:16" x14ac:dyDescent="0.25">
      <c r="A1151" t="s">
        <v>0</v>
      </c>
      <c r="B1151" s="2">
        <v>44802</v>
      </c>
      <c r="C1151" s="5" t="s">
        <v>82</v>
      </c>
      <c r="D1151" t="s">
        <v>885</v>
      </c>
      <c r="E1151" t="s">
        <v>886</v>
      </c>
      <c r="F1151" t="s">
        <v>4</v>
      </c>
      <c r="G1151" t="s">
        <v>5</v>
      </c>
      <c r="H1151" s="3">
        <v>27.9</v>
      </c>
      <c r="I1151" t="s">
        <v>2093</v>
      </c>
      <c r="J1151" t="s">
        <v>943</v>
      </c>
      <c r="K1151" t="s">
        <v>8</v>
      </c>
      <c r="L1151" t="s">
        <v>8</v>
      </c>
      <c r="M1151" t="s">
        <v>8</v>
      </c>
      <c r="N1151" t="s">
        <v>2094</v>
      </c>
      <c r="O1151" t="s">
        <v>945</v>
      </c>
      <c r="P1151" t="s">
        <v>1</v>
      </c>
    </row>
    <row r="1152" spans="1:16" x14ac:dyDescent="0.25">
      <c r="A1152" t="s">
        <v>0</v>
      </c>
      <c r="B1152" s="2">
        <v>44802</v>
      </c>
      <c r="C1152" s="5" t="s">
        <v>82</v>
      </c>
      <c r="D1152" t="s">
        <v>47</v>
      </c>
      <c r="E1152" t="s">
        <v>48</v>
      </c>
      <c r="F1152" t="s">
        <v>4</v>
      </c>
      <c r="G1152" t="s">
        <v>5</v>
      </c>
      <c r="H1152" s="3">
        <v>26.33</v>
      </c>
      <c r="I1152" t="s">
        <v>2102</v>
      </c>
      <c r="J1152" t="s">
        <v>943</v>
      </c>
      <c r="K1152" t="s">
        <v>8</v>
      </c>
      <c r="L1152" t="s">
        <v>8</v>
      </c>
      <c r="M1152" t="s">
        <v>8</v>
      </c>
      <c r="N1152" t="s">
        <v>2103</v>
      </c>
      <c r="O1152" t="s">
        <v>945</v>
      </c>
      <c r="P1152" t="s">
        <v>1</v>
      </c>
    </row>
    <row r="1153" spans="1:16" x14ac:dyDescent="0.25">
      <c r="A1153" t="s">
        <v>0</v>
      </c>
      <c r="B1153" s="2">
        <v>44803</v>
      </c>
      <c r="C1153" t="s">
        <v>82</v>
      </c>
      <c r="D1153" t="s">
        <v>63</v>
      </c>
      <c r="E1153" t="s">
        <v>64</v>
      </c>
      <c r="F1153" t="s">
        <v>4</v>
      </c>
      <c r="G1153" t="s">
        <v>5</v>
      </c>
      <c r="H1153" s="3">
        <v>105498.06</v>
      </c>
      <c r="I1153" t="s">
        <v>65</v>
      </c>
      <c r="J1153" t="s">
        <v>66</v>
      </c>
      <c r="K1153" t="s">
        <v>8</v>
      </c>
      <c r="L1153" t="s">
        <v>8</v>
      </c>
      <c r="M1153" t="s">
        <v>8</v>
      </c>
      <c r="N1153" t="s">
        <v>83</v>
      </c>
      <c r="O1153" t="s">
        <v>57</v>
      </c>
      <c r="P1153" t="s">
        <v>84</v>
      </c>
    </row>
    <row r="1154" spans="1:16" x14ac:dyDescent="0.25">
      <c r="A1154" t="s">
        <v>0</v>
      </c>
      <c r="B1154" s="2">
        <v>44803</v>
      </c>
      <c r="C1154" t="s">
        <v>82</v>
      </c>
      <c r="D1154" t="s">
        <v>63</v>
      </c>
      <c r="E1154" t="s">
        <v>64</v>
      </c>
      <c r="F1154" t="s">
        <v>4</v>
      </c>
      <c r="G1154" t="s">
        <v>5</v>
      </c>
      <c r="H1154" s="3">
        <v>57883.22</v>
      </c>
      <c r="I1154" t="s">
        <v>114</v>
      </c>
      <c r="J1154" t="s">
        <v>66</v>
      </c>
      <c r="K1154" t="s">
        <v>8</v>
      </c>
      <c r="L1154" t="s">
        <v>8</v>
      </c>
      <c r="M1154" t="s">
        <v>8</v>
      </c>
      <c r="N1154" t="s">
        <v>83</v>
      </c>
      <c r="O1154" t="s">
        <v>57</v>
      </c>
      <c r="P1154" t="s">
        <v>150</v>
      </c>
    </row>
    <row r="1155" spans="1:16" x14ac:dyDescent="0.25">
      <c r="A1155" t="s">
        <v>0</v>
      </c>
      <c r="B1155" s="2">
        <v>44803</v>
      </c>
      <c r="C1155" t="s">
        <v>82</v>
      </c>
      <c r="D1155" t="s">
        <v>122</v>
      </c>
      <c r="E1155" t="s">
        <v>123</v>
      </c>
      <c r="F1155" t="s">
        <v>4</v>
      </c>
      <c r="G1155" t="s">
        <v>5</v>
      </c>
      <c r="H1155" s="3">
        <v>44296.32</v>
      </c>
      <c r="I1155" t="s">
        <v>124</v>
      </c>
      <c r="J1155" t="s">
        <v>66</v>
      </c>
      <c r="K1155" t="s">
        <v>8</v>
      </c>
      <c r="L1155" t="s">
        <v>8</v>
      </c>
      <c r="M1155" t="s">
        <v>8</v>
      </c>
      <c r="N1155" t="s">
        <v>83</v>
      </c>
      <c r="O1155" t="s">
        <v>57</v>
      </c>
      <c r="P1155" t="s">
        <v>167</v>
      </c>
    </row>
    <row r="1156" spans="1:16" x14ac:dyDescent="0.25">
      <c r="A1156" t="s">
        <v>0</v>
      </c>
      <c r="B1156" s="2">
        <v>44803</v>
      </c>
      <c r="C1156" t="s">
        <v>82</v>
      </c>
      <c r="D1156" t="s">
        <v>169</v>
      </c>
      <c r="E1156" t="s">
        <v>170</v>
      </c>
      <c r="F1156" t="s">
        <v>4</v>
      </c>
      <c r="G1156" t="s">
        <v>5</v>
      </c>
      <c r="H1156" s="3">
        <v>29385.42</v>
      </c>
      <c r="I1156" t="s">
        <v>171</v>
      </c>
      <c r="J1156" t="s">
        <v>66</v>
      </c>
      <c r="K1156" t="s">
        <v>8</v>
      </c>
      <c r="L1156" t="s">
        <v>8</v>
      </c>
      <c r="M1156" t="s">
        <v>8</v>
      </c>
      <c r="N1156" t="s">
        <v>83</v>
      </c>
      <c r="O1156" t="s">
        <v>57</v>
      </c>
      <c r="P1156" t="s">
        <v>165</v>
      </c>
    </row>
    <row r="1157" spans="1:16" x14ac:dyDescent="0.25">
      <c r="A1157" t="s">
        <v>0</v>
      </c>
      <c r="B1157" s="2">
        <v>44803</v>
      </c>
      <c r="C1157" t="s">
        <v>82</v>
      </c>
      <c r="D1157" t="s">
        <v>173</v>
      </c>
      <c r="E1157" t="s">
        <v>174</v>
      </c>
      <c r="F1157" t="s">
        <v>4</v>
      </c>
      <c r="G1157" t="s">
        <v>5</v>
      </c>
      <c r="H1157" s="3">
        <v>26206.83</v>
      </c>
      <c r="I1157" t="s">
        <v>175</v>
      </c>
      <c r="J1157" t="s">
        <v>66</v>
      </c>
      <c r="K1157" t="s">
        <v>8</v>
      </c>
      <c r="L1157" t="s">
        <v>8</v>
      </c>
      <c r="M1157" t="s">
        <v>8</v>
      </c>
      <c r="N1157" t="s">
        <v>83</v>
      </c>
      <c r="O1157" t="s">
        <v>57</v>
      </c>
      <c r="P1157" t="s">
        <v>76</v>
      </c>
    </row>
    <row r="1158" spans="1:16" x14ac:dyDescent="0.25">
      <c r="A1158" t="s">
        <v>0</v>
      </c>
      <c r="B1158" s="2">
        <v>44803</v>
      </c>
      <c r="C1158" t="s">
        <v>82</v>
      </c>
      <c r="D1158" t="s">
        <v>301</v>
      </c>
      <c r="E1158" t="s">
        <v>302</v>
      </c>
      <c r="F1158" t="s">
        <v>4</v>
      </c>
      <c r="G1158" t="s">
        <v>5</v>
      </c>
      <c r="H1158" s="3">
        <v>20786.84</v>
      </c>
      <c r="I1158" t="s">
        <v>268</v>
      </c>
      <c r="J1158" t="s">
        <v>8</v>
      </c>
      <c r="K1158" t="s">
        <v>290</v>
      </c>
      <c r="L1158" t="s">
        <v>8</v>
      </c>
      <c r="M1158" t="s">
        <v>270</v>
      </c>
      <c r="N1158" t="s">
        <v>303</v>
      </c>
      <c r="O1158" t="s">
        <v>95</v>
      </c>
      <c r="P1158" t="s">
        <v>12</v>
      </c>
    </row>
    <row r="1159" spans="1:16" x14ac:dyDescent="0.25">
      <c r="A1159" t="s">
        <v>0</v>
      </c>
      <c r="B1159" s="2">
        <v>44803</v>
      </c>
      <c r="C1159" t="s">
        <v>82</v>
      </c>
      <c r="D1159" t="s">
        <v>273</v>
      </c>
      <c r="E1159" t="s">
        <v>274</v>
      </c>
      <c r="F1159" t="s">
        <v>4</v>
      </c>
      <c r="G1159" t="s">
        <v>5</v>
      </c>
      <c r="H1159" s="3">
        <v>19394.7</v>
      </c>
      <c r="I1159" t="s">
        <v>275</v>
      </c>
      <c r="J1159" t="s">
        <v>66</v>
      </c>
      <c r="K1159" t="s">
        <v>8</v>
      </c>
      <c r="L1159" t="s">
        <v>8</v>
      </c>
      <c r="M1159" t="s">
        <v>8</v>
      </c>
      <c r="N1159" t="s">
        <v>83</v>
      </c>
      <c r="O1159" t="s">
        <v>57</v>
      </c>
      <c r="P1159" t="s">
        <v>307</v>
      </c>
    </row>
    <row r="1160" spans="1:16" x14ac:dyDescent="0.25">
      <c r="A1160" t="s">
        <v>0</v>
      </c>
      <c r="B1160" s="2">
        <v>44803</v>
      </c>
      <c r="C1160" t="s">
        <v>82</v>
      </c>
      <c r="D1160" t="s">
        <v>59</v>
      </c>
      <c r="E1160" t="s">
        <v>60</v>
      </c>
      <c r="F1160" t="s">
        <v>4</v>
      </c>
      <c r="G1160" t="s">
        <v>5</v>
      </c>
      <c r="H1160" s="3">
        <v>15611.04</v>
      </c>
      <c r="I1160" t="s">
        <v>61</v>
      </c>
      <c r="J1160" t="s">
        <v>66</v>
      </c>
      <c r="K1160" t="s">
        <v>8</v>
      </c>
      <c r="L1160" t="s">
        <v>8</v>
      </c>
      <c r="M1160" t="s">
        <v>8</v>
      </c>
      <c r="N1160" t="s">
        <v>83</v>
      </c>
      <c r="O1160" t="s">
        <v>57</v>
      </c>
      <c r="P1160" t="s">
        <v>328</v>
      </c>
    </row>
    <row r="1161" spans="1:16" x14ac:dyDescent="0.25">
      <c r="A1161" t="s">
        <v>0</v>
      </c>
      <c r="B1161" s="2">
        <v>44803</v>
      </c>
      <c r="C1161" t="s">
        <v>82</v>
      </c>
      <c r="D1161" t="s">
        <v>301</v>
      </c>
      <c r="E1161" t="s">
        <v>302</v>
      </c>
      <c r="F1161" t="s">
        <v>4</v>
      </c>
      <c r="G1161" t="s">
        <v>5</v>
      </c>
      <c r="H1161" s="3">
        <v>14652.71</v>
      </c>
      <c r="I1161" t="s">
        <v>268</v>
      </c>
      <c r="J1161" t="s">
        <v>8</v>
      </c>
      <c r="K1161" t="s">
        <v>269</v>
      </c>
      <c r="L1161" t="s">
        <v>8</v>
      </c>
      <c r="M1161" t="s">
        <v>270</v>
      </c>
      <c r="N1161" t="s">
        <v>331</v>
      </c>
      <c r="O1161" t="s">
        <v>95</v>
      </c>
      <c r="P1161" t="s">
        <v>12</v>
      </c>
    </row>
    <row r="1162" spans="1:16" x14ac:dyDescent="0.25">
      <c r="A1162" t="s">
        <v>0</v>
      </c>
      <c r="B1162" s="2">
        <v>44803</v>
      </c>
      <c r="C1162" s="5" t="s">
        <v>82</v>
      </c>
      <c r="D1162" t="s">
        <v>507</v>
      </c>
      <c r="E1162" t="s">
        <v>508</v>
      </c>
      <c r="F1162" t="s">
        <v>4</v>
      </c>
      <c r="G1162" t="s">
        <v>5</v>
      </c>
      <c r="H1162" s="3">
        <v>9056.44</v>
      </c>
      <c r="I1162" t="s">
        <v>509</v>
      </c>
      <c r="J1162" t="s">
        <v>66</v>
      </c>
      <c r="K1162" t="s">
        <v>8</v>
      </c>
      <c r="L1162" t="s">
        <v>8</v>
      </c>
      <c r="M1162" t="s">
        <v>8</v>
      </c>
      <c r="N1162" t="s">
        <v>83</v>
      </c>
      <c r="O1162" t="s">
        <v>57</v>
      </c>
      <c r="P1162" t="s">
        <v>511</v>
      </c>
    </row>
    <row r="1163" spans="1:16" x14ac:dyDescent="0.25">
      <c r="A1163" t="s">
        <v>0</v>
      </c>
      <c r="B1163" s="2">
        <v>44803</v>
      </c>
      <c r="C1163" s="5" t="s">
        <v>82</v>
      </c>
      <c r="D1163" t="s">
        <v>266</v>
      </c>
      <c r="E1163" t="s">
        <v>267</v>
      </c>
      <c r="F1163" t="s">
        <v>4</v>
      </c>
      <c r="G1163" t="s">
        <v>5</v>
      </c>
      <c r="H1163" s="3">
        <v>8624.8799999999992</v>
      </c>
      <c r="I1163" t="s">
        <v>268</v>
      </c>
      <c r="J1163" t="s">
        <v>8</v>
      </c>
      <c r="K1163" t="s">
        <v>528</v>
      </c>
      <c r="L1163" t="s">
        <v>8</v>
      </c>
      <c r="M1163" t="s">
        <v>270</v>
      </c>
      <c r="N1163" t="s">
        <v>529</v>
      </c>
      <c r="O1163" t="s">
        <v>272</v>
      </c>
      <c r="P1163" t="s">
        <v>12</v>
      </c>
    </row>
    <row r="1164" spans="1:16" x14ac:dyDescent="0.25">
      <c r="A1164" t="s">
        <v>0</v>
      </c>
      <c r="B1164" s="2">
        <v>44803</v>
      </c>
      <c r="C1164" s="5" t="s">
        <v>82</v>
      </c>
      <c r="D1164" t="s">
        <v>534</v>
      </c>
      <c r="E1164" t="s">
        <v>535</v>
      </c>
      <c r="F1164" t="s">
        <v>4</v>
      </c>
      <c r="G1164" t="s">
        <v>5</v>
      </c>
      <c r="H1164" s="3">
        <v>7123.7</v>
      </c>
      <c r="I1164" t="s">
        <v>536</v>
      </c>
      <c r="J1164" t="s">
        <v>66</v>
      </c>
      <c r="K1164" t="s">
        <v>8</v>
      </c>
      <c r="L1164" t="s">
        <v>8</v>
      </c>
      <c r="M1164" t="s">
        <v>8</v>
      </c>
      <c r="N1164" t="s">
        <v>83</v>
      </c>
      <c r="O1164" t="s">
        <v>57</v>
      </c>
      <c r="P1164" t="s">
        <v>149</v>
      </c>
    </row>
    <row r="1165" spans="1:16" x14ac:dyDescent="0.25">
      <c r="A1165" t="s">
        <v>0</v>
      </c>
      <c r="B1165" s="2">
        <v>44803</v>
      </c>
      <c r="C1165" s="5" t="s">
        <v>82</v>
      </c>
      <c r="D1165" t="s">
        <v>380</v>
      </c>
      <c r="E1165" t="s">
        <v>381</v>
      </c>
      <c r="F1165" t="s">
        <v>4</v>
      </c>
      <c r="G1165" t="s">
        <v>5</v>
      </c>
      <c r="H1165" s="3">
        <v>7061.26</v>
      </c>
      <c r="I1165" t="s">
        <v>382</v>
      </c>
      <c r="J1165" t="s">
        <v>66</v>
      </c>
      <c r="K1165" t="s">
        <v>8</v>
      </c>
      <c r="L1165" t="s">
        <v>8</v>
      </c>
      <c r="M1165" t="s">
        <v>8</v>
      </c>
      <c r="N1165" t="s">
        <v>83</v>
      </c>
      <c r="O1165" t="s">
        <v>57</v>
      </c>
      <c r="P1165" t="s">
        <v>581</v>
      </c>
    </row>
    <row r="1166" spans="1:16" x14ac:dyDescent="0.25">
      <c r="A1166" t="s">
        <v>0</v>
      </c>
      <c r="B1166" s="2">
        <v>44803</v>
      </c>
      <c r="C1166" s="5" t="s">
        <v>82</v>
      </c>
      <c r="D1166" t="s">
        <v>122</v>
      </c>
      <c r="E1166" t="s">
        <v>123</v>
      </c>
      <c r="F1166" t="s">
        <v>4</v>
      </c>
      <c r="G1166" t="s">
        <v>5</v>
      </c>
      <c r="H1166" s="3">
        <v>6439.55</v>
      </c>
      <c r="I1166" t="s">
        <v>397</v>
      </c>
      <c r="J1166" t="s">
        <v>66</v>
      </c>
      <c r="K1166" t="s">
        <v>8</v>
      </c>
      <c r="L1166" t="s">
        <v>8</v>
      </c>
      <c r="M1166" t="s">
        <v>8</v>
      </c>
      <c r="N1166" t="s">
        <v>83</v>
      </c>
      <c r="O1166" t="s">
        <v>57</v>
      </c>
      <c r="P1166" t="s">
        <v>125</v>
      </c>
    </row>
    <row r="1167" spans="1:16" x14ac:dyDescent="0.25">
      <c r="A1167" t="s">
        <v>0</v>
      </c>
      <c r="B1167" s="2">
        <v>44803</v>
      </c>
      <c r="C1167" s="5" t="s">
        <v>82</v>
      </c>
      <c r="D1167" t="s">
        <v>514</v>
      </c>
      <c r="E1167" t="s">
        <v>515</v>
      </c>
      <c r="F1167" t="s">
        <v>4</v>
      </c>
      <c r="G1167" t="s">
        <v>5</v>
      </c>
      <c r="H1167" s="3">
        <v>6424.13</v>
      </c>
      <c r="I1167" t="s">
        <v>516</v>
      </c>
      <c r="J1167" t="s">
        <v>66</v>
      </c>
      <c r="K1167" t="s">
        <v>8</v>
      </c>
      <c r="L1167" t="s">
        <v>8</v>
      </c>
      <c r="M1167" t="s">
        <v>8</v>
      </c>
      <c r="N1167" t="s">
        <v>83</v>
      </c>
      <c r="O1167" t="s">
        <v>57</v>
      </c>
      <c r="P1167" t="s">
        <v>614</v>
      </c>
    </row>
    <row r="1168" spans="1:16" x14ac:dyDescent="0.25">
      <c r="A1168" t="s">
        <v>0</v>
      </c>
      <c r="B1168" s="2">
        <v>44803</v>
      </c>
      <c r="C1168" s="5" t="s">
        <v>82</v>
      </c>
      <c r="D1168" t="s">
        <v>266</v>
      </c>
      <c r="E1168" t="s">
        <v>267</v>
      </c>
      <c r="F1168" t="s">
        <v>4</v>
      </c>
      <c r="G1168" t="s">
        <v>5</v>
      </c>
      <c r="H1168" s="3">
        <v>5832.33</v>
      </c>
      <c r="I1168" t="s">
        <v>268</v>
      </c>
      <c r="J1168" t="s">
        <v>8</v>
      </c>
      <c r="K1168" t="s">
        <v>269</v>
      </c>
      <c r="L1168" t="s">
        <v>8</v>
      </c>
      <c r="M1168" t="s">
        <v>270</v>
      </c>
      <c r="N1168" t="s">
        <v>636</v>
      </c>
      <c r="O1168" t="s">
        <v>272</v>
      </c>
      <c r="P1168" t="s">
        <v>12</v>
      </c>
    </row>
    <row r="1169" spans="1:16" x14ac:dyDescent="0.25">
      <c r="A1169" t="s">
        <v>0</v>
      </c>
      <c r="B1169" s="2">
        <v>44803</v>
      </c>
      <c r="C1169" s="5" t="s">
        <v>82</v>
      </c>
      <c r="D1169" t="s">
        <v>624</v>
      </c>
      <c r="E1169" t="s">
        <v>625</v>
      </c>
      <c r="F1169" t="s">
        <v>4</v>
      </c>
      <c r="G1169" t="s">
        <v>5</v>
      </c>
      <c r="H1169" s="3">
        <v>5715.28</v>
      </c>
      <c r="I1169" t="s">
        <v>626</v>
      </c>
      <c r="J1169" t="s">
        <v>66</v>
      </c>
      <c r="K1169" t="s">
        <v>8</v>
      </c>
      <c r="L1169" t="s">
        <v>8</v>
      </c>
      <c r="M1169" t="s">
        <v>8</v>
      </c>
      <c r="N1169" t="s">
        <v>83</v>
      </c>
      <c r="O1169" t="s">
        <v>57</v>
      </c>
      <c r="P1169" t="s">
        <v>183</v>
      </c>
    </row>
    <row r="1170" spans="1:16" x14ac:dyDescent="0.25">
      <c r="A1170" t="s">
        <v>0</v>
      </c>
      <c r="B1170" s="2">
        <v>44803</v>
      </c>
      <c r="C1170" s="5" t="s">
        <v>82</v>
      </c>
      <c r="D1170" t="s">
        <v>169</v>
      </c>
      <c r="E1170" t="s">
        <v>170</v>
      </c>
      <c r="F1170" t="s">
        <v>4</v>
      </c>
      <c r="G1170" t="s">
        <v>5</v>
      </c>
      <c r="H1170" s="3">
        <v>3940.49</v>
      </c>
      <c r="I1170" t="s">
        <v>213</v>
      </c>
      <c r="J1170" t="s">
        <v>66</v>
      </c>
      <c r="K1170" t="s">
        <v>8</v>
      </c>
      <c r="L1170" t="s">
        <v>8</v>
      </c>
      <c r="M1170" t="s">
        <v>8</v>
      </c>
      <c r="N1170" t="s">
        <v>83</v>
      </c>
      <c r="O1170" t="s">
        <v>57</v>
      </c>
      <c r="P1170" t="s">
        <v>748</v>
      </c>
    </row>
    <row r="1171" spans="1:16" x14ac:dyDescent="0.25">
      <c r="A1171" t="s">
        <v>0</v>
      </c>
      <c r="B1171" s="2">
        <v>44803</v>
      </c>
      <c r="C1171" s="5" t="s">
        <v>82</v>
      </c>
      <c r="D1171" t="s">
        <v>266</v>
      </c>
      <c r="E1171" t="s">
        <v>267</v>
      </c>
      <c r="F1171" t="s">
        <v>4</v>
      </c>
      <c r="G1171" t="s">
        <v>5</v>
      </c>
      <c r="H1171" s="3">
        <v>3632.4</v>
      </c>
      <c r="I1171" t="s">
        <v>268</v>
      </c>
      <c r="J1171" t="s">
        <v>8</v>
      </c>
      <c r="K1171" t="s">
        <v>767</v>
      </c>
      <c r="L1171" t="s">
        <v>8</v>
      </c>
      <c r="M1171" t="s">
        <v>270</v>
      </c>
      <c r="N1171" t="s">
        <v>768</v>
      </c>
      <c r="O1171" t="s">
        <v>272</v>
      </c>
      <c r="P1171" t="s">
        <v>12</v>
      </c>
    </row>
    <row r="1172" spans="1:16" x14ac:dyDescent="0.25">
      <c r="A1172" t="s">
        <v>0</v>
      </c>
      <c r="B1172" s="2">
        <v>44803</v>
      </c>
      <c r="C1172" s="5" t="s">
        <v>82</v>
      </c>
      <c r="D1172" t="s">
        <v>769</v>
      </c>
      <c r="E1172" t="s">
        <v>770</v>
      </c>
      <c r="F1172" t="s">
        <v>4</v>
      </c>
      <c r="G1172" t="s">
        <v>5</v>
      </c>
      <c r="H1172" s="3">
        <v>3239.05</v>
      </c>
      <c r="I1172" t="s">
        <v>771</v>
      </c>
      <c r="J1172" t="s">
        <v>66</v>
      </c>
      <c r="K1172" t="s">
        <v>8</v>
      </c>
      <c r="L1172" t="s">
        <v>8</v>
      </c>
      <c r="M1172" t="s">
        <v>8</v>
      </c>
      <c r="N1172" t="s">
        <v>83</v>
      </c>
      <c r="O1172" t="s">
        <v>57</v>
      </c>
      <c r="P1172" t="s">
        <v>807</v>
      </c>
    </row>
    <row r="1173" spans="1:16" x14ac:dyDescent="0.25">
      <c r="A1173" t="s">
        <v>0</v>
      </c>
      <c r="B1173" s="2">
        <v>44803</v>
      </c>
      <c r="C1173" s="5" t="s">
        <v>82</v>
      </c>
      <c r="D1173" t="s">
        <v>822</v>
      </c>
      <c r="E1173" t="s">
        <v>823</v>
      </c>
      <c r="F1173" t="s">
        <v>4</v>
      </c>
      <c r="G1173" t="s">
        <v>5</v>
      </c>
      <c r="H1173" s="3">
        <v>2771.3</v>
      </c>
      <c r="I1173" t="s">
        <v>824</v>
      </c>
      <c r="J1173" t="s">
        <v>66</v>
      </c>
      <c r="K1173" t="s">
        <v>8</v>
      </c>
      <c r="L1173" t="s">
        <v>8</v>
      </c>
      <c r="M1173" t="s">
        <v>8</v>
      </c>
      <c r="N1173" t="s">
        <v>851</v>
      </c>
      <c r="O1173" t="s">
        <v>57</v>
      </c>
      <c r="P1173" t="s">
        <v>814</v>
      </c>
    </row>
    <row r="1174" spans="1:16" x14ac:dyDescent="0.25">
      <c r="A1174" t="s">
        <v>0</v>
      </c>
      <c r="B1174" s="2">
        <v>44803</v>
      </c>
      <c r="C1174" s="5" t="s">
        <v>82</v>
      </c>
      <c r="D1174" t="s">
        <v>514</v>
      </c>
      <c r="E1174" t="s">
        <v>515</v>
      </c>
      <c r="F1174" t="s">
        <v>4</v>
      </c>
      <c r="G1174" t="s">
        <v>5</v>
      </c>
      <c r="H1174" s="3">
        <v>2386</v>
      </c>
      <c r="I1174" t="s">
        <v>889</v>
      </c>
      <c r="J1174" t="s">
        <v>66</v>
      </c>
      <c r="K1174" t="s">
        <v>8</v>
      </c>
      <c r="L1174" t="s">
        <v>8</v>
      </c>
      <c r="M1174" t="s">
        <v>8</v>
      </c>
      <c r="N1174" t="s">
        <v>851</v>
      </c>
      <c r="O1174" t="s">
        <v>57</v>
      </c>
      <c r="P1174" t="s">
        <v>906</v>
      </c>
    </row>
    <row r="1175" spans="1:16" x14ac:dyDescent="0.25">
      <c r="A1175" t="s">
        <v>0</v>
      </c>
      <c r="B1175" s="2">
        <v>44803</v>
      </c>
      <c r="C1175" s="5" t="s">
        <v>82</v>
      </c>
      <c r="D1175" t="s">
        <v>301</v>
      </c>
      <c r="E1175" t="s">
        <v>302</v>
      </c>
      <c r="F1175" t="s">
        <v>4</v>
      </c>
      <c r="G1175" t="s">
        <v>5</v>
      </c>
      <c r="H1175" s="3">
        <v>2236.21</v>
      </c>
      <c r="I1175" t="s">
        <v>268</v>
      </c>
      <c r="J1175" t="s">
        <v>8</v>
      </c>
      <c r="K1175" t="s">
        <v>932</v>
      </c>
      <c r="L1175" t="s">
        <v>8</v>
      </c>
      <c r="M1175" t="s">
        <v>270</v>
      </c>
      <c r="N1175" t="s">
        <v>933</v>
      </c>
      <c r="O1175" t="s">
        <v>95</v>
      </c>
      <c r="P1175" t="s">
        <v>12</v>
      </c>
    </row>
    <row r="1176" spans="1:16" x14ac:dyDescent="0.25">
      <c r="A1176" t="s">
        <v>0</v>
      </c>
      <c r="B1176" s="2">
        <v>44803</v>
      </c>
      <c r="C1176" s="5" t="s">
        <v>82</v>
      </c>
      <c r="D1176" t="s">
        <v>954</v>
      </c>
      <c r="E1176" t="s">
        <v>955</v>
      </c>
      <c r="F1176" t="s">
        <v>4</v>
      </c>
      <c r="G1176" t="s">
        <v>5</v>
      </c>
      <c r="H1176" s="3">
        <v>2000</v>
      </c>
      <c r="I1176" t="s">
        <v>956</v>
      </c>
      <c r="J1176" t="s">
        <v>66</v>
      </c>
      <c r="K1176" t="s">
        <v>8</v>
      </c>
      <c r="L1176" t="s">
        <v>8</v>
      </c>
      <c r="M1176" t="s">
        <v>8</v>
      </c>
      <c r="N1176" t="s">
        <v>851</v>
      </c>
      <c r="O1176" t="s">
        <v>57</v>
      </c>
      <c r="P1176" t="s">
        <v>963</v>
      </c>
    </row>
    <row r="1177" spans="1:16" x14ac:dyDescent="0.25">
      <c r="A1177" t="s">
        <v>0</v>
      </c>
      <c r="B1177" s="2">
        <v>44803</v>
      </c>
      <c r="C1177" s="5" t="s">
        <v>82</v>
      </c>
      <c r="D1177" t="s">
        <v>951</v>
      </c>
      <c r="E1177" t="s">
        <v>952</v>
      </c>
      <c r="F1177" t="s">
        <v>4</v>
      </c>
      <c r="G1177" t="s">
        <v>5</v>
      </c>
      <c r="H1177" s="3">
        <v>1407.81</v>
      </c>
      <c r="I1177" t="s">
        <v>953</v>
      </c>
      <c r="J1177" t="s">
        <v>66</v>
      </c>
      <c r="K1177" t="s">
        <v>8</v>
      </c>
      <c r="L1177" t="s">
        <v>8</v>
      </c>
      <c r="M1177" t="s">
        <v>8</v>
      </c>
      <c r="N1177" t="s">
        <v>83</v>
      </c>
      <c r="O1177" t="s">
        <v>57</v>
      </c>
      <c r="P1177" t="s">
        <v>1103</v>
      </c>
    </row>
    <row r="1178" spans="1:16" x14ac:dyDescent="0.25">
      <c r="A1178" t="s">
        <v>0</v>
      </c>
      <c r="B1178" s="2">
        <v>44803</v>
      </c>
      <c r="C1178" s="5" t="s">
        <v>82</v>
      </c>
      <c r="D1178" t="s">
        <v>881</v>
      </c>
      <c r="E1178" t="s">
        <v>882</v>
      </c>
      <c r="F1178" t="s">
        <v>4</v>
      </c>
      <c r="G1178" t="s">
        <v>5</v>
      </c>
      <c r="H1178" s="3">
        <v>1321</v>
      </c>
      <c r="I1178" t="s">
        <v>1065</v>
      </c>
      <c r="J1178" t="s">
        <v>66</v>
      </c>
      <c r="K1178" t="s">
        <v>8</v>
      </c>
      <c r="L1178" t="s">
        <v>8</v>
      </c>
      <c r="M1178" t="s">
        <v>8</v>
      </c>
      <c r="N1178" t="s">
        <v>83</v>
      </c>
      <c r="O1178" t="s">
        <v>57</v>
      </c>
      <c r="P1178" t="s">
        <v>1123</v>
      </c>
    </row>
    <row r="1179" spans="1:16" x14ac:dyDescent="0.25">
      <c r="A1179" t="s">
        <v>0</v>
      </c>
      <c r="B1179" s="2">
        <v>44803</v>
      </c>
      <c r="C1179" s="5" t="s">
        <v>82</v>
      </c>
      <c r="D1179" t="s">
        <v>266</v>
      </c>
      <c r="E1179" t="s">
        <v>267</v>
      </c>
      <c r="F1179" t="s">
        <v>4</v>
      </c>
      <c r="G1179" t="s">
        <v>5</v>
      </c>
      <c r="H1179" s="3">
        <v>1136.58</v>
      </c>
      <c r="I1179" t="s">
        <v>268</v>
      </c>
      <c r="J1179" t="s">
        <v>8</v>
      </c>
      <c r="K1179" t="s">
        <v>1167</v>
      </c>
      <c r="L1179" t="s">
        <v>8</v>
      </c>
      <c r="M1179" t="s">
        <v>270</v>
      </c>
      <c r="N1179" t="s">
        <v>1173</v>
      </c>
      <c r="O1179" t="s">
        <v>272</v>
      </c>
      <c r="P1179" t="s">
        <v>43</v>
      </c>
    </row>
    <row r="1180" spans="1:16" x14ac:dyDescent="0.25">
      <c r="A1180" t="s">
        <v>0</v>
      </c>
      <c r="B1180" s="2">
        <v>44803</v>
      </c>
      <c r="C1180" s="5" t="s">
        <v>82</v>
      </c>
      <c r="D1180" t="s">
        <v>1184</v>
      </c>
      <c r="E1180" t="s">
        <v>1185</v>
      </c>
      <c r="F1180" t="s">
        <v>4</v>
      </c>
      <c r="G1180" t="s">
        <v>5</v>
      </c>
      <c r="H1180" s="3">
        <v>1087.6600000000001</v>
      </c>
      <c r="I1180" t="s">
        <v>1186</v>
      </c>
      <c r="J1180" t="s">
        <v>66</v>
      </c>
      <c r="K1180" t="s">
        <v>8</v>
      </c>
      <c r="L1180" t="s">
        <v>8</v>
      </c>
      <c r="M1180" t="s">
        <v>8</v>
      </c>
      <c r="N1180" t="s">
        <v>83</v>
      </c>
      <c r="O1180" t="s">
        <v>57</v>
      </c>
      <c r="P1180" t="s">
        <v>928</v>
      </c>
    </row>
    <row r="1181" spans="1:16" x14ac:dyDescent="0.25">
      <c r="A1181" t="s">
        <v>0</v>
      </c>
      <c r="B1181" s="2">
        <v>44803</v>
      </c>
      <c r="C1181" s="5" t="s">
        <v>82</v>
      </c>
      <c r="D1181" t="s">
        <v>951</v>
      </c>
      <c r="E1181" t="s">
        <v>952</v>
      </c>
      <c r="F1181" t="s">
        <v>4</v>
      </c>
      <c r="G1181" t="s">
        <v>5</v>
      </c>
      <c r="H1181" s="3">
        <v>976.67</v>
      </c>
      <c r="I1181" t="s">
        <v>1178</v>
      </c>
      <c r="J1181" t="s">
        <v>66</v>
      </c>
      <c r="K1181" t="s">
        <v>8</v>
      </c>
      <c r="L1181" t="s">
        <v>8</v>
      </c>
      <c r="M1181" t="s">
        <v>8</v>
      </c>
      <c r="N1181" t="s">
        <v>851</v>
      </c>
      <c r="O1181" t="s">
        <v>57</v>
      </c>
      <c r="P1181" t="s">
        <v>1222</v>
      </c>
    </row>
    <row r="1182" spans="1:16" x14ac:dyDescent="0.25">
      <c r="A1182" t="s">
        <v>0</v>
      </c>
      <c r="B1182" s="2">
        <v>44803</v>
      </c>
      <c r="C1182" s="5" t="s">
        <v>82</v>
      </c>
      <c r="D1182" t="s">
        <v>266</v>
      </c>
      <c r="E1182" t="s">
        <v>267</v>
      </c>
      <c r="F1182" t="s">
        <v>4</v>
      </c>
      <c r="G1182" t="s">
        <v>5</v>
      </c>
      <c r="H1182" s="3">
        <v>902.08</v>
      </c>
      <c r="I1182" t="s">
        <v>268</v>
      </c>
      <c r="J1182" t="s">
        <v>8</v>
      </c>
      <c r="K1182" t="s">
        <v>1240</v>
      </c>
      <c r="L1182" t="s">
        <v>8</v>
      </c>
      <c r="M1182" t="s">
        <v>270</v>
      </c>
      <c r="N1182" t="s">
        <v>1241</v>
      </c>
      <c r="O1182" t="s">
        <v>272</v>
      </c>
      <c r="P1182" t="s">
        <v>22</v>
      </c>
    </row>
    <row r="1183" spans="1:16" x14ac:dyDescent="0.25">
      <c r="A1183" t="s">
        <v>0</v>
      </c>
      <c r="B1183" s="2">
        <v>44803</v>
      </c>
      <c r="C1183" s="5" t="s">
        <v>82</v>
      </c>
      <c r="D1183" t="s">
        <v>885</v>
      </c>
      <c r="E1183" t="s">
        <v>886</v>
      </c>
      <c r="F1183" t="s">
        <v>4</v>
      </c>
      <c r="G1183" t="s">
        <v>5</v>
      </c>
      <c r="H1183" s="3">
        <v>812.26</v>
      </c>
      <c r="I1183" t="s">
        <v>1326</v>
      </c>
      <c r="J1183" t="s">
        <v>943</v>
      </c>
      <c r="K1183" t="s">
        <v>8</v>
      </c>
      <c r="L1183" t="s">
        <v>8</v>
      </c>
      <c r="M1183" t="s">
        <v>8</v>
      </c>
      <c r="N1183" t="s">
        <v>1327</v>
      </c>
      <c r="O1183" t="s">
        <v>1328</v>
      </c>
      <c r="P1183" t="s">
        <v>1</v>
      </c>
    </row>
    <row r="1184" spans="1:16" x14ac:dyDescent="0.25">
      <c r="A1184" t="s">
        <v>0</v>
      </c>
      <c r="B1184" s="2">
        <v>44803</v>
      </c>
      <c r="C1184" s="5" t="s">
        <v>82</v>
      </c>
      <c r="D1184" t="s">
        <v>301</v>
      </c>
      <c r="E1184" t="s">
        <v>302</v>
      </c>
      <c r="F1184" t="s">
        <v>4</v>
      </c>
      <c r="G1184" t="s">
        <v>5</v>
      </c>
      <c r="H1184" s="3">
        <v>694.39</v>
      </c>
      <c r="I1184" t="s">
        <v>268</v>
      </c>
      <c r="J1184" t="s">
        <v>8</v>
      </c>
      <c r="K1184" t="s">
        <v>269</v>
      </c>
      <c r="L1184" t="s">
        <v>8</v>
      </c>
      <c r="M1184" t="s">
        <v>270</v>
      </c>
      <c r="N1184" t="s">
        <v>636</v>
      </c>
      <c r="O1184" t="s">
        <v>272</v>
      </c>
      <c r="P1184" t="s">
        <v>43</v>
      </c>
    </row>
    <row r="1185" spans="1:16" x14ac:dyDescent="0.25">
      <c r="A1185" t="s">
        <v>0</v>
      </c>
      <c r="B1185" s="2">
        <v>44803</v>
      </c>
      <c r="C1185" s="5" t="s">
        <v>82</v>
      </c>
      <c r="D1185" t="s">
        <v>1050</v>
      </c>
      <c r="E1185" t="s">
        <v>1051</v>
      </c>
      <c r="F1185" t="s">
        <v>4</v>
      </c>
      <c r="G1185" t="s">
        <v>5</v>
      </c>
      <c r="H1185" s="3">
        <v>555.75</v>
      </c>
      <c r="I1185" t="s">
        <v>1440</v>
      </c>
      <c r="J1185" t="s">
        <v>1051</v>
      </c>
      <c r="K1185" t="s">
        <v>8</v>
      </c>
      <c r="L1185" t="s">
        <v>8</v>
      </c>
      <c r="M1185" t="s">
        <v>8</v>
      </c>
      <c r="N1185" t="s">
        <v>1441</v>
      </c>
      <c r="O1185" t="s">
        <v>1054</v>
      </c>
      <c r="P1185" t="s">
        <v>367</v>
      </c>
    </row>
    <row r="1186" spans="1:16" x14ac:dyDescent="0.25">
      <c r="A1186" t="s">
        <v>0</v>
      </c>
      <c r="B1186" s="2">
        <v>44803</v>
      </c>
      <c r="C1186" s="5" t="s">
        <v>82</v>
      </c>
      <c r="D1186" t="s">
        <v>951</v>
      </c>
      <c r="E1186" t="s">
        <v>952</v>
      </c>
      <c r="F1186" t="s">
        <v>4</v>
      </c>
      <c r="G1186" t="s">
        <v>5</v>
      </c>
      <c r="H1186" s="3">
        <v>517.09</v>
      </c>
      <c r="I1186" t="s">
        <v>1359</v>
      </c>
      <c r="J1186" t="s">
        <v>66</v>
      </c>
      <c r="K1186" t="s">
        <v>8</v>
      </c>
      <c r="L1186" t="s">
        <v>8</v>
      </c>
      <c r="M1186" t="s">
        <v>8</v>
      </c>
      <c r="N1186" t="s">
        <v>83</v>
      </c>
      <c r="O1186" t="s">
        <v>57</v>
      </c>
      <c r="P1186" t="s">
        <v>1467</v>
      </c>
    </row>
    <row r="1187" spans="1:16" x14ac:dyDescent="0.25">
      <c r="A1187" t="s">
        <v>0</v>
      </c>
      <c r="B1187" s="2">
        <v>44803</v>
      </c>
      <c r="C1187" s="5" t="s">
        <v>82</v>
      </c>
      <c r="D1187" t="s">
        <v>1506</v>
      </c>
      <c r="E1187" t="s">
        <v>1507</v>
      </c>
      <c r="F1187" t="s">
        <v>4</v>
      </c>
      <c r="G1187" t="s">
        <v>5</v>
      </c>
      <c r="H1187" s="3">
        <v>402.88</v>
      </c>
      <c r="I1187" t="s">
        <v>1508</v>
      </c>
      <c r="J1187" t="s">
        <v>66</v>
      </c>
      <c r="K1187" t="s">
        <v>8</v>
      </c>
      <c r="L1187" t="s">
        <v>8</v>
      </c>
      <c r="M1187" t="s">
        <v>8</v>
      </c>
      <c r="N1187" t="s">
        <v>83</v>
      </c>
      <c r="O1187" t="s">
        <v>57</v>
      </c>
      <c r="P1187" t="s">
        <v>240</v>
      </c>
    </row>
    <row r="1188" spans="1:16" x14ac:dyDescent="0.25">
      <c r="A1188" t="s">
        <v>0</v>
      </c>
      <c r="B1188" s="2">
        <v>44803</v>
      </c>
      <c r="C1188" s="5" t="s">
        <v>82</v>
      </c>
      <c r="D1188" t="s">
        <v>1506</v>
      </c>
      <c r="E1188" t="s">
        <v>1507</v>
      </c>
      <c r="F1188" t="s">
        <v>4</v>
      </c>
      <c r="G1188" t="s">
        <v>5</v>
      </c>
      <c r="H1188" s="3">
        <v>399.48</v>
      </c>
      <c r="I1188" t="s">
        <v>1601</v>
      </c>
      <c r="J1188" t="s">
        <v>66</v>
      </c>
      <c r="K1188" t="s">
        <v>8</v>
      </c>
      <c r="L1188" t="s">
        <v>8</v>
      </c>
      <c r="M1188" t="s">
        <v>8</v>
      </c>
      <c r="N1188" t="s">
        <v>83</v>
      </c>
      <c r="O1188" t="s">
        <v>57</v>
      </c>
      <c r="P1188" t="s">
        <v>1608</v>
      </c>
    </row>
    <row r="1189" spans="1:16" x14ac:dyDescent="0.25">
      <c r="A1189" t="s">
        <v>0</v>
      </c>
      <c r="B1189" s="2">
        <v>44803</v>
      </c>
      <c r="C1189" s="5" t="s">
        <v>82</v>
      </c>
      <c r="D1189" t="s">
        <v>380</v>
      </c>
      <c r="E1189" t="s">
        <v>381</v>
      </c>
      <c r="F1189" t="s">
        <v>4</v>
      </c>
      <c r="G1189" t="s">
        <v>5</v>
      </c>
      <c r="H1189" s="3">
        <v>361.72</v>
      </c>
      <c r="I1189" t="s">
        <v>1587</v>
      </c>
      <c r="J1189" t="s">
        <v>66</v>
      </c>
      <c r="K1189" t="s">
        <v>8</v>
      </c>
      <c r="L1189" t="s">
        <v>8</v>
      </c>
      <c r="M1189" t="s">
        <v>8</v>
      </c>
      <c r="N1189" t="s">
        <v>851</v>
      </c>
      <c r="O1189" t="s">
        <v>57</v>
      </c>
      <c r="P1189" t="s">
        <v>1632</v>
      </c>
    </row>
    <row r="1190" spans="1:16" x14ac:dyDescent="0.25">
      <c r="A1190" t="s">
        <v>0</v>
      </c>
      <c r="B1190" s="2">
        <v>44803</v>
      </c>
      <c r="C1190" s="5" t="s">
        <v>82</v>
      </c>
      <c r="D1190" t="s">
        <v>514</v>
      </c>
      <c r="E1190" t="s">
        <v>515</v>
      </c>
      <c r="F1190" t="s">
        <v>4</v>
      </c>
      <c r="G1190" t="s">
        <v>5</v>
      </c>
      <c r="H1190" s="3">
        <v>159.22</v>
      </c>
      <c r="I1190" t="s">
        <v>1220</v>
      </c>
      <c r="J1190" t="s">
        <v>66</v>
      </c>
      <c r="K1190" t="s">
        <v>8</v>
      </c>
      <c r="L1190" t="s">
        <v>8</v>
      </c>
      <c r="M1190" t="s">
        <v>8</v>
      </c>
      <c r="N1190" t="s">
        <v>83</v>
      </c>
      <c r="O1190" t="s">
        <v>57</v>
      </c>
      <c r="P1190" t="s">
        <v>1829</v>
      </c>
    </row>
    <row r="1191" spans="1:16" x14ac:dyDescent="0.25">
      <c r="A1191" t="s">
        <v>0</v>
      </c>
      <c r="B1191" s="2">
        <v>44803</v>
      </c>
      <c r="C1191" s="5" t="s">
        <v>82</v>
      </c>
      <c r="D1191" t="s">
        <v>1050</v>
      </c>
      <c r="E1191" t="s">
        <v>1051</v>
      </c>
      <c r="F1191" t="s">
        <v>4</v>
      </c>
      <c r="G1191" t="s">
        <v>5</v>
      </c>
      <c r="H1191" s="3">
        <v>100</v>
      </c>
      <c r="I1191" t="s">
        <v>1939</v>
      </c>
      <c r="J1191" t="s">
        <v>1051</v>
      </c>
      <c r="K1191" t="s">
        <v>8</v>
      </c>
      <c r="L1191" t="s">
        <v>8</v>
      </c>
      <c r="M1191" t="s">
        <v>8</v>
      </c>
      <c r="N1191" t="s">
        <v>1940</v>
      </c>
      <c r="O1191" t="s">
        <v>1054</v>
      </c>
      <c r="P1191" t="s">
        <v>43</v>
      </c>
    </row>
    <row r="1192" spans="1:16" x14ac:dyDescent="0.25">
      <c r="A1192" t="s">
        <v>0</v>
      </c>
      <c r="B1192" s="2">
        <v>44803</v>
      </c>
      <c r="C1192" s="5" t="s">
        <v>82</v>
      </c>
      <c r="D1192" t="s">
        <v>624</v>
      </c>
      <c r="E1192" t="s">
        <v>625</v>
      </c>
      <c r="F1192" t="s">
        <v>4</v>
      </c>
      <c r="G1192" t="s">
        <v>5</v>
      </c>
      <c r="H1192" s="3">
        <v>74.099999999999994</v>
      </c>
      <c r="I1192" t="s">
        <v>1841</v>
      </c>
      <c r="J1192" t="s">
        <v>66</v>
      </c>
      <c r="K1192" t="s">
        <v>8</v>
      </c>
      <c r="L1192" t="s">
        <v>8</v>
      </c>
      <c r="M1192" t="s">
        <v>8</v>
      </c>
      <c r="N1192" t="s">
        <v>851</v>
      </c>
      <c r="O1192" t="s">
        <v>57</v>
      </c>
      <c r="P1192" t="s">
        <v>632</v>
      </c>
    </row>
    <row r="1193" spans="1:16" x14ac:dyDescent="0.25">
      <c r="A1193" t="s">
        <v>0</v>
      </c>
      <c r="B1193" s="2">
        <v>44803</v>
      </c>
      <c r="C1193" s="5" t="s">
        <v>82</v>
      </c>
      <c r="D1193" t="s">
        <v>644</v>
      </c>
      <c r="E1193" t="s">
        <v>645</v>
      </c>
      <c r="F1193" t="s">
        <v>4</v>
      </c>
      <c r="G1193" t="s">
        <v>5</v>
      </c>
      <c r="H1193" s="3">
        <v>-26.61</v>
      </c>
      <c r="I1193" t="s">
        <v>2167</v>
      </c>
      <c r="J1193" t="s">
        <v>2165</v>
      </c>
      <c r="K1193" t="s">
        <v>8</v>
      </c>
      <c r="L1193" t="s">
        <v>8</v>
      </c>
      <c r="M1193" t="s">
        <v>8</v>
      </c>
      <c r="N1193" t="s">
        <v>851</v>
      </c>
      <c r="O1193" t="s">
        <v>57</v>
      </c>
      <c r="P1193" t="s">
        <v>2181</v>
      </c>
    </row>
    <row r="1194" spans="1:16" x14ac:dyDescent="0.25">
      <c r="A1194" t="s">
        <v>0</v>
      </c>
      <c r="B1194" s="2">
        <v>44803</v>
      </c>
      <c r="C1194" s="5" t="s">
        <v>82</v>
      </c>
      <c r="D1194" t="s">
        <v>881</v>
      </c>
      <c r="E1194" t="s">
        <v>882</v>
      </c>
      <c r="F1194" t="s">
        <v>4</v>
      </c>
      <c r="G1194" t="s">
        <v>5</v>
      </c>
      <c r="H1194" s="3">
        <v>-59.9</v>
      </c>
      <c r="I1194" t="s">
        <v>2183</v>
      </c>
      <c r="J1194" t="s">
        <v>2165</v>
      </c>
      <c r="K1194" t="s">
        <v>8</v>
      </c>
      <c r="L1194" t="s">
        <v>8</v>
      </c>
      <c r="M1194" t="s">
        <v>8</v>
      </c>
      <c r="N1194" t="s">
        <v>851</v>
      </c>
      <c r="O1194" t="s">
        <v>57</v>
      </c>
      <c r="P1194" t="s">
        <v>2185</v>
      </c>
    </row>
    <row r="1195" spans="1:16" x14ac:dyDescent="0.25">
      <c r="A1195" t="s">
        <v>0</v>
      </c>
      <c r="B1195" s="2">
        <v>44803</v>
      </c>
      <c r="C1195" s="5" t="s">
        <v>82</v>
      </c>
      <c r="D1195" t="s">
        <v>108</v>
      </c>
      <c r="E1195" t="s">
        <v>109</v>
      </c>
      <c r="F1195" t="s">
        <v>4</v>
      </c>
      <c r="G1195" t="s">
        <v>5</v>
      </c>
      <c r="H1195" s="3">
        <v>-66.150000000000006</v>
      </c>
      <c r="I1195" t="s">
        <v>2175</v>
      </c>
      <c r="J1195" t="s">
        <v>2165</v>
      </c>
      <c r="K1195" t="s">
        <v>8</v>
      </c>
      <c r="L1195" t="s">
        <v>8</v>
      </c>
      <c r="M1195" t="s">
        <v>8</v>
      </c>
      <c r="N1195" t="s">
        <v>83</v>
      </c>
      <c r="O1195" t="s">
        <v>57</v>
      </c>
      <c r="P1195" t="s">
        <v>2190</v>
      </c>
    </row>
    <row r="1196" spans="1:16" x14ac:dyDescent="0.25">
      <c r="A1196" t="s">
        <v>0</v>
      </c>
      <c r="B1196" s="2">
        <v>44803</v>
      </c>
      <c r="C1196" s="5" t="s">
        <v>82</v>
      </c>
      <c r="D1196" t="s">
        <v>2191</v>
      </c>
      <c r="E1196" t="s">
        <v>2192</v>
      </c>
      <c r="F1196" t="s">
        <v>4</v>
      </c>
      <c r="G1196" t="s">
        <v>5</v>
      </c>
      <c r="H1196" s="3">
        <v>-90.31</v>
      </c>
      <c r="I1196" t="s">
        <v>2193</v>
      </c>
      <c r="J1196" t="s">
        <v>2165</v>
      </c>
      <c r="K1196" t="s">
        <v>8</v>
      </c>
      <c r="L1196" t="s">
        <v>8</v>
      </c>
      <c r="M1196" t="s">
        <v>8</v>
      </c>
      <c r="N1196" t="s">
        <v>83</v>
      </c>
      <c r="O1196" t="s">
        <v>57</v>
      </c>
      <c r="P1196" t="s">
        <v>2195</v>
      </c>
    </row>
    <row r="1197" spans="1:16" x14ac:dyDescent="0.25">
      <c r="A1197" t="s">
        <v>0</v>
      </c>
      <c r="B1197" s="2">
        <v>44803</v>
      </c>
      <c r="C1197" s="5" t="s">
        <v>82</v>
      </c>
      <c r="D1197" t="s">
        <v>108</v>
      </c>
      <c r="E1197" t="s">
        <v>109</v>
      </c>
      <c r="F1197" t="s">
        <v>4</v>
      </c>
      <c r="G1197" t="s">
        <v>5</v>
      </c>
      <c r="H1197" s="3">
        <v>-133.97999999999999</v>
      </c>
      <c r="I1197" t="s">
        <v>2200</v>
      </c>
      <c r="J1197" t="s">
        <v>2165</v>
      </c>
      <c r="K1197" t="s">
        <v>8</v>
      </c>
      <c r="L1197" t="s">
        <v>8</v>
      </c>
      <c r="M1197" t="s">
        <v>8</v>
      </c>
      <c r="N1197" t="s">
        <v>851</v>
      </c>
      <c r="O1197" t="s">
        <v>57</v>
      </c>
      <c r="P1197" t="s">
        <v>2203</v>
      </c>
    </row>
    <row r="1198" spans="1:16" x14ac:dyDescent="0.25">
      <c r="A1198" t="s">
        <v>0</v>
      </c>
      <c r="B1198" s="2">
        <v>44803</v>
      </c>
      <c r="C1198" s="5" t="s">
        <v>82</v>
      </c>
      <c r="D1198" t="s">
        <v>1207</v>
      </c>
      <c r="E1198" t="s">
        <v>1208</v>
      </c>
      <c r="F1198" t="s">
        <v>4</v>
      </c>
      <c r="G1198" t="s">
        <v>5</v>
      </c>
      <c r="H1198" s="3">
        <v>-219.27</v>
      </c>
      <c r="I1198" t="s">
        <v>2162</v>
      </c>
      <c r="J1198" t="s">
        <v>2165</v>
      </c>
      <c r="K1198" t="s">
        <v>8</v>
      </c>
      <c r="L1198" t="s">
        <v>8</v>
      </c>
      <c r="M1198" t="s">
        <v>8</v>
      </c>
      <c r="N1198" t="s">
        <v>851</v>
      </c>
      <c r="O1198" t="s">
        <v>57</v>
      </c>
      <c r="P1198" t="s">
        <v>2213</v>
      </c>
    </row>
    <row r="1199" spans="1:16" x14ac:dyDescent="0.25">
      <c r="A1199" t="s">
        <v>0</v>
      </c>
      <c r="B1199" s="2">
        <v>44803</v>
      </c>
      <c r="C1199" s="5" t="s">
        <v>82</v>
      </c>
      <c r="D1199" t="s">
        <v>108</v>
      </c>
      <c r="E1199" t="s">
        <v>109</v>
      </c>
      <c r="F1199" t="s">
        <v>4</v>
      </c>
      <c r="G1199" t="s">
        <v>5</v>
      </c>
      <c r="H1199" s="3">
        <v>-473.46</v>
      </c>
      <c r="I1199" t="s">
        <v>2221</v>
      </c>
      <c r="J1199" t="s">
        <v>2165</v>
      </c>
      <c r="K1199" t="s">
        <v>8</v>
      </c>
      <c r="L1199" t="s">
        <v>8</v>
      </c>
      <c r="M1199" t="s">
        <v>8</v>
      </c>
      <c r="N1199" t="s">
        <v>83</v>
      </c>
      <c r="O1199" t="s">
        <v>57</v>
      </c>
      <c r="P1199" t="s">
        <v>2226</v>
      </c>
    </row>
    <row r="1200" spans="1:16" x14ac:dyDescent="0.25">
      <c r="A1200" t="s">
        <v>0</v>
      </c>
      <c r="B1200" s="2">
        <v>44803</v>
      </c>
      <c r="C1200" s="5" t="s">
        <v>82</v>
      </c>
      <c r="D1200" t="s">
        <v>644</v>
      </c>
      <c r="E1200" t="s">
        <v>645</v>
      </c>
      <c r="F1200" t="s">
        <v>4</v>
      </c>
      <c r="G1200" t="s">
        <v>5</v>
      </c>
      <c r="H1200" s="3">
        <v>-487.78</v>
      </c>
      <c r="I1200" t="s">
        <v>2228</v>
      </c>
      <c r="J1200" t="s">
        <v>2165</v>
      </c>
      <c r="K1200" t="s">
        <v>8</v>
      </c>
      <c r="L1200" t="s">
        <v>8</v>
      </c>
      <c r="M1200" t="s">
        <v>8</v>
      </c>
      <c r="N1200" t="s">
        <v>83</v>
      </c>
      <c r="O1200" t="s">
        <v>57</v>
      </c>
      <c r="P1200" t="s">
        <v>62</v>
      </c>
    </row>
    <row r="1201" spans="1:16" x14ac:dyDescent="0.25">
      <c r="A1201" t="s">
        <v>0</v>
      </c>
      <c r="B1201" s="2">
        <v>44803</v>
      </c>
      <c r="C1201" s="5" t="s">
        <v>82</v>
      </c>
      <c r="D1201" t="s">
        <v>108</v>
      </c>
      <c r="E1201" t="s">
        <v>109</v>
      </c>
      <c r="F1201" t="s">
        <v>4</v>
      </c>
      <c r="G1201" t="s">
        <v>5</v>
      </c>
      <c r="H1201" s="3">
        <v>-625.24</v>
      </c>
      <c r="I1201" t="s">
        <v>2233</v>
      </c>
      <c r="J1201" t="s">
        <v>2165</v>
      </c>
      <c r="K1201" t="s">
        <v>8</v>
      </c>
      <c r="L1201" t="s">
        <v>8</v>
      </c>
      <c r="M1201" t="s">
        <v>8</v>
      </c>
      <c r="N1201" t="s">
        <v>83</v>
      </c>
      <c r="O1201" t="s">
        <v>57</v>
      </c>
      <c r="P1201" t="s">
        <v>907</v>
      </c>
    </row>
    <row r="1202" spans="1:16" x14ac:dyDescent="0.25">
      <c r="A1202" t="s">
        <v>0</v>
      </c>
      <c r="B1202" s="2">
        <v>44803</v>
      </c>
      <c r="C1202" s="5" t="s">
        <v>82</v>
      </c>
      <c r="D1202" t="s">
        <v>108</v>
      </c>
      <c r="E1202" t="s">
        <v>109</v>
      </c>
      <c r="F1202" t="s">
        <v>4</v>
      </c>
      <c r="G1202" t="s">
        <v>5</v>
      </c>
      <c r="H1202" s="3">
        <v>-751.16</v>
      </c>
      <c r="I1202" t="s">
        <v>2218</v>
      </c>
      <c r="J1202" t="s">
        <v>2165</v>
      </c>
      <c r="K1202" t="s">
        <v>8</v>
      </c>
      <c r="L1202" t="s">
        <v>8</v>
      </c>
      <c r="M1202" t="s">
        <v>8</v>
      </c>
      <c r="N1202" t="s">
        <v>83</v>
      </c>
      <c r="O1202" t="s">
        <v>57</v>
      </c>
      <c r="P1202" t="s">
        <v>2236</v>
      </c>
    </row>
    <row r="1203" spans="1:16" x14ac:dyDescent="0.25">
      <c r="A1203" t="s">
        <v>0</v>
      </c>
      <c r="B1203" s="2">
        <v>44803</v>
      </c>
      <c r="C1203" s="5" t="s">
        <v>82</v>
      </c>
      <c r="D1203" t="s">
        <v>2191</v>
      </c>
      <c r="E1203" t="s">
        <v>2192</v>
      </c>
      <c r="F1203" t="s">
        <v>4</v>
      </c>
      <c r="G1203" t="s">
        <v>5</v>
      </c>
      <c r="H1203" s="3">
        <v>-852.48</v>
      </c>
      <c r="I1203" t="s">
        <v>2217</v>
      </c>
      <c r="J1203" t="s">
        <v>2165</v>
      </c>
      <c r="K1203" t="s">
        <v>8</v>
      </c>
      <c r="L1203" t="s">
        <v>8</v>
      </c>
      <c r="M1203" t="s">
        <v>8</v>
      </c>
      <c r="N1203" t="s">
        <v>83</v>
      </c>
      <c r="O1203" t="s">
        <v>57</v>
      </c>
      <c r="P1203" t="s">
        <v>166</v>
      </c>
    </row>
    <row r="1204" spans="1:16" x14ac:dyDescent="0.25">
      <c r="A1204" t="s">
        <v>0</v>
      </c>
      <c r="B1204" s="2">
        <v>44803</v>
      </c>
      <c r="C1204" s="5" t="s">
        <v>82</v>
      </c>
      <c r="D1204" t="s">
        <v>1207</v>
      </c>
      <c r="E1204" t="s">
        <v>1208</v>
      </c>
      <c r="F1204" t="s">
        <v>4</v>
      </c>
      <c r="G1204" t="s">
        <v>5</v>
      </c>
      <c r="H1204" s="3">
        <v>-1126.57</v>
      </c>
      <c r="I1204" t="s">
        <v>2244</v>
      </c>
      <c r="J1204" t="s">
        <v>2165</v>
      </c>
      <c r="K1204" t="s">
        <v>8</v>
      </c>
      <c r="L1204" t="s">
        <v>8</v>
      </c>
      <c r="M1204" t="s">
        <v>8</v>
      </c>
      <c r="N1204" t="s">
        <v>83</v>
      </c>
      <c r="O1204" t="s">
        <v>57</v>
      </c>
      <c r="P1204" t="s">
        <v>2247</v>
      </c>
    </row>
    <row r="1205" spans="1:16" x14ac:dyDescent="0.25">
      <c r="A1205" t="s">
        <v>0</v>
      </c>
      <c r="B1205" s="2">
        <v>44804</v>
      </c>
      <c r="C1205" t="s">
        <v>82</v>
      </c>
      <c r="D1205" t="s">
        <v>90</v>
      </c>
      <c r="E1205" t="s">
        <v>91</v>
      </c>
      <c r="F1205" t="s">
        <v>4</v>
      </c>
      <c r="G1205" t="s">
        <v>5</v>
      </c>
      <c r="H1205" s="3">
        <v>97364.74</v>
      </c>
      <c r="I1205" t="s">
        <v>106</v>
      </c>
      <c r="J1205" t="s">
        <v>93</v>
      </c>
      <c r="K1205" t="s">
        <v>8</v>
      </c>
      <c r="L1205" t="s">
        <v>8</v>
      </c>
      <c r="M1205" t="s">
        <v>8</v>
      </c>
      <c r="N1205" t="s">
        <v>107</v>
      </c>
      <c r="O1205" t="s">
        <v>95</v>
      </c>
      <c r="P1205" t="s">
        <v>87</v>
      </c>
    </row>
    <row r="1206" spans="1:16" x14ac:dyDescent="0.25">
      <c r="A1206" t="s">
        <v>0</v>
      </c>
      <c r="B1206" s="2">
        <v>44804</v>
      </c>
      <c r="C1206" t="s">
        <v>82</v>
      </c>
      <c r="D1206" t="s">
        <v>185</v>
      </c>
      <c r="E1206" t="s">
        <v>186</v>
      </c>
      <c r="F1206" t="s">
        <v>4</v>
      </c>
      <c r="G1206" t="s">
        <v>5</v>
      </c>
      <c r="H1206" s="3">
        <v>28230.46</v>
      </c>
      <c r="I1206" t="s">
        <v>209</v>
      </c>
      <c r="J1206" t="s">
        <v>188</v>
      </c>
      <c r="K1206" t="s">
        <v>8</v>
      </c>
      <c r="L1206" t="s">
        <v>8</v>
      </c>
      <c r="M1206" t="s">
        <v>8</v>
      </c>
      <c r="N1206" t="s">
        <v>210</v>
      </c>
      <c r="O1206" t="s">
        <v>95</v>
      </c>
      <c r="P1206" t="s">
        <v>211</v>
      </c>
    </row>
    <row r="1207" spans="1:16" x14ac:dyDescent="0.25">
      <c r="A1207" t="s">
        <v>0</v>
      </c>
      <c r="B1207" s="2">
        <v>44804</v>
      </c>
      <c r="C1207" t="s">
        <v>82</v>
      </c>
      <c r="D1207" t="s">
        <v>229</v>
      </c>
      <c r="E1207" t="s">
        <v>230</v>
      </c>
      <c r="F1207" t="s">
        <v>4</v>
      </c>
      <c r="G1207" t="s">
        <v>5</v>
      </c>
      <c r="H1207" s="3">
        <v>22438.880000000001</v>
      </c>
      <c r="I1207" t="s">
        <v>231</v>
      </c>
      <c r="J1207" t="s">
        <v>232</v>
      </c>
      <c r="K1207" t="s">
        <v>8</v>
      </c>
      <c r="L1207" t="s">
        <v>8</v>
      </c>
      <c r="M1207" t="s">
        <v>8</v>
      </c>
      <c r="N1207" t="s">
        <v>262</v>
      </c>
      <c r="O1207" t="s">
        <v>234</v>
      </c>
      <c r="P1207" t="s">
        <v>263</v>
      </c>
    </row>
    <row r="1208" spans="1:16" x14ac:dyDescent="0.25">
      <c r="A1208" t="s">
        <v>0</v>
      </c>
      <c r="B1208" s="2">
        <v>44804</v>
      </c>
      <c r="C1208" t="s">
        <v>82</v>
      </c>
      <c r="D1208" t="s">
        <v>241</v>
      </c>
      <c r="E1208" t="s">
        <v>242</v>
      </c>
      <c r="F1208" t="s">
        <v>4</v>
      </c>
      <c r="G1208" t="s">
        <v>5</v>
      </c>
      <c r="H1208" s="3">
        <v>21907.24</v>
      </c>
      <c r="I1208" t="s">
        <v>287</v>
      </c>
      <c r="J1208" t="s">
        <v>244</v>
      </c>
      <c r="K1208" t="s">
        <v>8</v>
      </c>
      <c r="L1208" t="s">
        <v>8</v>
      </c>
      <c r="M1208" t="s">
        <v>8</v>
      </c>
      <c r="N1208" t="s">
        <v>288</v>
      </c>
      <c r="O1208" t="s">
        <v>95</v>
      </c>
      <c r="P1208" t="s">
        <v>289</v>
      </c>
    </row>
    <row r="1209" spans="1:16" x14ac:dyDescent="0.25">
      <c r="A1209" t="s">
        <v>0</v>
      </c>
      <c r="B1209" s="2">
        <v>44804</v>
      </c>
      <c r="C1209" t="s">
        <v>82</v>
      </c>
      <c r="D1209" t="s">
        <v>333</v>
      </c>
      <c r="E1209" t="s">
        <v>334</v>
      </c>
      <c r="F1209" t="s">
        <v>4</v>
      </c>
      <c r="G1209" t="s">
        <v>5</v>
      </c>
      <c r="H1209" s="3">
        <v>14459.13</v>
      </c>
      <c r="I1209" t="s">
        <v>354</v>
      </c>
      <c r="J1209" t="s">
        <v>248</v>
      </c>
      <c r="K1209" t="s">
        <v>8</v>
      </c>
      <c r="L1209" t="s">
        <v>8</v>
      </c>
      <c r="M1209" t="s">
        <v>8</v>
      </c>
      <c r="N1209" t="s">
        <v>355</v>
      </c>
      <c r="O1209" t="s">
        <v>95</v>
      </c>
      <c r="P1209" t="s">
        <v>343</v>
      </c>
    </row>
    <row r="1210" spans="1:16" x14ac:dyDescent="0.25">
      <c r="A1210" t="s">
        <v>0</v>
      </c>
      <c r="B1210" s="2">
        <v>44804</v>
      </c>
      <c r="C1210" s="5" t="s">
        <v>82</v>
      </c>
      <c r="D1210" t="s">
        <v>294</v>
      </c>
      <c r="E1210" t="s">
        <v>295</v>
      </c>
      <c r="F1210" t="s">
        <v>4</v>
      </c>
      <c r="G1210" t="s">
        <v>5</v>
      </c>
      <c r="H1210" s="3">
        <v>5134.8100000000004</v>
      </c>
      <c r="I1210" t="s">
        <v>693</v>
      </c>
      <c r="J1210" t="s">
        <v>297</v>
      </c>
      <c r="K1210" t="s">
        <v>8</v>
      </c>
      <c r="L1210" t="s">
        <v>694</v>
      </c>
      <c r="M1210" t="s">
        <v>8</v>
      </c>
      <c r="N1210" t="s">
        <v>695</v>
      </c>
      <c r="O1210" t="s">
        <v>524</v>
      </c>
      <c r="P1210" t="s">
        <v>77</v>
      </c>
    </row>
    <row r="1211" spans="1:16" x14ac:dyDescent="0.25">
      <c r="A1211" t="s">
        <v>0</v>
      </c>
      <c r="B1211" s="2">
        <v>44804</v>
      </c>
      <c r="C1211" s="5" t="s">
        <v>82</v>
      </c>
      <c r="D1211" t="s">
        <v>794</v>
      </c>
      <c r="E1211" t="s">
        <v>795</v>
      </c>
      <c r="F1211" t="s">
        <v>4</v>
      </c>
      <c r="G1211" t="s">
        <v>5</v>
      </c>
      <c r="H1211" s="3">
        <v>3396.12</v>
      </c>
      <c r="I1211" t="s">
        <v>796</v>
      </c>
      <c r="J1211" t="s">
        <v>232</v>
      </c>
      <c r="K1211" t="s">
        <v>8</v>
      </c>
      <c r="L1211" t="s">
        <v>8</v>
      </c>
      <c r="M1211" t="s">
        <v>8</v>
      </c>
      <c r="N1211" t="s">
        <v>262</v>
      </c>
      <c r="O1211" t="s">
        <v>234</v>
      </c>
      <c r="P1211" t="s">
        <v>800</v>
      </c>
    </row>
    <row r="1212" spans="1:16" x14ac:dyDescent="0.25">
      <c r="A1212" t="s">
        <v>0</v>
      </c>
      <c r="B1212" s="2">
        <v>44804</v>
      </c>
      <c r="C1212" s="5" t="s">
        <v>82</v>
      </c>
      <c r="D1212" t="s">
        <v>1003</v>
      </c>
      <c r="E1212" t="s">
        <v>1004</v>
      </c>
      <c r="F1212" t="s">
        <v>4</v>
      </c>
      <c r="G1212" t="s">
        <v>5</v>
      </c>
      <c r="H1212" s="3">
        <v>1793.55</v>
      </c>
      <c r="I1212" t="s">
        <v>106</v>
      </c>
      <c r="J1212" t="s">
        <v>93</v>
      </c>
      <c r="K1212" t="s">
        <v>8</v>
      </c>
      <c r="L1212" t="s">
        <v>8</v>
      </c>
      <c r="M1212" t="s">
        <v>8</v>
      </c>
      <c r="N1212" t="s">
        <v>107</v>
      </c>
      <c r="O1212" t="s">
        <v>95</v>
      </c>
      <c r="P1212" t="s">
        <v>843</v>
      </c>
    </row>
    <row r="1213" spans="1:16" x14ac:dyDescent="0.25">
      <c r="A1213" t="s">
        <v>0</v>
      </c>
      <c r="B1213" s="2">
        <v>44804</v>
      </c>
      <c r="C1213" s="5" t="s">
        <v>82</v>
      </c>
      <c r="D1213" t="s">
        <v>1517</v>
      </c>
      <c r="E1213" t="s">
        <v>1518</v>
      </c>
      <c r="F1213" t="s">
        <v>4</v>
      </c>
      <c r="G1213" t="s">
        <v>5</v>
      </c>
      <c r="H1213" s="3">
        <v>438.9</v>
      </c>
      <c r="I1213" t="s">
        <v>1541</v>
      </c>
      <c r="J1213" t="s">
        <v>1520</v>
      </c>
      <c r="K1213" t="s">
        <v>8</v>
      </c>
      <c r="L1213" t="s">
        <v>1542</v>
      </c>
      <c r="M1213" t="s">
        <v>8</v>
      </c>
      <c r="N1213" t="s">
        <v>1544</v>
      </c>
      <c r="O1213" t="s">
        <v>16</v>
      </c>
      <c r="P1213" t="s">
        <v>1</v>
      </c>
    </row>
    <row r="1214" spans="1:16" x14ac:dyDescent="0.25">
      <c r="A1214" t="s">
        <v>0</v>
      </c>
      <c r="B1214" s="2">
        <v>44804</v>
      </c>
      <c r="C1214" s="5" t="s">
        <v>82</v>
      </c>
      <c r="D1214" t="s">
        <v>1839</v>
      </c>
      <c r="E1214" t="s">
        <v>1840</v>
      </c>
      <c r="F1214" t="s">
        <v>4</v>
      </c>
      <c r="G1214" t="s">
        <v>5</v>
      </c>
      <c r="H1214" s="3">
        <v>152.9</v>
      </c>
      <c r="I1214" t="s">
        <v>354</v>
      </c>
      <c r="J1214" t="s">
        <v>248</v>
      </c>
      <c r="K1214" t="s">
        <v>8</v>
      </c>
      <c r="L1214" t="s">
        <v>8</v>
      </c>
      <c r="M1214" t="s">
        <v>8</v>
      </c>
      <c r="N1214" t="s">
        <v>355</v>
      </c>
      <c r="O1214" t="s">
        <v>95</v>
      </c>
      <c r="P1214" t="s">
        <v>72</v>
      </c>
    </row>
    <row r="1215" spans="1:16" x14ac:dyDescent="0.25">
      <c r="A1215" t="s">
        <v>0</v>
      </c>
      <c r="B1215" s="2">
        <v>44804</v>
      </c>
      <c r="C1215" s="5" t="s">
        <v>82</v>
      </c>
      <c r="D1215" t="s">
        <v>1517</v>
      </c>
      <c r="E1215" t="s">
        <v>1518</v>
      </c>
      <c r="F1215" t="s">
        <v>4</v>
      </c>
      <c r="G1215" t="s">
        <v>5</v>
      </c>
      <c r="H1215" s="3">
        <v>-438.9</v>
      </c>
      <c r="I1215" t="s">
        <v>1545</v>
      </c>
      <c r="J1215" t="s">
        <v>1520</v>
      </c>
      <c r="K1215" t="s">
        <v>8</v>
      </c>
      <c r="L1215" t="s">
        <v>1542</v>
      </c>
      <c r="M1215" t="s">
        <v>8</v>
      </c>
      <c r="N1215" t="s">
        <v>2220</v>
      </c>
      <c r="O1215" t="s">
        <v>16</v>
      </c>
      <c r="P1215" t="s">
        <v>1</v>
      </c>
    </row>
    <row r="1216" spans="1:16" x14ac:dyDescent="0.25">
      <c r="A1216" t="s">
        <v>0</v>
      </c>
      <c r="B1216" s="2">
        <v>44804</v>
      </c>
      <c r="C1216" s="5" t="s">
        <v>82</v>
      </c>
      <c r="D1216" t="s">
        <v>403</v>
      </c>
      <c r="E1216" t="s">
        <v>404</v>
      </c>
      <c r="F1216" t="s">
        <v>4</v>
      </c>
      <c r="G1216" t="s">
        <v>5</v>
      </c>
      <c r="H1216" s="3">
        <v>-10242.719999999999</v>
      </c>
      <c r="I1216" t="s">
        <v>2268</v>
      </c>
      <c r="J1216" t="s">
        <v>406</v>
      </c>
      <c r="K1216" t="s">
        <v>8</v>
      </c>
      <c r="L1216" t="s">
        <v>8</v>
      </c>
      <c r="M1216" t="s">
        <v>8</v>
      </c>
      <c r="N1216" t="s">
        <v>2269</v>
      </c>
      <c r="O1216" t="s">
        <v>408</v>
      </c>
      <c r="P1216" t="s">
        <v>579</v>
      </c>
    </row>
    <row r="1217" spans="1:16" x14ac:dyDescent="0.25">
      <c r="A1217" t="s">
        <v>0</v>
      </c>
      <c r="B1217" s="2">
        <v>44805</v>
      </c>
      <c r="C1217" t="s">
        <v>82</v>
      </c>
      <c r="D1217" t="s">
        <v>108</v>
      </c>
      <c r="E1217" t="s">
        <v>109</v>
      </c>
      <c r="F1217" t="s">
        <v>4</v>
      </c>
      <c r="G1217" t="s">
        <v>5</v>
      </c>
      <c r="H1217" s="3">
        <v>70946.52</v>
      </c>
      <c r="I1217" t="s">
        <v>129</v>
      </c>
      <c r="J1217" t="s">
        <v>109</v>
      </c>
      <c r="K1217" t="s">
        <v>8</v>
      </c>
      <c r="L1217" t="s">
        <v>8</v>
      </c>
      <c r="M1217" t="s">
        <v>8</v>
      </c>
      <c r="N1217" t="s">
        <v>130</v>
      </c>
      <c r="O1217" t="s">
        <v>112</v>
      </c>
      <c r="P1217" t="s">
        <v>128</v>
      </c>
    </row>
    <row r="1218" spans="1:16" x14ac:dyDescent="0.25">
      <c r="A1218" t="s">
        <v>0</v>
      </c>
      <c r="B1218" s="2">
        <v>44805</v>
      </c>
      <c r="C1218" s="5" t="s">
        <v>82</v>
      </c>
      <c r="D1218" t="s">
        <v>152</v>
      </c>
      <c r="E1218" t="s">
        <v>153</v>
      </c>
      <c r="F1218" t="s">
        <v>4</v>
      </c>
      <c r="G1218" t="s">
        <v>5</v>
      </c>
      <c r="H1218" s="3">
        <v>9433.2000000000007</v>
      </c>
      <c r="I1218" t="s">
        <v>484</v>
      </c>
      <c r="J1218" t="s">
        <v>322</v>
      </c>
      <c r="K1218" t="s">
        <v>8</v>
      </c>
      <c r="L1218" t="s">
        <v>8</v>
      </c>
      <c r="M1218" t="s">
        <v>8</v>
      </c>
      <c r="N1218" t="s">
        <v>485</v>
      </c>
      <c r="O1218" t="s">
        <v>112</v>
      </c>
      <c r="P1218" t="s">
        <v>324</v>
      </c>
    </row>
    <row r="1219" spans="1:16" x14ac:dyDescent="0.25">
      <c r="A1219" t="s">
        <v>0</v>
      </c>
      <c r="B1219" s="2">
        <v>44805</v>
      </c>
      <c r="C1219" s="5" t="s">
        <v>82</v>
      </c>
      <c r="D1219" t="s">
        <v>398</v>
      </c>
      <c r="E1219" t="s">
        <v>399</v>
      </c>
      <c r="F1219" t="s">
        <v>4</v>
      </c>
      <c r="G1219" t="s">
        <v>5</v>
      </c>
      <c r="H1219" s="3">
        <v>8203.7000000000007</v>
      </c>
      <c r="I1219" t="s">
        <v>400</v>
      </c>
      <c r="J1219" t="s">
        <v>8</v>
      </c>
      <c r="K1219" t="s">
        <v>219</v>
      </c>
      <c r="L1219" t="s">
        <v>8</v>
      </c>
      <c r="M1219" t="s">
        <v>220</v>
      </c>
      <c r="N1219" t="s">
        <v>538</v>
      </c>
      <c r="O1219" t="s">
        <v>95</v>
      </c>
      <c r="P1219" t="s">
        <v>402</v>
      </c>
    </row>
    <row r="1220" spans="1:16" x14ac:dyDescent="0.25">
      <c r="A1220" t="s">
        <v>0</v>
      </c>
      <c r="B1220" s="2">
        <v>44805</v>
      </c>
      <c r="C1220" s="5" t="s">
        <v>82</v>
      </c>
      <c r="D1220" t="s">
        <v>216</v>
      </c>
      <c r="E1220" t="s">
        <v>217</v>
      </c>
      <c r="F1220" t="s">
        <v>4</v>
      </c>
      <c r="G1220" t="s">
        <v>5</v>
      </c>
      <c r="H1220" s="3">
        <v>6386.17</v>
      </c>
      <c r="I1220" t="s">
        <v>218</v>
      </c>
      <c r="J1220" t="s">
        <v>8</v>
      </c>
      <c r="K1220" t="s">
        <v>219</v>
      </c>
      <c r="L1220" t="s">
        <v>8</v>
      </c>
      <c r="M1220" t="s">
        <v>220</v>
      </c>
      <c r="N1220" t="s">
        <v>538</v>
      </c>
      <c r="O1220" t="s">
        <v>95</v>
      </c>
      <c r="P1220" t="s">
        <v>259</v>
      </c>
    </row>
    <row r="1221" spans="1:16" x14ac:dyDescent="0.25">
      <c r="A1221" t="s">
        <v>0</v>
      </c>
      <c r="B1221" s="2">
        <v>44805</v>
      </c>
      <c r="C1221" s="5" t="s">
        <v>82</v>
      </c>
      <c r="D1221" t="s">
        <v>644</v>
      </c>
      <c r="E1221" t="s">
        <v>645</v>
      </c>
      <c r="F1221" t="s">
        <v>4</v>
      </c>
      <c r="G1221" t="s">
        <v>5</v>
      </c>
      <c r="H1221" s="3">
        <v>5758.98</v>
      </c>
      <c r="I1221" t="s">
        <v>646</v>
      </c>
      <c r="J1221" t="s">
        <v>109</v>
      </c>
      <c r="K1221" t="s">
        <v>8</v>
      </c>
      <c r="L1221" t="s">
        <v>8</v>
      </c>
      <c r="M1221" t="s">
        <v>8</v>
      </c>
      <c r="N1221" t="s">
        <v>130</v>
      </c>
      <c r="O1221" t="s">
        <v>112</v>
      </c>
      <c r="P1221" t="s">
        <v>647</v>
      </c>
    </row>
    <row r="1222" spans="1:16" x14ac:dyDescent="0.25">
      <c r="A1222" t="s">
        <v>0</v>
      </c>
      <c r="B1222" s="2">
        <v>44805</v>
      </c>
      <c r="C1222" s="5" t="s">
        <v>82</v>
      </c>
      <c r="D1222" t="s">
        <v>885</v>
      </c>
      <c r="E1222" t="s">
        <v>886</v>
      </c>
      <c r="F1222" t="s">
        <v>4</v>
      </c>
      <c r="G1222" t="s">
        <v>5</v>
      </c>
      <c r="H1222" s="3">
        <v>1842.01</v>
      </c>
      <c r="I1222" t="s">
        <v>887</v>
      </c>
      <c r="J1222" t="s">
        <v>8</v>
      </c>
      <c r="K1222" t="s">
        <v>219</v>
      </c>
      <c r="L1222" t="s">
        <v>8</v>
      </c>
      <c r="M1222" t="s">
        <v>220</v>
      </c>
      <c r="N1222" t="s">
        <v>538</v>
      </c>
      <c r="O1222" t="s">
        <v>95</v>
      </c>
      <c r="P1222" t="s">
        <v>926</v>
      </c>
    </row>
    <row r="1223" spans="1:16" x14ac:dyDescent="0.25">
      <c r="A1223" t="s">
        <v>0</v>
      </c>
      <c r="B1223" s="2">
        <v>44805</v>
      </c>
      <c r="C1223" s="5" t="s">
        <v>82</v>
      </c>
      <c r="D1223" t="s">
        <v>651</v>
      </c>
      <c r="E1223" t="s">
        <v>652</v>
      </c>
      <c r="F1223" t="s">
        <v>4</v>
      </c>
      <c r="G1223" t="s">
        <v>5</v>
      </c>
      <c r="H1223" s="3">
        <v>1664.01</v>
      </c>
      <c r="I1223" t="s">
        <v>653</v>
      </c>
      <c r="J1223" t="s">
        <v>8</v>
      </c>
      <c r="K1223" t="s">
        <v>219</v>
      </c>
      <c r="L1223" t="s">
        <v>8</v>
      </c>
      <c r="M1223" t="s">
        <v>220</v>
      </c>
      <c r="N1223" t="s">
        <v>538</v>
      </c>
      <c r="O1223" t="s">
        <v>95</v>
      </c>
      <c r="P1223" t="s">
        <v>747</v>
      </c>
    </row>
    <row r="1224" spans="1:16" x14ac:dyDescent="0.25">
      <c r="A1224" t="s">
        <v>0</v>
      </c>
      <c r="B1224" s="2">
        <v>44805</v>
      </c>
      <c r="C1224" s="5" t="s">
        <v>82</v>
      </c>
      <c r="D1224" t="s">
        <v>881</v>
      </c>
      <c r="E1224" t="s">
        <v>882</v>
      </c>
      <c r="F1224" t="s">
        <v>4</v>
      </c>
      <c r="G1224" t="s">
        <v>5</v>
      </c>
      <c r="H1224" s="3">
        <v>1396.95</v>
      </c>
      <c r="I1224" t="s">
        <v>1106</v>
      </c>
      <c r="J1224" t="s">
        <v>109</v>
      </c>
      <c r="K1224" t="s">
        <v>8</v>
      </c>
      <c r="L1224" t="s">
        <v>8</v>
      </c>
      <c r="M1224" t="s">
        <v>8</v>
      </c>
      <c r="N1224" t="s">
        <v>130</v>
      </c>
      <c r="O1224" t="s">
        <v>112</v>
      </c>
      <c r="P1224" t="s">
        <v>731</v>
      </c>
    </row>
    <row r="1225" spans="1:16" x14ac:dyDescent="0.25">
      <c r="A1225" t="s">
        <v>0</v>
      </c>
      <c r="B1225" s="2">
        <v>44805</v>
      </c>
      <c r="C1225" s="5" t="s">
        <v>82</v>
      </c>
      <c r="D1225" t="s">
        <v>108</v>
      </c>
      <c r="E1225" t="s">
        <v>109</v>
      </c>
      <c r="F1225" t="s">
        <v>4</v>
      </c>
      <c r="G1225" t="s">
        <v>5</v>
      </c>
      <c r="H1225" s="3">
        <v>1252.77</v>
      </c>
      <c r="I1225" t="s">
        <v>1140</v>
      </c>
      <c r="J1225" t="s">
        <v>109</v>
      </c>
      <c r="K1225" t="s">
        <v>8</v>
      </c>
      <c r="L1225" t="s">
        <v>8</v>
      </c>
      <c r="M1225" t="s">
        <v>8</v>
      </c>
      <c r="N1225" t="s">
        <v>130</v>
      </c>
      <c r="O1225" t="s">
        <v>112</v>
      </c>
      <c r="P1225" t="s">
        <v>1126</v>
      </c>
    </row>
    <row r="1226" spans="1:16" x14ac:dyDescent="0.25">
      <c r="A1226" t="s">
        <v>0</v>
      </c>
      <c r="B1226" s="2">
        <v>44805</v>
      </c>
      <c r="C1226" s="5" t="s">
        <v>82</v>
      </c>
      <c r="D1226" t="s">
        <v>753</v>
      </c>
      <c r="E1226" t="s">
        <v>754</v>
      </c>
      <c r="F1226" t="s">
        <v>4</v>
      </c>
      <c r="G1226" t="s">
        <v>5</v>
      </c>
      <c r="H1226" s="3">
        <v>1085.81</v>
      </c>
      <c r="I1226" t="s">
        <v>755</v>
      </c>
      <c r="J1226" t="s">
        <v>8</v>
      </c>
      <c r="K1226" t="s">
        <v>219</v>
      </c>
      <c r="L1226" t="s">
        <v>8</v>
      </c>
      <c r="M1226" t="s">
        <v>220</v>
      </c>
      <c r="N1226" t="s">
        <v>538</v>
      </c>
      <c r="O1226" t="s">
        <v>95</v>
      </c>
      <c r="P1226" t="s">
        <v>756</v>
      </c>
    </row>
    <row r="1227" spans="1:16" x14ac:dyDescent="0.25">
      <c r="A1227" t="s">
        <v>0</v>
      </c>
      <c r="B1227" s="2">
        <v>44805</v>
      </c>
      <c r="C1227" s="5" t="s">
        <v>82</v>
      </c>
      <c r="D1227" t="s">
        <v>2289</v>
      </c>
      <c r="E1227" t="s">
        <v>2290</v>
      </c>
      <c r="F1227" t="s">
        <v>4</v>
      </c>
      <c r="G1227" t="s">
        <v>5</v>
      </c>
      <c r="H1227" s="3">
        <v>-825844.49</v>
      </c>
      <c r="I1227" t="s">
        <v>2291</v>
      </c>
      <c r="J1227" t="s">
        <v>8</v>
      </c>
      <c r="K1227" t="s">
        <v>2292</v>
      </c>
      <c r="L1227" t="s">
        <v>8</v>
      </c>
      <c r="M1227" t="s">
        <v>220</v>
      </c>
      <c r="N1227" t="s">
        <v>2298</v>
      </c>
      <c r="O1227" t="s">
        <v>95</v>
      </c>
      <c r="P1227" t="s">
        <v>2294</v>
      </c>
    </row>
    <row r="1228" spans="1:16" x14ac:dyDescent="0.25">
      <c r="A1228" t="s">
        <v>0</v>
      </c>
      <c r="B1228" s="2">
        <v>44812</v>
      </c>
      <c r="C1228" s="5" t="s">
        <v>87</v>
      </c>
      <c r="D1228" t="s">
        <v>2</v>
      </c>
      <c r="E1228" t="s">
        <v>3</v>
      </c>
      <c r="F1228" t="s">
        <v>4</v>
      </c>
      <c r="G1228" t="s">
        <v>5</v>
      </c>
      <c r="H1228" s="3">
        <v>344</v>
      </c>
      <c r="I1228" t="s">
        <v>1643</v>
      </c>
      <c r="J1228" t="s">
        <v>1605</v>
      </c>
      <c r="K1228" t="s">
        <v>8</v>
      </c>
      <c r="L1228" t="s">
        <v>1644</v>
      </c>
      <c r="M1228" t="s">
        <v>8</v>
      </c>
      <c r="N1228" t="s">
        <v>1645</v>
      </c>
      <c r="O1228" t="s">
        <v>16</v>
      </c>
      <c r="P1228" t="s">
        <v>1</v>
      </c>
    </row>
    <row r="1229" spans="1:16" x14ac:dyDescent="0.25">
      <c r="A1229" t="s">
        <v>0</v>
      </c>
      <c r="B1229" s="2">
        <v>44812</v>
      </c>
      <c r="C1229" s="5" t="s">
        <v>87</v>
      </c>
      <c r="D1229" t="s">
        <v>1798</v>
      </c>
      <c r="E1229" t="s">
        <v>1799</v>
      </c>
      <c r="F1229" t="s">
        <v>4</v>
      </c>
      <c r="G1229" t="s">
        <v>5</v>
      </c>
      <c r="H1229" s="3">
        <v>177.89</v>
      </c>
      <c r="I1229" t="s">
        <v>1800</v>
      </c>
      <c r="J1229" t="s">
        <v>1801</v>
      </c>
      <c r="K1229" t="s">
        <v>8</v>
      </c>
      <c r="L1229" t="s">
        <v>8</v>
      </c>
      <c r="M1229" t="s">
        <v>8</v>
      </c>
      <c r="N1229" t="s">
        <v>1802</v>
      </c>
      <c r="O1229" t="s">
        <v>524</v>
      </c>
      <c r="P1229" t="s">
        <v>72</v>
      </c>
    </row>
    <row r="1230" spans="1:16" x14ac:dyDescent="0.25">
      <c r="A1230" t="s">
        <v>0</v>
      </c>
      <c r="B1230" s="2">
        <v>44812</v>
      </c>
      <c r="C1230" s="5" t="s">
        <v>87</v>
      </c>
      <c r="D1230" t="s">
        <v>892</v>
      </c>
      <c r="E1230" t="s">
        <v>893</v>
      </c>
      <c r="F1230" t="s">
        <v>4</v>
      </c>
      <c r="G1230" t="s">
        <v>5</v>
      </c>
      <c r="H1230" s="3">
        <v>60</v>
      </c>
      <c r="I1230" t="s">
        <v>2026</v>
      </c>
      <c r="J1230" t="s">
        <v>1605</v>
      </c>
      <c r="K1230" t="s">
        <v>8</v>
      </c>
      <c r="L1230" t="s">
        <v>1644</v>
      </c>
      <c r="M1230" t="s">
        <v>8</v>
      </c>
      <c r="N1230" t="s">
        <v>1645</v>
      </c>
      <c r="O1230" t="s">
        <v>16</v>
      </c>
      <c r="P1230" t="s">
        <v>77</v>
      </c>
    </row>
    <row r="1231" spans="1:16" x14ac:dyDescent="0.25">
      <c r="A1231" t="s">
        <v>0</v>
      </c>
      <c r="B1231" s="2">
        <v>44813</v>
      </c>
      <c r="C1231" s="5" t="s">
        <v>87</v>
      </c>
      <c r="D1231" t="s">
        <v>697</v>
      </c>
      <c r="E1231" t="s">
        <v>698</v>
      </c>
      <c r="F1231" t="s">
        <v>4</v>
      </c>
      <c r="G1231" t="s">
        <v>5</v>
      </c>
      <c r="H1231" s="3">
        <v>4780.07</v>
      </c>
      <c r="I1231" t="s">
        <v>721</v>
      </c>
      <c r="J1231" t="s">
        <v>700</v>
      </c>
      <c r="K1231" t="s">
        <v>8</v>
      </c>
      <c r="L1231" t="s">
        <v>722</v>
      </c>
      <c r="M1231" t="s">
        <v>8</v>
      </c>
      <c r="N1231" t="s">
        <v>723</v>
      </c>
      <c r="O1231" t="s">
        <v>16</v>
      </c>
      <c r="P1231" t="s">
        <v>1</v>
      </c>
    </row>
    <row r="1232" spans="1:16" x14ac:dyDescent="0.25">
      <c r="A1232" t="s">
        <v>0</v>
      </c>
      <c r="B1232" s="2">
        <v>44813</v>
      </c>
      <c r="C1232" s="5" t="s">
        <v>87</v>
      </c>
      <c r="D1232" t="s">
        <v>47</v>
      </c>
      <c r="E1232" t="s">
        <v>48</v>
      </c>
      <c r="F1232" t="s">
        <v>4</v>
      </c>
      <c r="G1232" t="s">
        <v>5</v>
      </c>
      <c r="H1232" s="3">
        <v>1784.7</v>
      </c>
      <c r="I1232" t="s">
        <v>1035</v>
      </c>
      <c r="J1232" t="s">
        <v>1011</v>
      </c>
      <c r="K1232" t="s">
        <v>8</v>
      </c>
      <c r="L1232" t="s">
        <v>1036</v>
      </c>
      <c r="M1232" t="s">
        <v>8</v>
      </c>
      <c r="N1232" t="s">
        <v>1037</v>
      </c>
      <c r="O1232" t="s">
        <v>16</v>
      </c>
      <c r="P1232" t="s">
        <v>1</v>
      </c>
    </row>
    <row r="1233" spans="1:16" x14ac:dyDescent="0.25">
      <c r="A1233" t="s">
        <v>0</v>
      </c>
      <c r="B1233" s="2">
        <v>44813</v>
      </c>
      <c r="C1233" s="5" t="s">
        <v>87</v>
      </c>
      <c r="D1233" t="s">
        <v>1244</v>
      </c>
      <c r="E1233" t="s">
        <v>1245</v>
      </c>
      <c r="F1233" t="s">
        <v>4</v>
      </c>
      <c r="G1233" t="s">
        <v>5</v>
      </c>
      <c r="H1233" s="3">
        <v>900</v>
      </c>
      <c r="I1233" t="s">
        <v>1271</v>
      </c>
      <c r="J1233" t="s">
        <v>1257</v>
      </c>
      <c r="K1233" t="s">
        <v>8</v>
      </c>
      <c r="L1233" t="s">
        <v>8</v>
      </c>
      <c r="M1233" t="s">
        <v>8</v>
      </c>
      <c r="N1233" t="s">
        <v>1272</v>
      </c>
      <c r="O1233" t="s">
        <v>16</v>
      </c>
      <c r="P1233" t="s">
        <v>1</v>
      </c>
    </row>
    <row r="1234" spans="1:16" x14ac:dyDescent="0.25">
      <c r="A1234" t="s">
        <v>0</v>
      </c>
      <c r="B1234" s="2">
        <v>44816</v>
      </c>
      <c r="C1234" s="5" t="s">
        <v>87</v>
      </c>
      <c r="D1234" t="s">
        <v>673</v>
      </c>
      <c r="E1234" t="s">
        <v>674</v>
      </c>
      <c r="F1234" t="s">
        <v>4</v>
      </c>
      <c r="G1234" t="s">
        <v>5</v>
      </c>
      <c r="H1234" s="3">
        <v>5346</v>
      </c>
      <c r="I1234" t="s">
        <v>675</v>
      </c>
      <c r="J1234" t="s">
        <v>676</v>
      </c>
      <c r="K1234" t="s">
        <v>8</v>
      </c>
      <c r="L1234" t="s">
        <v>677</v>
      </c>
      <c r="M1234" t="s">
        <v>8</v>
      </c>
      <c r="N1234" t="s">
        <v>678</v>
      </c>
      <c r="O1234" t="s">
        <v>450</v>
      </c>
      <c r="P1234" t="s">
        <v>1</v>
      </c>
    </row>
    <row r="1235" spans="1:16" x14ac:dyDescent="0.25">
      <c r="A1235" t="s">
        <v>0</v>
      </c>
      <c r="B1235" s="2">
        <v>44816</v>
      </c>
      <c r="C1235" s="5" t="s">
        <v>87</v>
      </c>
      <c r="D1235" t="s">
        <v>673</v>
      </c>
      <c r="E1235" t="s">
        <v>674</v>
      </c>
      <c r="F1235" t="s">
        <v>4</v>
      </c>
      <c r="G1235" t="s">
        <v>5</v>
      </c>
      <c r="H1235" s="3">
        <v>2551.3200000000002</v>
      </c>
      <c r="I1235" t="s">
        <v>675</v>
      </c>
      <c r="J1235" t="s">
        <v>676</v>
      </c>
      <c r="K1235" t="s">
        <v>8</v>
      </c>
      <c r="L1235" t="s">
        <v>677</v>
      </c>
      <c r="M1235" t="s">
        <v>8</v>
      </c>
      <c r="N1235" t="s">
        <v>678</v>
      </c>
      <c r="O1235" t="s">
        <v>450</v>
      </c>
      <c r="P1235" t="s">
        <v>17</v>
      </c>
    </row>
    <row r="1236" spans="1:16" x14ac:dyDescent="0.25">
      <c r="A1236" t="s">
        <v>0</v>
      </c>
      <c r="B1236" s="2">
        <v>44816</v>
      </c>
      <c r="C1236" s="5" t="s">
        <v>87</v>
      </c>
      <c r="D1236" t="s">
        <v>384</v>
      </c>
      <c r="E1236" t="s">
        <v>385</v>
      </c>
      <c r="F1236" t="s">
        <v>4</v>
      </c>
      <c r="G1236" t="s">
        <v>5</v>
      </c>
      <c r="H1236" s="3">
        <v>624</v>
      </c>
      <c r="I1236" t="s">
        <v>871</v>
      </c>
      <c r="J1236" t="s">
        <v>1242</v>
      </c>
      <c r="K1236" t="s">
        <v>8</v>
      </c>
      <c r="L1236" t="s">
        <v>8</v>
      </c>
      <c r="M1236" t="s">
        <v>8</v>
      </c>
      <c r="N1236" t="s">
        <v>1410</v>
      </c>
      <c r="O1236" t="s">
        <v>389</v>
      </c>
      <c r="P1236" t="s">
        <v>1</v>
      </c>
    </row>
    <row r="1237" spans="1:16" x14ac:dyDescent="0.25">
      <c r="A1237" t="s">
        <v>0</v>
      </c>
      <c r="B1237" s="2">
        <v>44816</v>
      </c>
      <c r="C1237" s="5" t="s">
        <v>87</v>
      </c>
      <c r="D1237" t="s">
        <v>673</v>
      </c>
      <c r="E1237" t="s">
        <v>674</v>
      </c>
      <c r="F1237" t="s">
        <v>4</v>
      </c>
      <c r="G1237" t="s">
        <v>5</v>
      </c>
      <c r="H1237" s="3">
        <v>339.8</v>
      </c>
      <c r="I1237" t="s">
        <v>675</v>
      </c>
      <c r="J1237" t="s">
        <v>676</v>
      </c>
      <c r="K1237" t="s">
        <v>8</v>
      </c>
      <c r="L1237" t="s">
        <v>677</v>
      </c>
      <c r="M1237" t="s">
        <v>8</v>
      </c>
      <c r="N1237" t="s">
        <v>678</v>
      </c>
      <c r="O1237" t="s">
        <v>450</v>
      </c>
      <c r="P1237" t="s">
        <v>12</v>
      </c>
    </row>
    <row r="1238" spans="1:16" x14ac:dyDescent="0.25">
      <c r="A1238" t="s">
        <v>0</v>
      </c>
      <c r="B1238" s="2">
        <v>44816</v>
      </c>
      <c r="C1238" s="5" t="s">
        <v>87</v>
      </c>
      <c r="D1238" t="s">
        <v>1201</v>
      </c>
      <c r="E1238" t="s">
        <v>1202</v>
      </c>
      <c r="F1238" t="s">
        <v>4</v>
      </c>
      <c r="G1238" t="s">
        <v>5</v>
      </c>
      <c r="H1238" s="3">
        <v>322.5</v>
      </c>
      <c r="I1238" t="s">
        <v>1663</v>
      </c>
      <c r="J1238" t="s">
        <v>1664</v>
      </c>
      <c r="K1238" t="s">
        <v>8</v>
      </c>
      <c r="L1238" t="s">
        <v>8</v>
      </c>
      <c r="M1238" t="s">
        <v>8</v>
      </c>
      <c r="N1238" t="s">
        <v>1665</v>
      </c>
      <c r="O1238" t="s">
        <v>389</v>
      </c>
      <c r="P1238" t="s">
        <v>1</v>
      </c>
    </row>
    <row r="1239" spans="1:16" x14ac:dyDescent="0.25">
      <c r="A1239" t="s">
        <v>0</v>
      </c>
      <c r="B1239" s="2">
        <v>44816</v>
      </c>
      <c r="C1239" s="5" t="s">
        <v>87</v>
      </c>
      <c r="D1239" t="s">
        <v>1597</v>
      </c>
      <c r="E1239" t="s">
        <v>1598</v>
      </c>
      <c r="F1239" t="s">
        <v>4</v>
      </c>
      <c r="G1239" t="s">
        <v>5</v>
      </c>
      <c r="H1239" s="3">
        <v>72</v>
      </c>
      <c r="I1239" t="s">
        <v>1980</v>
      </c>
      <c r="J1239" t="s">
        <v>1664</v>
      </c>
      <c r="K1239" t="s">
        <v>8</v>
      </c>
      <c r="L1239" t="s">
        <v>8</v>
      </c>
      <c r="M1239" t="s">
        <v>8</v>
      </c>
      <c r="N1239" t="s">
        <v>1665</v>
      </c>
      <c r="O1239" t="s">
        <v>389</v>
      </c>
      <c r="P1239" t="s">
        <v>17</v>
      </c>
    </row>
    <row r="1240" spans="1:16" x14ac:dyDescent="0.25">
      <c r="A1240" t="s">
        <v>0</v>
      </c>
      <c r="B1240" s="2">
        <v>44816</v>
      </c>
      <c r="C1240" s="5" t="s">
        <v>87</v>
      </c>
      <c r="D1240" t="s">
        <v>384</v>
      </c>
      <c r="E1240" t="s">
        <v>385</v>
      </c>
      <c r="F1240" t="s">
        <v>4</v>
      </c>
      <c r="G1240" t="s">
        <v>5</v>
      </c>
      <c r="H1240" s="3">
        <v>65</v>
      </c>
      <c r="I1240" t="s">
        <v>1142</v>
      </c>
      <c r="J1240" t="s">
        <v>1242</v>
      </c>
      <c r="K1240" t="s">
        <v>8</v>
      </c>
      <c r="L1240" t="s">
        <v>8</v>
      </c>
      <c r="M1240" t="s">
        <v>8</v>
      </c>
      <c r="N1240" t="s">
        <v>1410</v>
      </c>
      <c r="O1240" t="s">
        <v>389</v>
      </c>
      <c r="P1240" t="s">
        <v>12</v>
      </c>
    </row>
    <row r="1241" spans="1:16" x14ac:dyDescent="0.25">
      <c r="A1241" t="s">
        <v>0</v>
      </c>
      <c r="B1241" s="2">
        <v>44816</v>
      </c>
      <c r="C1241" s="5" t="s">
        <v>87</v>
      </c>
      <c r="D1241" t="s">
        <v>1597</v>
      </c>
      <c r="E1241" t="s">
        <v>1598</v>
      </c>
      <c r="F1241" t="s">
        <v>4</v>
      </c>
      <c r="G1241" t="s">
        <v>5</v>
      </c>
      <c r="H1241" s="3">
        <v>50</v>
      </c>
      <c r="I1241" t="s">
        <v>1980</v>
      </c>
      <c r="J1241" t="s">
        <v>1664</v>
      </c>
      <c r="K1241" t="s">
        <v>8</v>
      </c>
      <c r="L1241" t="s">
        <v>8</v>
      </c>
      <c r="M1241" t="s">
        <v>8</v>
      </c>
      <c r="N1241" t="s">
        <v>1665</v>
      </c>
      <c r="O1241" t="s">
        <v>389</v>
      </c>
      <c r="P1241" t="s">
        <v>12</v>
      </c>
    </row>
    <row r="1242" spans="1:16" x14ac:dyDescent="0.25">
      <c r="A1242" t="s">
        <v>0</v>
      </c>
      <c r="B1242" s="2">
        <v>44817</v>
      </c>
      <c r="C1242" s="5" t="s">
        <v>87</v>
      </c>
      <c r="D1242" t="s">
        <v>2</v>
      </c>
      <c r="E1242" t="s">
        <v>3</v>
      </c>
      <c r="F1242" t="s">
        <v>4</v>
      </c>
      <c r="G1242" t="s">
        <v>5</v>
      </c>
      <c r="H1242" s="3">
        <v>9557.0499999999993</v>
      </c>
      <c r="I1242" t="s">
        <v>469</v>
      </c>
      <c r="J1242" t="s">
        <v>460</v>
      </c>
      <c r="K1242" t="s">
        <v>8</v>
      </c>
      <c r="L1242" t="s">
        <v>477</v>
      </c>
      <c r="M1242" t="s">
        <v>8</v>
      </c>
      <c r="N1242" t="s">
        <v>478</v>
      </c>
      <c r="O1242" t="s">
        <v>34</v>
      </c>
      <c r="P1242" t="s">
        <v>1</v>
      </c>
    </row>
    <row r="1243" spans="1:16" x14ac:dyDescent="0.25">
      <c r="A1243" t="s">
        <v>0</v>
      </c>
      <c r="B1243" s="2">
        <v>44817</v>
      </c>
      <c r="C1243" s="5" t="s">
        <v>87</v>
      </c>
      <c r="D1243" t="s">
        <v>1517</v>
      </c>
      <c r="E1243" t="s">
        <v>1518</v>
      </c>
      <c r="F1243" t="s">
        <v>4</v>
      </c>
      <c r="G1243" t="s">
        <v>5</v>
      </c>
      <c r="H1243" s="3">
        <v>438.9</v>
      </c>
      <c r="I1243" t="s">
        <v>1545</v>
      </c>
      <c r="J1243" t="s">
        <v>1520</v>
      </c>
      <c r="K1243" t="s">
        <v>8</v>
      </c>
      <c r="L1243" t="s">
        <v>1546</v>
      </c>
      <c r="M1243" t="s">
        <v>8</v>
      </c>
      <c r="N1243" t="s">
        <v>1547</v>
      </c>
      <c r="O1243" t="s">
        <v>16</v>
      </c>
      <c r="P1243" t="s">
        <v>1</v>
      </c>
    </row>
    <row r="1244" spans="1:16" x14ac:dyDescent="0.25">
      <c r="A1244" t="s">
        <v>0</v>
      </c>
      <c r="B1244" s="2">
        <v>44817</v>
      </c>
      <c r="C1244" s="5" t="s">
        <v>87</v>
      </c>
      <c r="D1244" t="s">
        <v>410</v>
      </c>
      <c r="E1244" t="s">
        <v>411</v>
      </c>
      <c r="F1244" t="s">
        <v>4</v>
      </c>
      <c r="G1244" t="s">
        <v>5</v>
      </c>
      <c r="H1244" s="3">
        <v>10193.99</v>
      </c>
      <c r="I1244" t="s">
        <v>416</v>
      </c>
      <c r="J1244" t="s">
        <v>413</v>
      </c>
      <c r="K1244" t="s">
        <v>8</v>
      </c>
      <c r="L1244" t="s">
        <v>437</v>
      </c>
      <c r="M1244" t="s">
        <v>8</v>
      </c>
      <c r="N1244" t="s">
        <v>438</v>
      </c>
      <c r="O1244" t="s">
        <v>16</v>
      </c>
      <c r="P1244" t="s">
        <v>1</v>
      </c>
    </row>
    <row r="1245" spans="1:16" x14ac:dyDescent="0.25">
      <c r="A1245" t="s">
        <v>0</v>
      </c>
      <c r="B1245" s="2">
        <v>44818</v>
      </c>
      <c r="C1245" s="5" t="s">
        <v>87</v>
      </c>
      <c r="D1245" t="s">
        <v>539</v>
      </c>
      <c r="E1245" t="s">
        <v>540</v>
      </c>
      <c r="F1245" t="s">
        <v>4</v>
      </c>
      <c r="G1245" t="s">
        <v>5</v>
      </c>
      <c r="H1245" s="3">
        <v>8135.89</v>
      </c>
      <c r="I1245" t="s">
        <v>541</v>
      </c>
      <c r="J1245" t="s">
        <v>542</v>
      </c>
      <c r="K1245" t="s">
        <v>8</v>
      </c>
      <c r="L1245" t="s">
        <v>553</v>
      </c>
      <c r="M1245" t="s">
        <v>8</v>
      </c>
      <c r="N1245" t="s">
        <v>554</v>
      </c>
      <c r="O1245" t="s">
        <v>16</v>
      </c>
      <c r="P1245" t="s">
        <v>12</v>
      </c>
    </row>
    <row r="1246" spans="1:16" x14ac:dyDescent="0.25">
      <c r="A1246" t="s">
        <v>0</v>
      </c>
      <c r="B1246" s="2">
        <v>44818</v>
      </c>
      <c r="C1246" s="5" t="s">
        <v>87</v>
      </c>
      <c r="D1246" t="s">
        <v>384</v>
      </c>
      <c r="E1246" t="s">
        <v>385</v>
      </c>
      <c r="F1246" t="s">
        <v>4</v>
      </c>
      <c r="G1246" t="s">
        <v>5</v>
      </c>
      <c r="H1246" s="3">
        <v>474.44</v>
      </c>
      <c r="I1246" t="s">
        <v>1495</v>
      </c>
      <c r="J1246" t="s">
        <v>912</v>
      </c>
      <c r="K1246" t="s">
        <v>8</v>
      </c>
      <c r="L1246" t="s">
        <v>8</v>
      </c>
      <c r="M1246" t="s">
        <v>8</v>
      </c>
      <c r="N1246" t="s">
        <v>1496</v>
      </c>
      <c r="O1246" t="s">
        <v>389</v>
      </c>
      <c r="P1246" t="s">
        <v>1</v>
      </c>
    </row>
    <row r="1247" spans="1:16" x14ac:dyDescent="0.25">
      <c r="A1247" t="s">
        <v>0</v>
      </c>
      <c r="B1247" s="2">
        <v>44818</v>
      </c>
      <c r="C1247" s="5" t="s">
        <v>87</v>
      </c>
      <c r="D1247" t="s">
        <v>384</v>
      </c>
      <c r="E1247" t="s">
        <v>385</v>
      </c>
      <c r="F1247" t="s">
        <v>4</v>
      </c>
      <c r="G1247" t="s">
        <v>5</v>
      </c>
      <c r="H1247" s="3">
        <v>389.47</v>
      </c>
      <c r="I1247" t="s">
        <v>1617</v>
      </c>
      <c r="J1247" t="s">
        <v>912</v>
      </c>
      <c r="K1247" t="s">
        <v>8</v>
      </c>
      <c r="L1247" t="s">
        <v>8</v>
      </c>
      <c r="M1247" t="s">
        <v>8</v>
      </c>
      <c r="N1247" t="s">
        <v>1496</v>
      </c>
      <c r="O1247" t="s">
        <v>389</v>
      </c>
      <c r="P1247" t="s">
        <v>12</v>
      </c>
    </row>
    <row r="1248" spans="1:16" x14ac:dyDescent="0.25">
      <c r="A1248" t="s">
        <v>0</v>
      </c>
      <c r="B1248" s="2">
        <v>44818</v>
      </c>
      <c r="C1248" s="5" t="s">
        <v>87</v>
      </c>
      <c r="D1248" t="s">
        <v>384</v>
      </c>
      <c r="E1248" t="s">
        <v>385</v>
      </c>
      <c r="F1248" t="s">
        <v>4</v>
      </c>
      <c r="G1248" t="s">
        <v>5</v>
      </c>
      <c r="H1248" s="3">
        <v>259.60000000000002</v>
      </c>
      <c r="I1248" t="s">
        <v>1726</v>
      </c>
      <c r="J1248" t="s">
        <v>912</v>
      </c>
      <c r="K1248" t="s">
        <v>8</v>
      </c>
      <c r="L1248" t="s">
        <v>8</v>
      </c>
      <c r="M1248" t="s">
        <v>8</v>
      </c>
      <c r="N1248" t="s">
        <v>1496</v>
      </c>
      <c r="O1248" t="s">
        <v>389</v>
      </c>
      <c r="P1248" t="s">
        <v>17</v>
      </c>
    </row>
    <row r="1249" spans="1:16" x14ac:dyDescent="0.25">
      <c r="A1249" t="s">
        <v>0</v>
      </c>
      <c r="B1249" s="2">
        <v>44818</v>
      </c>
      <c r="C1249" s="5" t="s">
        <v>87</v>
      </c>
      <c r="D1249" t="s">
        <v>384</v>
      </c>
      <c r="E1249" t="s">
        <v>385</v>
      </c>
      <c r="F1249" t="s">
        <v>4</v>
      </c>
      <c r="G1249" t="s">
        <v>5</v>
      </c>
      <c r="H1249" s="3">
        <v>194.7</v>
      </c>
      <c r="I1249" t="s">
        <v>1782</v>
      </c>
      <c r="J1249" t="s">
        <v>912</v>
      </c>
      <c r="K1249" t="s">
        <v>8</v>
      </c>
      <c r="L1249" t="s">
        <v>8</v>
      </c>
      <c r="M1249" t="s">
        <v>8</v>
      </c>
      <c r="N1249" t="s">
        <v>1496</v>
      </c>
      <c r="O1249" t="s">
        <v>389</v>
      </c>
      <c r="P1249" t="s">
        <v>77</v>
      </c>
    </row>
    <row r="1250" spans="1:16" x14ac:dyDescent="0.25">
      <c r="A1250" t="s">
        <v>0</v>
      </c>
      <c r="B1250" s="2">
        <v>44818</v>
      </c>
      <c r="C1250" s="5" t="s">
        <v>87</v>
      </c>
      <c r="D1250" t="s">
        <v>384</v>
      </c>
      <c r="E1250" t="s">
        <v>385</v>
      </c>
      <c r="F1250" t="s">
        <v>4</v>
      </c>
      <c r="G1250" t="s">
        <v>5</v>
      </c>
      <c r="H1250" s="3">
        <v>173.03</v>
      </c>
      <c r="I1250" t="s">
        <v>1811</v>
      </c>
      <c r="J1250" t="s">
        <v>912</v>
      </c>
      <c r="K1250" t="s">
        <v>8</v>
      </c>
      <c r="L1250" t="s">
        <v>8</v>
      </c>
      <c r="M1250" t="s">
        <v>8</v>
      </c>
      <c r="N1250" t="s">
        <v>1496</v>
      </c>
      <c r="O1250" t="s">
        <v>389</v>
      </c>
      <c r="P1250" t="s">
        <v>22</v>
      </c>
    </row>
    <row r="1251" spans="1:16" x14ac:dyDescent="0.25">
      <c r="A1251" t="s">
        <v>0</v>
      </c>
      <c r="B1251" s="2">
        <v>44818</v>
      </c>
      <c r="C1251" s="5" t="s">
        <v>87</v>
      </c>
      <c r="D1251" t="s">
        <v>384</v>
      </c>
      <c r="E1251" t="s">
        <v>385</v>
      </c>
      <c r="F1251" t="s">
        <v>4</v>
      </c>
      <c r="G1251" t="s">
        <v>5</v>
      </c>
      <c r="H1251" s="3">
        <v>155</v>
      </c>
      <c r="I1251" t="s">
        <v>1811</v>
      </c>
      <c r="J1251" t="s">
        <v>912</v>
      </c>
      <c r="K1251" t="s">
        <v>8</v>
      </c>
      <c r="L1251" t="s">
        <v>8</v>
      </c>
      <c r="M1251" t="s">
        <v>8</v>
      </c>
      <c r="N1251" t="s">
        <v>1496</v>
      </c>
      <c r="O1251" t="s">
        <v>389</v>
      </c>
      <c r="P1251" t="s">
        <v>72</v>
      </c>
    </row>
    <row r="1252" spans="1:16" x14ac:dyDescent="0.25">
      <c r="A1252" t="s">
        <v>0</v>
      </c>
      <c r="B1252" s="2">
        <v>44818</v>
      </c>
      <c r="C1252" s="5" t="s">
        <v>87</v>
      </c>
      <c r="D1252" t="s">
        <v>384</v>
      </c>
      <c r="E1252" t="s">
        <v>385</v>
      </c>
      <c r="F1252" t="s">
        <v>4</v>
      </c>
      <c r="G1252" t="s">
        <v>5</v>
      </c>
      <c r="H1252" s="3">
        <v>80</v>
      </c>
      <c r="I1252" t="s">
        <v>1968</v>
      </c>
      <c r="J1252" t="s">
        <v>912</v>
      </c>
      <c r="K1252" t="s">
        <v>8</v>
      </c>
      <c r="L1252" t="s">
        <v>8</v>
      </c>
      <c r="M1252" t="s">
        <v>8</v>
      </c>
      <c r="N1252" t="s">
        <v>1496</v>
      </c>
      <c r="O1252" t="s">
        <v>389</v>
      </c>
      <c r="P1252" t="s">
        <v>43</v>
      </c>
    </row>
    <row r="1253" spans="1:16" x14ac:dyDescent="0.25">
      <c r="A1253" t="s">
        <v>0</v>
      </c>
      <c r="B1253" s="2">
        <v>44818</v>
      </c>
      <c r="C1253" s="5" t="s">
        <v>87</v>
      </c>
      <c r="D1253" t="s">
        <v>384</v>
      </c>
      <c r="E1253" t="s">
        <v>385</v>
      </c>
      <c r="F1253" t="s">
        <v>4</v>
      </c>
      <c r="G1253" t="s">
        <v>5</v>
      </c>
      <c r="H1253" s="3">
        <v>34.4</v>
      </c>
      <c r="I1253" t="s">
        <v>1757</v>
      </c>
      <c r="J1253" t="s">
        <v>912</v>
      </c>
      <c r="K1253" t="s">
        <v>8</v>
      </c>
      <c r="L1253" t="s">
        <v>8</v>
      </c>
      <c r="M1253" t="s">
        <v>8</v>
      </c>
      <c r="N1253" t="s">
        <v>1496</v>
      </c>
      <c r="O1253" t="s">
        <v>389</v>
      </c>
      <c r="P1253" t="s">
        <v>82</v>
      </c>
    </row>
    <row r="1254" spans="1:16" x14ac:dyDescent="0.25">
      <c r="A1254" t="s">
        <v>0</v>
      </c>
      <c r="B1254" s="2">
        <v>44819</v>
      </c>
      <c r="C1254" s="5" t="s">
        <v>87</v>
      </c>
      <c r="D1254" t="s">
        <v>1201</v>
      </c>
      <c r="E1254" t="s">
        <v>1202</v>
      </c>
      <c r="F1254" t="s">
        <v>4</v>
      </c>
      <c r="G1254" t="s">
        <v>5</v>
      </c>
      <c r="H1254" s="3">
        <v>516</v>
      </c>
      <c r="I1254" t="s">
        <v>1468</v>
      </c>
      <c r="J1254" t="s">
        <v>1204</v>
      </c>
      <c r="K1254" t="s">
        <v>8</v>
      </c>
      <c r="L1254" t="s">
        <v>8</v>
      </c>
      <c r="M1254" t="s">
        <v>8</v>
      </c>
      <c r="N1254" t="s">
        <v>1469</v>
      </c>
      <c r="O1254" t="s">
        <v>389</v>
      </c>
      <c r="P1254" t="s">
        <v>1</v>
      </c>
    </row>
    <row r="1255" spans="1:16" x14ac:dyDescent="0.25">
      <c r="A1255" t="s">
        <v>0</v>
      </c>
      <c r="B1255" s="2">
        <v>44819</v>
      </c>
      <c r="C1255" s="5" t="s">
        <v>87</v>
      </c>
      <c r="D1255" t="s">
        <v>384</v>
      </c>
      <c r="E1255" t="s">
        <v>385</v>
      </c>
      <c r="F1255" t="s">
        <v>4</v>
      </c>
      <c r="G1255" t="s">
        <v>5</v>
      </c>
      <c r="H1255" s="3">
        <v>290.75</v>
      </c>
      <c r="I1255" t="s">
        <v>871</v>
      </c>
      <c r="J1255" t="s">
        <v>1104</v>
      </c>
      <c r="K1255" t="s">
        <v>8</v>
      </c>
      <c r="L1255" t="s">
        <v>8</v>
      </c>
      <c r="M1255" t="s">
        <v>8</v>
      </c>
      <c r="N1255" t="s">
        <v>1705</v>
      </c>
      <c r="O1255" t="s">
        <v>389</v>
      </c>
      <c r="P1255" t="s">
        <v>1</v>
      </c>
    </row>
    <row r="1256" spans="1:16" x14ac:dyDescent="0.25">
      <c r="A1256" t="s">
        <v>0</v>
      </c>
      <c r="B1256" s="2">
        <v>44819</v>
      </c>
      <c r="C1256" s="5" t="s">
        <v>87</v>
      </c>
      <c r="D1256" t="s">
        <v>1201</v>
      </c>
      <c r="E1256" t="s">
        <v>1202</v>
      </c>
      <c r="F1256" t="s">
        <v>4</v>
      </c>
      <c r="G1256" t="s">
        <v>5</v>
      </c>
      <c r="H1256" s="3">
        <v>283.8</v>
      </c>
      <c r="I1256" t="s">
        <v>1720</v>
      </c>
      <c r="J1256" t="s">
        <v>1104</v>
      </c>
      <c r="K1256" t="s">
        <v>8</v>
      </c>
      <c r="L1256" t="s">
        <v>8</v>
      </c>
      <c r="M1256" t="s">
        <v>8</v>
      </c>
      <c r="N1256" t="s">
        <v>1705</v>
      </c>
      <c r="O1256" t="s">
        <v>389</v>
      </c>
      <c r="P1256" t="s">
        <v>43</v>
      </c>
    </row>
    <row r="1257" spans="1:16" x14ac:dyDescent="0.25">
      <c r="A1257" t="s">
        <v>0</v>
      </c>
      <c r="B1257" s="2">
        <v>44819</v>
      </c>
      <c r="C1257" s="5" t="s">
        <v>87</v>
      </c>
      <c r="D1257" t="s">
        <v>1201</v>
      </c>
      <c r="E1257" t="s">
        <v>1202</v>
      </c>
      <c r="F1257" t="s">
        <v>4</v>
      </c>
      <c r="G1257" t="s">
        <v>5</v>
      </c>
      <c r="H1257" s="3">
        <v>215</v>
      </c>
      <c r="I1257" t="s">
        <v>1765</v>
      </c>
      <c r="J1257" t="s">
        <v>680</v>
      </c>
      <c r="K1257" t="s">
        <v>8</v>
      </c>
      <c r="L1257" t="s">
        <v>8</v>
      </c>
      <c r="M1257" t="s">
        <v>8</v>
      </c>
      <c r="N1257" t="s">
        <v>1766</v>
      </c>
      <c r="O1257" t="s">
        <v>389</v>
      </c>
      <c r="P1257" t="s">
        <v>1</v>
      </c>
    </row>
    <row r="1258" spans="1:16" x14ac:dyDescent="0.25">
      <c r="A1258" t="s">
        <v>0</v>
      </c>
      <c r="B1258" s="2">
        <v>44819</v>
      </c>
      <c r="C1258" s="5" t="s">
        <v>87</v>
      </c>
      <c r="D1258" t="s">
        <v>384</v>
      </c>
      <c r="E1258" t="s">
        <v>385</v>
      </c>
      <c r="F1258" t="s">
        <v>4</v>
      </c>
      <c r="G1258" t="s">
        <v>5</v>
      </c>
      <c r="H1258" s="3">
        <v>139</v>
      </c>
      <c r="I1258" t="s">
        <v>1868</v>
      </c>
      <c r="J1258" t="s">
        <v>1104</v>
      </c>
      <c r="K1258" t="s">
        <v>8</v>
      </c>
      <c r="L1258" t="s">
        <v>8</v>
      </c>
      <c r="M1258" t="s">
        <v>8</v>
      </c>
      <c r="N1258" t="s">
        <v>1705</v>
      </c>
      <c r="O1258" t="s">
        <v>389</v>
      </c>
      <c r="P1258" t="s">
        <v>12</v>
      </c>
    </row>
    <row r="1259" spans="1:16" x14ac:dyDescent="0.25">
      <c r="A1259" t="s">
        <v>0</v>
      </c>
      <c r="B1259" s="2">
        <v>44819</v>
      </c>
      <c r="C1259" s="5" t="s">
        <v>87</v>
      </c>
      <c r="D1259" t="s">
        <v>384</v>
      </c>
      <c r="E1259" t="s">
        <v>385</v>
      </c>
      <c r="F1259" t="s">
        <v>4</v>
      </c>
      <c r="G1259" t="s">
        <v>5</v>
      </c>
      <c r="H1259" s="3">
        <v>34.4</v>
      </c>
      <c r="I1259" t="s">
        <v>1722</v>
      </c>
      <c r="J1259" t="s">
        <v>1104</v>
      </c>
      <c r="K1259" t="s">
        <v>8</v>
      </c>
      <c r="L1259" t="s">
        <v>8</v>
      </c>
      <c r="M1259" t="s">
        <v>8</v>
      </c>
      <c r="N1259" t="s">
        <v>1705</v>
      </c>
      <c r="O1259" t="s">
        <v>389</v>
      </c>
      <c r="P1259" t="s">
        <v>17</v>
      </c>
    </row>
    <row r="1260" spans="1:16" x14ac:dyDescent="0.25">
      <c r="A1260" t="s">
        <v>0</v>
      </c>
      <c r="B1260" s="2">
        <v>44820</v>
      </c>
      <c r="C1260" s="5" t="s">
        <v>87</v>
      </c>
      <c r="D1260" t="s">
        <v>390</v>
      </c>
      <c r="E1260" t="s">
        <v>391</v>
      </c>
      <c r="F1260" t="s">
        <v>4</v>
      </c>
      <c r="G1260" t="s">
        <v>5</v>
      </c>
      <c r="H1260" s="3">
        <v>1550</v>
      </c>
      <c r="I1260" t="s">
        <v>1082</v>
      </c>
      <c r="J1260" t="s">
        <v>1076</v>
      </c>
      <c r="K1260" t="s">
        <v>8</v>
      </c>
      <c r="L1260" t="s">
        <v>1085</v>
      </c>
      <c r="M1260" t="s">
        <v>8</v>
      </c>
      <c r="N1260" t="s">
        <v>1086</v>
      </c>
      <c r="O1260" t="s">
        <v>16</v>
      </c>
      <c r="P1260" t="s">
        <v>12</v>
      </c>
    </row>
    <row r="1261" spans="1:16" x14ac:dyDescent="0.25">
      <c r="A1261" t="s">
        <v>0</v>
      </c>
      <c r="B1261" s="2">
        <v>44820</v>
      </c>
      <c r="C1261" s="5" t="s">
        <v>87</v>
      </c>
      <c r="D1261" t="s">
        <v>1201</v>
      </c>
      <c r="E1261" t="s">
        <v>1202</v>
      </c>
      <c r="F1261" t="s">
        <v>4</v>
      </c>
      <c r="G1261" t="s">
        <v>5</v>
      </c>
      <c r="H1261" s="3">
        <v>240.8</v>
      </c>
      <c r="I1261" t="s">
        <v>1743</v>
      </c>
      <c r="J1261" t="s">
        <v>1490</v>
      </c>
      <c r="K1261" t="s">
        <v>8</v>
      </c>
      <c r="L1261" t="s">
        <v>8</v>
      </c>
      <c r="M1261" t="s">
        <v>8</v>
      </c>
      <c r="N1261" t="s">
        <v>1744</v>
      </c>
      <c r="O1261" t="s">
        <v>389</v>
      </c>
      <c r="P1261" t="s">
        <v>1</v>
      </c>
    </row>
    <row r="1262" spans="1:16" x14ac:dyDescent="0.25">
      <c r="A1262" t="s">
        <v>0</v>
      </c>
      <c r="B1262" s="2">
        <v>44820</v>
      </c>
      <c r="C1262" s="5" t="s">
        <v>87</v>
      </c>
      <c r="D1262" t="s">
        <v>1373</v>
      </c>
      <c r="E1262" t="s">
        <v>1374</v>
      </c>
      <c r="F1262" t="s">
        <v>4</v>
      </c>
      <c r="G1262" t="s">
        <v>5</v>
      </c>
      <c r="H1262" s="3">
        <v>59.98</v>
      </c>
      <c r="I1262" t="s">
        <v>2027</v>
      </c>
      <c r="J1262" t="s">
        <v>1741</v>
      </c>
      <c r="K1262" t="s">
        <v>8</v>
      </c>
      <c r="L1262" t="s">
        <v>8</v>
      </c>
      <c r="M1262" t="s">
        <v>8</v>
      </c>
      <c r="N1262" t="s">
        <v>2028</v>
      </c>
      <c r="O1262" t="s">
        <v>389</v>
      </c>
      <c r="P1262" t="s">
        <v>1</v>
      </c>
    </row>
    <row r="1263" spans="1:16" x14ac:dyDescent="0.25">
      <c r="A1263" t="s">
        <v>0</v>
      </c>
      <c r="B1263" s="2">
        <v>44823</v>
      </c>
      <c r="C1263" s="5" t="s">
        <v>87</v>
      </c>
      <c r="D1263" t="s">
        <v>969</v>
      </c>
      <c r="E1263" t="s">
        <v>970</v>
      </c>
      <c r="F1263" t="s">
        <v>4</v>
      </c>
      <c r="G1263" t="s">
        <v>5</v>
      </c>
      <c r="H1263" s="3">
        <v>1882.92</v>
      </c>
      <c r="I1263" t="s">
        <v>988</v>
      </c>
      <c r="J1263" t="s">
        <v>972</v>
      </c>
      <c r="K1263" t="s">
        <v>8</v>
      </c>
      <c r="L1263" t="s">
        <v>8</v>
      </c>
      <c r="M1263" t="s">
        <v>8</v>
      </c>
      <c r="N1263" t="s">
        <v>994</v>
      </c>
      <c r="O1263" t="s">
        <v>995</v>
      </c>
      <c r="P1263" t="s">
        <v>342</v>
      </c>
    </row>
    <row r="1264" spans="1:16" x14ac:dyDescent="0.25">
      <c r="A1264" t="s">
        <v>0</v>
      </c>
      <c r="B1264" s="2">
        <v>44823</v>
      </c>
      <c r="C1264" s="5" t="s">
        <v>87</v>
      </c>
      <c r="D1264" t="s">
        <v>373</v>
      </c>
      <c r="E1264" t="s">
        <v>374</v>
      </c>
      <c r="F1264" t="s">
        <v>4</v>
      </c>
      <c r="G1264" t="s">
        <v>5</v>
      </c>
      <c r="H1264" s="3">
        <v>833.94</v>
      </c>
      <c r="I1264" t="s">
        <v>5</v>
      </c>
      <c r="J1264" t="s">
        <v>1302</v>
      </c>
      <c r="K1264" t="s">
        <v>8</v>
      </c>
      <c r="L1264" t="s">
        <v>8</v>
      </c>
      <c r="M1264" t="s">
        <v>8</v>
      </c>
      <c r="N1264" t="s">
        <v>1311</v>
      </c>
      <c r="O1264" t="s">
        <v>995</v>
      </c>
      <c r="P1264" t="s">
        <v>1304</v>
      </c>
    </row>
    <row r="1265" spans="1:16" x14ac:dyDescent="0.25">
      <c r="A1265" t="s">
        <v>0</v>
      </c>
      <c r="B1265" s="2">
        <v>44823</v>
      </c>
      <c r="C1265" s="5" t="s">
        <v>87</v>
      </c>
      <c r="D1265" t="s">
        <v>969</v>
      </c>
      <c r="E1265" t="s">
        <v>970</v>
      </c>
      <c r="F1265" t="s">
        <v>4</v>
      </c>
      <c r="G1265" t="s">
        <v>5</v>
      </c>
      <c r="H1265" s="3">
        <v>420.36</v>
      </c>
      <c r="I1265" t="s">
        <v>1581</v>
      </c>
      <c r="J1265" t="s">
        <v>1483</v>
      </c>
      <c r="K1265" t="s">
        <v>8</v>
      </c>
      <c r="L1265" t="s">
        <v>8</v>
      </c>
      <c r="M1265" t="s">
        <v>8</v>
      </c>
      <c r="N1265" t="s">
        <v>1585</v>
      </c>
      <c r="O1265" t="s">
        <v>995</v>
      </c>
      <c r="P1265" t="s">
        <v>1</v>
      </c>
    </row>
    <row r="1266" spans="1:16" x14ac:dyDescent="0.25">
      <c r="A1266" t="s">
        <v>0</v>
      </c>
      <c r="B1266" s="2">
        <v>44824</v>
      </c>
      <c r="C1266" s="5" t="s">
        <v>87</v>
      </c>
      <c r="D1266" t="s">
        <v>591</v>
      </c>
      <c r="E1266" t="s">
        <v>592</v>
      </c>
      <c r="F1266" t="s">
        <v>4</v>
      </c>
      <c r="G1266" t="s">
        <v>5</v>
      </c>
      <c r="H1266" s="3">
        <v>157.5</v>
      </c>
      <c r="I1266" t="s">
        <v>1834</v>
      </c>
      <c r="J1266" t="s">
        <v>750</v>
      </c>
      <c r="K1266" t="s">
        <v>8</v>
      </c>
      <c r="L1266" t="s">
        <v>1835</v>
      </c>
      <c r="M1266" t="s">
        <v>8</v>
      </c>
      <c r="N1266" t="s">
        <v>1836</v>
      </c>
      <c r="O1266" t="s">
        <v>34</v>
      </c>
      <c r="P1266" t="s">
        <v>733</v>
      </c>
    </row>
    <row r="1267" spans="1:16" x14ac:dyDescent="0.25">
      <c r="A1267" t="s">
        <v>0</v>
      </c>
      <c r="B1267" s="2">
        <v>44824</v>
      </c>
      <c r="C1267" s="5" t="s">
        <v>87</v>
      </c>
      <c r="D1267" t="s">
        <v>1340</v>
      </c>
      <c r="E1267" t="s">
        <v>1341</v>
      </c>
      <c r="F1267" t="s">
        <v>4</v>
      </c>
      <c r="G1267" t="s">
        <v>5</v>
      </c>
      <c r="H1267" s="3">
        <v>140.30000000000001</v>
      </c>
      <c r="I1267" t="s">
        <v>1342</v>
      </c>
      <c r="J1267" t="s">
        <v>1343</v>
      </c>
      <c r="K1267" t="s">
        <v>8</v>
      </c>
      <c r="L1267" t="s">
        <v>1865</v>
      </c>
      <c r="M1267" t="s">
        <v>8</v>
      </c>
      <c r="N1267" t="s">
        <v>1866</v>
      </c>
      <c r="O1267" t="s">
        <v>16</v>
      </c>
      <c r="P1267" t="s">
        <v>289</v>
      </c>
    </row>
    <row r="1268" spans="1:16" x14ac:dyDescent="0.25">
      <c r="A1268" t="s">
        <v>0</v>
      </c>
      <c r="B1268" s="2">
        <v>44824</v>
      </c>
      <c r="C1268" s="5" t="s">
        <v>87</v>
      </c>
      <c r="D1268" t="s">
        <v>609</v>
      </c>
      <c r="E1268" t="s">
        <v>610</v>
      </c>
      <c r="F1268" t="s">
        <v>4</v>
      </c>
      <c r="G1268" t="s">
        <v>5</v>
      </c>
      <c r="H1268" s="3">
        <v>-6500</v>
      </c>
      <c r="I1268" t="s">
        <v>2262</v>
      </c>
      <c r="J1268" t="s">
        <v>322</v>
      </c>
      <c r="K1268" t="s">
        <v>8</v>
      </c>
      <c r="L1268" t="s">
        <v>8</v>
      </c>
      <c r="M1268" t="s">
        <v>8</v>
      </c>
      <c r="N1268" t="s">
        <v>2263</v>
      </c>
      <c r="O1268" t="s">
        <v>641</v>
      </c>
      <c r="P1268" t="s">
        <v>825</v>
      </c>
    </row>
    <row r="1269" spans="1:16" x14ac:dyDescent="0.25">
      <c r="A1269" t="s">
        <v>0</v>
      </c>
      <c r="B1269" s="2">
        <v>44825</v>
      </c>
      <c r="C1269" s="5" t="s">
        <v>87</v>
      </c>
      <c r="D1269" t="s">
        <v>2</v>
      </c>
      <c r="E1269" t="s">
        <v>3</v>
      </c>
      <c r="F1269" t="s">
        <v>4</v>
      </c>
      <c r="G1269" t="s">
        <v>5</v>
      </c>
      <c r="H1269" s="3">
        <v>9380.1299999999992</v>
      </c>
      <c r="I1269" t="s">
        <v>502</v>
      </c>
      <c r="J1269" t="s">
        <v>487</v>
      </c>
      <c r="K1269" t="s">
        <v>8</v>
      </c>
      <c r="L1269" t="s">
        <v>503</v>
      </c>
      <c r="M1269" t="s">
        <v>8</v>
      </c>
      <c r="N1269" t="s">
        <v>504</v>
      </c>
      <c r="O1269" t="s">
        <v>16</v>
      </c>
      <c r="P1269" t="s">
        <v>1</v>
      </c>
    </row>
    <row r="1270" spans="1:16" x14ac:dyDescent="0.25">
      <c r="A1270" t="s">
        <v>0</v>
      </c>
      <c r="B1270" s="2">
        <v>44825</v>
      </c>
      <c r="C1270" s="5" t="s">
        <v>87</v>
      </c>
      <c r="D1270" t="s">
        <v>539</v>
      </c>
      <c r="E1270" t="s">
        <v>540</v>
      </c>
      <c r="F1270" t="s">
        <v>4</v>
      </c>
      <c r="G1270" t="s">
        <v>5</v>
      </c>
      <c r="H1270" s="3">
        <v>3483.6</v>
      </c>
      <c r="I1270" t="s">
        <v>781</v>
      </c>
      <c r="J1270" t="s">
        <v>542</v>
      </c>
      <c r="K1270" t="s">
        <v>8</v>
      </c>
      <c r="L1270" t="s">
        <v>790</v>
      </c>
      <c r="M1270" t="s">
        <v>8</v>
      </c>
      <c r="N1270" t="s">
        <v>791</v>
      </c>
      <c r="O1270" t="s">
        <v>16</v>
      </c>
      <c r="P1270" t="s">
        <v>12</v>
      </c>
    </row>
    <row r="1271" spans="1:16" x14ac:dyDescent="0.25">
      <c r="A1271" t="s">
        <v>0</v>
      </c>
      <c r="B1271" s="2">
        <v>44825</v>
      </c>
      <c r="C1271" s="5" t="s">
        <v>87</v>
      </c>
      <c r="D1271" t="s">
        <v>1340</v>
      </c>
      <c r="E1271" t="s">
        <v>1341</v>
      </c>
      <c r="F1271" t="s">
        <v>4</v>
      </c>
      <c r="G1271" t="s">
        <v>5</v>
      </c>
      <c r="H1271" s="3">
        <v>797.74</v>
      </c>
      <c r="I1271" t="s">
        <v>1342</v>
      </c>
      <c r="J1271" t="s">
        <v>1343</v>
      </c>
      <c r="K1271" t="s">
        <v>8</v>
      </c>
      <c r="L1271" t="s">
        <v>1344</v>
      </c>
      <c r="M1271" t="s">
        <v>8</v>
      </c>
      <c r="N1271" t="s">
        <v>1345</v>
      </c>
      <c r="O1271" t="s">
        <v>16</v>
      </c>
      <c r="P1271" t="s">
        <v>246</v>
      </c>
    </row>
    <row r="1272" spans="1:16" x14ac:dyDescent="0.25">
      <c r="A1272" t="s">
        <v>0</v>
      </c>
      <c r="B1272" s="2">
        <v>44825</v>
      </c>
      <c r="C1272" s="5" t="s">
        <v>87</v>
      </c>
      <c r="D1272" t="s">
        <v>539</v>
      </c>
      <c r="E1272" t="s">
        <v>540</v>
      </c>
      <c r="F1272" t="s">
        <v>4</v>
      </c>
      <c r="G1272" t="s">
        <v>5</v>
      </c>
      <c r="H1272" s="3">
        <v>8.2100000000000009</v>
      </c>
      <c r="I1272" t="s">
        <v>2147</v>
      </c>
      <c r="J1272" t="s">
        <v>542</v>
      </c>
      <c r="K1272" t="s">
        <v>8</v>
      </c>
      <c r="L1272" t="s">
        <v>790</v>
      </c>
      <c r="M1272" t="s">
        <v>8</v>
      </c>
      <c r="N1272" t="s">
        <v>2148</v>
      </c>
      <c r="O1272" t="s">
        <v>16</v>
      </c>
      <c r="P1272" t="s">
        <v>1</v>
      </c>
    </row>
    <row r="1273" spans="1:16" x14ac:dyDescent="0.25">
      <c r="A1273" t="s">
        <v>0</v>
      </c>
      <c r="B1273" s="2">
        <v>44826</v>
      </c>
      <c r="C1273" s="5" t="s">
        <v>87</v>
      </c>
      <c r="D1273" t="s">
        <v>922</v>
      </c>
      <c r="E1273" t="s">
        <v>923</v>
      </c>
      <c r="F1273" t="s">
        <v>4</v>
      </c>
      <c r="G1273" t="s">
        <v>5</v>
      </c>
      <c r="H1273" s="3">
        <v>287.10000000000002</v>
      </c>
      <c r="I1273" t="s">
        <v>1710</v>
      </c>
      <c r="J1273" t="s">
        <v>1711</v>
      </c>
      <c r="K1273" t="s">
        <v>8</v>
      </c>
      <c r="L1273" t="s">
        <v>1712</v>
      </c>
      <c r="M1273" t="s">
        <v>8</v>
      </c>
      <c r="N1273" t="s">
        <v>1713</v>
      </c>
      <c r="O1273" t="s">
        <v>446</v>
      </c>
      <c r="P1273" t="s">
        <v>1</v>
      </c>
    </row>
    <row r="1274" spans="1:16" x14ac:dyDescent="0.25">
      <c r="A1274" t="s">
        <v>0</v>
      </c>
      <c r="B1274" s="2">
        <v>44826</v>
      </c>
      <c r="C1274" s="5" t="s">
        <v>87</v>
      </c>
      <c r="D1274" t="s">
        <v>885</v>
      </c>
      <c r="E1274" t="s">
        <v>886</v>
      </c>
      <c r="F1274" t="s">
        <v>4</v>
      </c>
      <c r="G1274" t="s">
        <v>5</v>
      </c>
      <c r="H1274" s="3">
        <v>119.43</v>
      </c>
      <c r="I1274" t="s">
        <v>1902</v>
      </c>
      <c r="J1274" t="s">
        <v>943</v>
      </c>
      <c r="K1274" t="s">
        <v>8</v>
      </c>
      <c r="L1274" t="s">
        <v>8</v>
      </c>
      <c r="M1274" t="s">
        <v>8</v>
      </c>
      <c r="N1274" t="s">
        <v>1903</v>
      </c>
      <c r="O1274" t="s">
        <v>945</v>
      </c>
      <c r="P1274" t="s">
        <v>12</v>
      </c>
    </row>
    <row r="1275" spans="1:16" x14ac:dyDescent="0.25">
      <c r="A1275" t="s">
        <v>0</v>
      </c>
      <c r="B1275" s="2">
        <v>44826</v>
      </c>
      <c r="C1275" s="5" t="s">
        <v>87</v>
      </c>
      <c r="D1275" t="s">
        <v>47</v>
      </c>
      <c r="E1275" t="s">
        <v>48</v>
      </c>
      <c r="F1275" t="s">
        <v>4</v>
      </c>
      <c r="G1275" t="s">
        <v>5</v>
      </c>
      <c r="H1275" s="3">
        <v>33.1</v>
      </c>
      <c r="I1275" t="s">
        <v>2083</v>
      </c>
      <c r="J1275" t="s">
        <v>943</v>
      </c>
      <c r="K1275" t="s">
        <v>8</v>
      </c>
      <c r="L1275" t="s">
        <v>8</v>
      </c>
      <c r="M1275" t="s">
        <v>8</v>
      </c>
      <c r="N1275" t="s">
        <v>1903</v>
      </c>
      <c r="O1275" t="s">
        <v>945</v>
      </c>
      <c r="P1275" t="s">
        <v>1</v>
      </c>
    </row>
    <row r="1276" spans="1:16" x14ac:dyDescent="0.25">
      <c r="A1276" t="s">
        <v>0</v>
      </c>
      <c r="B1276" s="2">
        <v>44826</v>
      </c>
      <c r="C1276" s="5" t="s">
        <v>87</v>
      </c>
      <c r="D1276" t="s">
        <v>885</v>
      </c>
      <c r="E1276" t="s">
        <v>886</v>
      </c>
      <c r="F1276" t="s">
        <v>4</v>
      </c>
      <c r="G1276" t="s">
        <v>5</v>
      </c>
      <c r="H1276" s="3">
        <v>6.84</v>
      </c>
      <c r="I1276" t="s">
        <v>2150</v>
      </c>
      <c r="J1276" t="s">
        <v>943</v>
      </c>
      <c r="K1276" t="s">
        <v>8</v>
      </c>
      <c r="L1276" t="s">
        <v>8</v>
      </c>
      <c r="M1276" t="s">
        <v>8</v>
      </c>
      <c r="N1276" t="s">
        <v>1903</v>
      </c>
      <c r="O1276" t="s">
        <v>945</v>
      </c>
      <c r="P1276" t="s">
        <v>17</v>
      </c>
    </row>
    <row r="1277" spans="1:16" x14ac:dyDescent="0.25">
      <c r="A1277" t="s">
        <v>0</v>
      </c>
      <c r="B1277" s="2">
        <v>44831</v>
      </c>
      <c r="C1277" s="5" t="s">
        <v>87</v>
      </c>
      <c r="D1277" t="s">
        <v>152</v>
      </c>
      <c r="E1277" t="s">
        <v>153</v>
      </c>
      <c r="F1277" t="s">
        <v>4</v>
      </c>
      <c r="G1277" t="s">
        <v>5</v>
      </c>
      <c r="H1277" s="3">
        <v>806.63</v>
      </c>
      <c r="I1277" t="s">
        <v>1329</v>
      </c>
      <c r="J1277" t="s">
        <v>153</v>
      </c>
      <c r="K1277" t="s">
        <v>8</v>
      </c>
      <c r="L1277" t="s">
        <v>8</v>
      </c>
      <c r="M1277" t="s">
        <v>8</v>
      </c>
      <c r="N1277" t="s">
        <v>1330</v>
      </c>
      <c r="O1277" t="s">
        <v>1054</v>
      </c>
      <c r="P1277" t="s">
        <v>1113</v>
      </c>
    </row>
    <row r="1278" spans="1:16" x14ac:dyDescent="0.25">
      <c r="A1278" t="s">
        <v>0</v>
      </c>
      <c r="B1278" s="2">
        <v>44831</v>
      </c>
      <c r="C1278" s="5" t="s">
        <v>87</v>
      </c>
      <c r="D1278" t="s">
        <v>1207</v>
      </c>
      <c r="E1278" t="s">
        <v>1208</v>
      </c>
      <c r="F1278" t="s">
        <v>4</v>
      </c>
      <c r="G1278" t="s">
        <v>5</v>
      </c>
      <c r="H1278" s="3">
        <v>625.12</v>
      </c>
      <c r="I1278" t="s">
        <v>1409</v>
      </c>
      <c r="J1278" t="s">
        <v>153</v>
      </c>
      <c r="K1278" t="s">
        <v>8</v>
      </c>
      <c r="L1278" t="s">
        <v>8</v>
      </c>
      <c r="M1278" t="s">
        <v>8</v>
      </c>
      <c r="N1278" t="s">
        <v>1330</v>
      </c>
      <c r="O1278" t="s">
        <v>1054</v>
      </c>
      <c r="P1278" t="s">
        <v>579</v>
      </c>
    </row>
    <row r="1279" spans="1:16" x14ac:dyDescent="0.25">
      <c r="A1279" t="s">
        <v>0</v>
      </c>
      <c r="B1279" s="2">
        <v>44832</v>
      </c>
      <c r="C1279" t="s">
        <v>87</v>
      </c>
      <c r="D1279" t="s">
        <v>63</v>
      </c>
      <c r="E1279" t="s">
        <v>64</v>
      </c>
      <c r="F1279" t="s">
        <v>4</v>
      </c>
      <c r="G1279" t="s">
        <v>5</v>
      </c>
      <c r="H1279" s="3">
        <v>100875.55</v>
      </c>
      <c r="I1279" t="s">
        <v>65</v>
      </c>
      <c r="J1279" t="s">
        <v>66</v>
      </c>
      <c r="K1279" t="s">
        <v>8</v>
      </c>
      <c r="L1279" t="s">
        <v>8</v>
      </c>
      <c r="M1279" t="s">
        <v>8</v>
      </c>
      <c r="N1279" t="s">
        <v>88</v>
      </c>
      <c r="O1279" t="s">
        <v>57</v>
      </c>
      <c r="P1279" t="s">
        <v>89</v>
      </c>
    </row>
    <row r="1280" spans="1:16" x14ac:dyDescent="0.25">
      <c r="A1280" t="s">
        <v>0</v>
      </c>
      <c r="B1280" s="2">
        <v>44832</v>
      </c>
      <c r="C1280" t="s">
        <v>87</v>
      </c>
      <c r="D1280" t="s">
        <v>63</v>
      </c>
      <c r="E1280" t="s">
        <v>64</v>
      </c>
      <c r="F1280" t="s">
        <v>4</v>
      </c>
      <c r="G1280" t="s">
        <v>5</v>
      </c>
      <c r="H1280" s="3">
        <v>57546.84</v>
      </c>
      <c r="I1280" t="s">
        <v>114</v>
      </c>
      <c r="J1280" t="s">
        <v>66</v>
      </c>
      <c r="K1280" t="s">
        <v>8</v>
      </c>
      <c r="L1280" t="s">
        <v>8</v>
      </c>
      <c r="M1280" t="s">
        <v>8</v>
      </c>
      <c r="N1280" t="s">
        <v>88</v>
      </c>
      <c r="O1280" t="s">
        <v>57</v>
      </c>
      <c r="P1280" t="s">
        <v>151</v>
      </c>
    </row>
    <row r="1281" spans="1:16" x14ac:dyDescent="0.25">
      <c r="A1281" t="s">
        <v>0</v>
      </c>
      <c r="B1281" s="2">
        <v>44832</v>
      </c>
      <c r="C1281" t="s">
        <v>87</v>
      </c>
      <c r="D1281" t="s">
        <v>122</v>
      </c>
      <c r="E1281" t="s">
        <v>123</v>
      </c>
      <c r="F1281" t="s">
        <v>4</v>
      </c>
      <c r="G1281" t="s">
        <v>5</v>
      </c>
      <c r="H1281" s="3">
        <v>43757.64</v>
      </c>
      <c r="I1281" t="s">
        <v>124</v>
      </c>
      <c r="J1281" t="s">
        <v>66</v>
      </c>
      <c r="K1281" t="s">
        <v>8</v>
      </c>
      <c r="L1281" t="s">
        <v>8</v>
      </c>
      <c r="M1281" t="s">
        <v>8</v>
      </c>
      <c r="N1281" t="s">
        <v>88</v>
      </c>
      <c r="O1281" t="s">
        <v>57</v>
      </c>
      <c r="P1281" t="s">
        <v>168</v>
      </c>
    </row>
    <row r="1282" spans="1:16" x14ac:dyDescent="0.25">
      <c r="A1282" t="s">
        <v>0</v>
      </c>
      <c r="B1282" s="2">
        <v>44832</v>
      </c>
      <c r="C1282" t="s">
        <v>87</v>
      </c>
      <c r="D1282" t="s">
        <v>169</v>
      </c>
      <c r="E1282" t="s">
        <v>170</v>
      </c>
      <c r="F1282" t="s">
        <v>4</v>
      </c>
      <c r="G1282" t="s">
        <v>5</v>
      </c>
      <c r="H1282" s="3">
        <v>27049.119999999999</v>
      </c>
      <c r="I1282" t="s">
        <v>171</v>
      </c>
      <c r="J1282" t="s">
        <v>66</v>
      </c>
      <c r="K1282" t="s">
        <v>8</v>
      </c>
      <c r="L1282" t="s">
        <v>8</v>
      </c>
      <c r="M1282" t="s">
        <v>8</v>
      </c>
      <c r="N1282" t="s">
        <v>88</v>
      </c>
      <c r="O1282" t="s">
        <v>57</v>
      </c>
      <c r="P1282" t="s">
        <v>215</v>
      </c>
    </row>
    <row r="1283" spans="1:16" x14ac:dyDescent="0.25">
      <c r="A1283" t="s">
        <v>0</v>
      </c>
      <c r="B1283" s="2">
        <v>44832</v>
      </c>
      <c r="C1283" t="s">
        <v>87</v>
      </c>
      <c r="D1283" t="s">
        <v>173</v>
      </c>
      <c r="E1283" t="s">
        <v>174</v>
      </c>
      <c r="F1283" t="s">
        <v>4</v>
      </c>
      <c r="G1283" t="s">
        <v>5</v>
      </c>
      <c r="H1283" s="3">
        <v>25858.49</v>
      </c>
      <c r="I1283" t="s">
        <v>175</v>
      </c>
      <c r="J1283" t="s">
        <v>66</v>
      </c>
      <c r="K1283" t="s">
        <v>8</v>
      </c>
      <c r="L1283" t="s">
        <v>8</v>
      </c>
      <c r="M1283" t="s">
        <v>8</v>
      </c>
      <c r="N1283" t="s">
        <v>88</v>
      </c>
      <c r="O1283" t="s">
        <v>57</v>
      </c>
      <c r="P1283" t="s">
        <v>227</v>
      </c>
    </row>
    <row r="1284" spans="1:16" x14ac:dyDescent="0.25">
      <c r="A1284" t="s">
        <v>0</v>
      </c>
      <c r="B1284" s="2">
        <v>44832</v>
      </c>
      <c r="C1284" t="s">
        <v>87</v>
      </c>
      <c r="D1284" t="s">
        <v>273</v>
      </c>
      <c r="E1284" t="s">
        <v>274</v>
      </c>
      <c r="F1284" t="s">
        <v>4</v>
      </c>
      <c r="G1284" t="s">
        <v>5</v>
      </c>
      <c r="H1284" s="3">
        <v>20652.669999999998</v>
      </c>
      <c r="I1284" t="s">
        <v>275</v>
      </c>
      <c r="J1284" t="s">
        <v>66</v>
      </c>
      <c r="K1284" t="s">
        <v>8</v>
      </c>
      <c r="L1284" t="s">
        <v>8</v>
      </c>
      <c r="M1284" t="s">
        <v>8</v>
      </c>
      <c r="N1284" t="s">
        <v>88</v>
      </c>
      <c r="O1284" t="s">
        <v>57</v>
      </c>
      <c r="P1284" t="s">
        <v>304</v>
      </c>
    </row>
    <row r="1285" spans="1:16" x14ac:dyDescent="0.25">
      <c r="A1285" t="s">
        <v>0</v>
      </c>
      <c r="B1285" s="2">
        <v>44832</v>
      </c>
      <c r="C1285" t="s">
        <v>87</v>
      </c>
      <c r="D1285" t="s">
        <v>59</v>
      </c>
      <c r="E1285" t="s">
        <v>60</v>
      </c>
      <c r="F1285" t="s">
        <v>4</v>
      </c>
      <c r="G1285" t="s">
        <v>5</v>
      </c>
      <c r="H1285" s="3">
        <v>15421.2</v>
      </c>
      <c r="I1285" t="s">
        <v>61</v>
      </c>
      <c r="J1285" t="s">
        <v>66</v>
      </c>
      <c r="K1285" t="s">
        <v>8</v>
      </c>
      <c r="L1285" t="s">
        <v>8</v>
      </c>
      <c r="M1285" t="s">
        <v>8</v>
      </c>
      <c r="N1285" t="s">
        <v>88</v>
      </c>
      <c r="O1285" t="s">
        <v>57</v>
      </c>
      <c r="P1285" t="s">
        <v>330</v>
      </c>
    </row>
    <row r="1286" spans="1:16" x14ac:dyDescent="0.25">
      <c r="A1286" t="s">
        <v>0</v>
      </c>
      <c r="B1286" s="2">
        <v>44832</v>
      </c>
      <c r="C1286" s="5" t="s">
        <v>87</v>
      </c>
      <c r="D1286" t="s">
        <v>507</v>
      </c>
      <c r="E1286" t="s">
        <v>508</v>
      </c>
      <c r="F1286" t="s">
        <v>4</v>
      </c>
      <c r="G1286" t="s">
        <v>5</v>
      </c>
      <c r="H1286" s="3">
        <v>8996.68</v>
      </c>
      <c r="I1286" t="s">
        <v>509</v>
      </c>
      <c r="J1286" t="s">
        <v>66</v>
      </c>
      <c r="K1286" t="s">
        <v>8</v>
      </c>
      <c r="L1286" t="s">
        <v>8</v>
      </c>
      <c r="M1286" t="s">
        <v>8</v>
      </c>
      <c r="N1286" t="s">
        <v>88</v>
      </c>
      <c r="O1286" t="s">
        <v>57</v>
      </c>
      <c r="P1286" t="s">
        <v>512</v>
      </c>
    </row>
    <row r="1287" spans="1:16" x14ac:dyDescent="0.25">
      <c r="A1287" t="s">
        <v>0</v>
      </c>
      <c r="B1287" s="2">
        <v>44832</v>
      </c>
      <c r="C1287" s="5" t="s">
        <v>87</v>
      </c>
      <c r="D1287" t="s">
        <v>169</v>
      </c>
      <c r="E1287" t="s">
        <v>170</v>
      </c>
      <c r="F1287" t="s">
        <v>4</v>
      </c>
      <c r="G1287" t="s">
        <v>5</v>
      </c>
      <c r="H1287" s="3">
        <v>8984.14</v>
      </c>
      <c r="I1287" t="s">
        <v>213</v>
      </c>
      <c r="J1287" t="s">
        <v>66</v>
      </c>
      <c r="K1287" t="s">
        <v>8</v>
      </c>
      <c r="L1287" t="s">
        <v>8</v>
      </c>
      <c r="M1287" t="s">
        <v>8</v>
      </c>
      <c r="N1287" t="s">
        <v>88</v>
      </c>
      <c r="O1287" t="s">
        <v>57</v>
      </c>
      <c r="P1287" t="s">
        <v>513</v>
      </c>
    </row>
    <row r="1288" spans="1:16" x14ac:dyDescent="0.25">
      <c r="A1288" t="s">
        <v>0</v>
      </c>
      <c r="B1288" s="2">
        <v>44832</v>
      </c>
      <c r="C1288" s="5" t="s">
        <v>87</v>
      </c>
      <c r="D1288" t="s">
        <v>514</v>
      </c>
      <c r="E1288" t="s">
        <v>515</v>
      </c>
      <c r="F1288" t="s">
        <v>4</v>
      </c>
      <c r="G1288" t="s">
        <v>5</v>
      </c>
      <c r="H1288" s="3">
        <v>8344.1299999999992</v>
      </c>
      <c r="I1288" t="s">
        <v>516</v>
      </c>
      <c r="J1288" t="s">
        <v>66</v>
      </c>
      <c r="K1288" t="s">
        <v>8</v>
      </c>
      <c r="L1288" t="s">
        <v>8</v>
      </c>
      <c r="M1288" t="s">
        <v>8</v>
      </c>
      <c r="N1288" t="s">
        <v>88</v>
      </c>
      <c r="O1288" t="s">
        <v>57</v>
      </c>
      <c r="P1288" t="s">
        <v>533</v>
      </c>
    </row>
    <row r="1289" spans="1:16" x14ac:dyDescent="0.25">
      <c r="A1289" t="s">
        <v>0</v>
      </c>
      <c r="B1289" s="2">
        <v>44832</v>
      </c>
      <c r="C1289" s="5" t="s">
        <v>87</v>
      </c>
      <c r="D1289" t="s">
        <v>534</v>
      </c>
      <c r="E1289" t="s">
        <v>535</v>
      </c>
      <c r="F1289" t="s">
        <v>4</v>
      </c>
      <c r="G1289" t="s">
        <v>5</v>
      </c>
      <c r="H1289" s="3">
        <v>7585.89</v>
      </c>
      <c r="I1289" t="s">
        <v>536</v>
      </c>
      <c r="J1289" t="s">
        <v>66</v>
      </c>
      <c r="K1289" t="s">
        <v>8</v>
      </c>
      <c r="L1289" t="s">
        <v>8</v>
      </c>
      <c r="M1289" t="s">
        <v>8</v>
      </c>
      <c r="N1289" t="s">
        <v>88</v>
      </c>
      <c r="O1289" t="s">
        <v>57</v>
      </c>
      <c r="P1289" t="s">
        <v>576</v>
      </c>
    </row>
    <row r="1290" spans="1:16" x14ac:dyDescent="0.25">
      <c r="A1290" t="s">
        <v>0</v>
      </c>
      <c r="B1290" s="2">
        <v>44832</v>
      </c>
      <c r="C1290" s="5" t="s">
        <v>87</v>
      </c>
      <c r="D1290" t="s">
        <v>380</v>
      </c>
      <c r="E1290" t="s">
        <v>381</v>
      </c>
      <c r="F1290" t="s">
        <v>4</v>
      </c>
      <c r="G1290" t="s">
        <v>5</v>
      </c>
      <c r="H1290" s="3">
        <v>6917.01</v>
      </c>
      <c r="I1290" t="s">
        <v>382</v>
      </c>
      <c r="J1290" t="s">
        <v>66</v>
      </c>
      <c r="K1290" t="s">
        <v>8</v>
      </c>
      <c r="L1290" t="s">
        <v>8</v>
      </c>
      <c r="M1290" t="s">
        <v>8</v>
      </c>
      <c r="N1290" t="s">
        <v>88</v>
      </c>
      <c r="O1290" t="s">
        <v>57</v>
      </c>
      <c r="P1290" t="s">
        <v>590</v>
      </c>
    </row>
    <row r="1291" spans="1:16" x14ac:dyDescent="0.25">
      <c r="A1291" t="s">
        <v>0</v>
      </c>
      <c r="B1291" s="2">
        <v>44832</v>
      </c>
      <c r="C1291" s="5" t="s">
        <v>87</v>
      </c>
      <c r="D1291" t="s">
        <v>122</v>
      </c>
      <c r="E1291" t="s">
        <v>123</v>
      </c>
      <c r="F1291" t="s">
        <v>4</v>
      </c>
      <c r="G1291" t="s">
        <v>5</v>
      </c>
      <c r="H1291" s="3">
        <v>6361.25</v>
      </c>
      <c r="I1291" t="s">
        <v>397</v>
      </c>
      <c r="J1291" t="s">
        <v>66</v>
      </c>
      <c r="K1291" t="s">
        <v>8</v>
      </c>
      <c r="L1291" t="s">
        <v>8</v>
      </c>
      <c r="M1291" t="s">
        <v>8</v>
      </c>
      <c r="N1291" t="s">
        <v>88</v>
      </c>
      <c r="O1291" t="s">
        <v>57</v>
      </c>
      <c r="P1291" t="s">
        <v>618</v>
      </c>
    </row>
    <row r="1292" spans="1:16" x14ac:dyDescent="0.25">
      <c r="A1292" t="s">
        <v>0</v>
      </c>
      <c r="B1292" s="2">
        <v>44832</v>
      </c>
      <c r="C1292" s="5" t="s">
        <v>87</v>
      </c>
      <c r="D1292" t="s">
        <v>624</v>
      </c>
      <c r="E1292" t="s">
        <v>625</v>
      </c>
      <c r="F1292" t="s">
        <v>4</v>
      </c>
      <c r="G1292" t="s">
        <v>5</v>
      </c>
      <c r="H1292" s="3">
        <v>5715.28</v>
      </c>
      <c r="I1292" t="s">
        <v>626</v>
      </c>
      <c r="J1292" t="s">
        <v>66</v>
      </c>
      <c r="K1292" t="s">
        <v>8</v>
      </c>
      <c r="L1292" t="s">
        <v>8</v>
      </c>
      <c r="M1292" t="s">
        <v>8</v>
      </c>
      <c r="N1292" t="s">
        <v>88</v>
      </c>
      <c r="O1292" t="s">
        <v>57</v>
      </c>
      <c r="P1292" t="s">
        <v>178</v>
      </c>
    </row>
    <row r="1293" spans="1:16" x14ac:dyDescent="0.25">
      <c r="A1293" t="s">
        <v>0</v>
      </c>
      <c r="B1293" s="2">
        <v>44832</v>
      </c>
      <c r="C1293" s="5" t="s">
        <v>87</v>
      </c>
      <c r="D1293" t="s">
        <v>769</v>
      </c>
      <c r="E1293" t="s">
        <v>770</v>
      </c>
      <c r="F1293" t="s">
        <v>4</v>
      </c>
      <c r="G1293" t="s">
        <v>5</v>
      </c>
      <c r="H1293" s="3">
        <v>3597.98</v>
      </c>
      <c r="I1293" t="s">
        <v>771</v>
      </c>
      <c r="J1293" t="s">
        <v>66</v>
      </c>
      <c r="K1293" t="s">
        <v>8</v>
      </c>
      <c r="L1293" t="s">
        <v>8</v>
      </c>
      <c r="M1293" t="s">
        <v>8</v>
      </c>
      <c r="N1293" t="s">
        <v>88</v>
      </c>
      <c r="O1293" t="s">
        <v>57</v>
      </c>
      <c r="P1293" t="s">
        <v>772</v>
      </c>
    </row>
    <row r="1294" spans="1:16" x14ac:dyDescent="0.25">
      <c r="A1294" t="s">
        <v>0</v>
      </c>
      <c r="B1294" s="2">
        <v>44832</v>
      </c>
      <c r="C1294" s="5" t="s">
        <v>87</v>
      </c>
      <c r="D1294" t="s">
        <v>822</v>
      </c>
      <c r="E1294" t="s">
        <v>823</v>
      </c>
      <c r="F1294" t="s">
        <v>4</v>
      </c>
      <c r="G1294" t="s">
        <v>5</v>
      </c>
      <c r="H1294" s="3">
        <v>3178.53</v>
      </c>
      <c r="I1294" t="s">
        <v>824</v>
      </c>
      <c r="J1294" t="s">
        <v>66</v>
      </c>
      <c r="K1294" t="s">
        <v>8</v>
      </c>
      <c r="L1294" t="s">
        <v>8</v>
      </c>
      <c r="M1294" t="s">
        <v>8</v>
      </c>
      <c r="N1294" t="s">
        <v>88</v>
      </c>
      <c r="O1294" t="s">
        <v>57</v>
      </c>
      <c r="P1294" t="s">
        <v>825</v>
      </c>
    </row>
    <row r="1295" spans="1:16" x14ac:dyDescent="0.25">
      <c r="A1295" t="s">
        <v>0</v>
      </c>
      <c r="B1295" s="2">
        <v>44832</v>
      </c>
      <c r="C1295" s="5" t="s">
        <v>87</v>
      </c>
      <c r="D1295" t="s">
        <v>954</v>
      </c>
      <c r="E1295" t="s">
        <v>955</v>
      </c>
      <c r="F1295" t="s">
        <v>4</v>
      </c>
      <c r="G1295" t="s">
        <v>5</v>
      </c>
      <c r="H1295" s="3">
        <v>2000</v>
      </c>
      <c r="I1295" t="s">
        <v>956</v>
      </c>
      <c r="J1295" t="s">
        <v>66</v>
      </c>
      <c r="K1295" t="s">
        <v>8</v>
      </c>
      <c r="L1295" t="s">
        <v>8</v>
      </c>
      <c r="M1295" t="s">
        <v>8</v>
      </c>
      <c r="N1295" t="s">
        <v>964</v>
      </c>
      <c r="O1295" t="s">
        <v>57</v>
      </c>
      <c r="P1295" t="s">
        <v>965</v>
      </c>
    </row>
    <row r="1296" spans="1:16" x14ac:dyDescent="0.25">
      <c r="A1296" t="s">
        <v>0</v>
      </c>
      <c r="B1296" s="2">
        <v>44832</v>
      </c>
      <c r="C1296" s="5" t="s">
        <v>87</v>
      </c>
      <c r="D1296" t="s">
        <v>514</v>
      </c>
      <c r="E1296" t="s">
        <v>515</v>
      </c>
      <c r="F1296" t="s">
        <v>4</v>
      </c>
      <c r="G1296" t="s">
        <v>5</v>
      </c>
      <c r="H1296" s="3">
        <v>1684.6</v>
      </c>
      <c r="I1296" t="s">
        <v>889</v>
      </c>
      <c r="J1296" t="s">
        <v>66</v>
      </c>
      <c r="K1296" t="s">
        <v>8</v>
      </c>
      <c r="L1296" t="s">
        <v>8</v>
      </c>
      <c r="M1296" t="s">
        <v>8</v>
      </c>
      <c r="N1296" t="s">
        <v>88</v>
      </c>
      <c r="O1296" t="s">
        <v>57</v>
      </c>
      <c r="P1296" t="s">
        <v>87</v>
      </c>
    </row>
    <row r="1297" spans="1:16" x14ac:dyDescent="0.25">
      <c r="A1297" t="s">
        <v>0</v>
      </c>
      <c r="B1297" s="2">
        <v>44832</v>
      </c>
      <c r="C1297" s="5" t="s">
        <v>87</v>
      </c>
      <c r="D1297" t="s">
        <v>881</v>
      </c>
      <c r="E1297" t="s">
        <v>882</v>
      </c>
      <c r="F1297" t="s">
        <v>4</v>
      </c>
      <c r="G1297" t="s">
        <v>5</v>
      </c>
      <c r="H1297" s="3">
        <v>1192.0999999999999</v>
      </c>
      <c r="I1297" t="s">
        <v>1065</v>
      </c>
      <c r="J1297" t="s">
        <v>66</v>
      </c>
      <c r="K1297" t="s">
        <v>8</v>
      </c>
      <c r="L1297" t="s">
        <v>8</v>
      </c>
      <c r="M1297" t="s">
        <v>8</v>
      </c>
      <c r="N1297" t="s">
        <v>88</v>
      </c>
      <c r="O1297" t="s">
        <v>57</v>
      </c>
      <c r="P1297" t="s">
        <v>1151</v>
      </c>
    </row>
    <row r="1298" spans="1:16" x14ac:dyDescent="0.25">
      <c r="A1298" t="s">
        <v>0</v>
      </c>
      <c r="B1298" s="2">
        <v>44832</v>
      </c>
      <c r="C1298" s="5" t="s">
        <v>87</v>
      </c>
      <c r="D1298" t="s">
        <v>951</v>
      </c>
      <c r="E1298" t="s">
        <v>952</v>
      </c>
      <c r="F1298" t="s">
        <v>4</v>
      </c>
      <c r="G1298" t="s">
        <v>5</v>
      </c>
      <c r="H1298" s="3">
        <v>1120.18</v>
      </c>
      <c r="I1298" t="s">
        <v>1178</v>
      </c>
      <c r="J1298" t="s">
        <v>66</v>
      </c>
      <c r="K1298" t="s">
        <v>8</v>
      </c>
      <c r="L1298" t="s">
        <v>8</v>
      </c>
      <c r="M1298" t="s">
        <v>8</v>
      </c>
      <c r="N1298" t="s">
        <v>88</v>
      </c>
      <c r="O1298" t="s">
        <v>57</v>
      </c>
      <c r="P1298" t="s">
        <v>72</v>
      </c>
    </row>
    <row r="1299" spans="1:16" x14ac:dyDescent="0.25">
      <c r="A1299" t="s">
        <v>0</v>
      </c>
      <c r="B1299" s="2">
        <v>44832</v>
      </c>
      <c r="C1299" s="5" t="s">
        <v>87</v>
      </c>
      <c r="D1299" t="s">
        <v>1184</v>
      </c>
      <c r="E1299" t="s">
        <v>1185</v>
      </c>
      <c r="F1299" t="s">
        <v>4</v>
      </c>
      <c r="G1299" t="s">
        <v>5</v>
      </c>
      <c r="H1299" s="3">
        <v>1105.27</v>
      </c>
      <c r="I1299" t="s">
        <v>1186</v>
      </c>
      <c r="J1299" t="s">
        <v>66</v>
      </c>
      <c r="K1299" t="s">
        <v>8</v>
      </c>
      <c r="L1299" t="s">
        <v>8</v>
      </c>
      <c r="M1299" t="s">
        <v>8</v>
      </c>
      <c r="N1299" t="s">
        <v>88</v>
      </c>
      <c r="O1299" t="s">
        <v>57</v>
      </c>
      <c r="P1299" t="s">
        <v>1187</v>
      </c>
    </row>
    <row r="1300" spans="1:16" x14ac:dyDescent="0.25">
      <c r="A1300" t="s">
        <v>0</v>
      </c>
      <c r="B1300" s="2">
        <v>44832</v>
      </c>
      <c r="C1300" s="5" t="s">
        <v>87</v>
      </c>
      <c r="D1300" t="s">
        <v>152</v>
      </c>
      <c r="E1300" t="s">
        <v>153</v>
      </c>
      <c r="F1300" t="s">
        <v>4</v>
      </c>
      <c r="G1300" t="s">
        <v>5</v>
      </c>
      <c r="H1300" s="3">
        <v>1051.1500000000001</v>
      </c>
      <c r="I1300" t="s">
        <v>1196</v>
      </c>
      <c r="J1300" t="s">
        <v>153</v>
      </c>
      <c r="K1300" t="s">
        <v>8</v>
      </c>
      <c r="L1300" t="s">
        <v>8</v>
      </c>
      <c r="M1300" t="s">
        <v>8</v>
      </c>
      <c r="N1300" t="s">
        <v>1197</v>
      </c>
      <c r="O1300" t="s">
        <v>1054</v>
      </c>
      <c r="P1300" t="s">
        <v>211</v>
      </c>
    </row>
    <row r="1301" spans="1:16" x14ac:dyDescent="0.25">
      <c r="A1301" t="s">
        <v>0</v>
      </c>
      <c r="B1301" s="2">
        <v>44832</v>
      </c>
      <c r="C1301" s="5" t="s">
        <v>87</v>
      </c>
      <c r="D1301" t="s">
        <v>1506</v>
      </c>
      <c r="E1301" t="s">
        <v>1507</v>
      </c>
      <c r="F1301" t="s">
        <v>4</v>
      </c>
      <c r="G1301" t="s">
        <v>5</v>
      </c>
      <c r="H1301" s="3">
        <v>462.07</v>
      </c>
      <c r="I1301" t="s">
        <v>1508</v>
      </c>
      <c r="J1301" t="s">
        <v>66</v>
      </c>
      <c r="K1301" t="s">
        <v>8</v>
      </c>
      <c r="L1301" t="s">
        <v>8</v>
      </c>
      <c r="M1301" t="s">
        <v>8</v>
      </c>
      <c r="N1301" t="s">
        <v>88</v>
      </c>
      <c r="O1301" t="s">
        <v>57</v>
      </c>
      <c r="P1301" t="s">
        <v>1119</v>
      </c>
    </row>
    <row r="1302" spans="1:16" x14ac:dyDescent="0.25">
      <c r="A1302" t="s">
        <v>0</v>
      </c>
      <c r="B1302" s="2">
        <v>44832</v>
      </c>
      <c r="C1302" s="5" t="s">
        <v>87</v>
      </c>
      <c r="D1302" t="s">
        <v>380</v>
      </c>
      <c r="E1302" t="s">
        <v>381</v>
      </c>
      <c r="F1302" t="s">
        <v>4</v>
      </c>
      <c r="G1302" t="s">
        <v>5</v>
      </c>
      <c r="H1302" s="3">
        <v>414.87</v>
      </c>
      <c r="I1302" t="s">
        <v>1587</v>
      </c>
      <c r="J1302" t="s">
        <v>66</v>
      </c>
      <c r="K1302" t="s">
        <v>8</v>
      </c>
      <c r="L1302" t="s">
        <v>8</v>
      </c>
      <c r="M1302" t="s">
        <v>8</v>
      </c>
      <c r="N1302" t="s">
        <v>88</v>
      </c>
      <c r="O1302" t="s">
        <v>57</v>
      </c>
      <c r="P1302" t="s">
        <v>1588</v>
      </c>
    </row>
    <row r="1303" spans="1:16" x14ac:dyDescent="0.25">
      <c r="A1303" t="s">
        <v>0</v>
      </c>
      <c r="B1303" s="2">
        <v>44832</v>
      </c>
      <c r="C1303" s="5" t="s">
        <v>87</v>
      </c>
      <c r="D1303" t="s">
        <v>1506</v>
      </c>
      <c r="E1303" t="s">
        <v>1507</v>
      </c>
      <c r="F1303" t="s">
        <v>4</v>
      </c>
      <c r="G1303" t="s">
        <v>5</v>
      </c>
      <c r="H1303" s="3">
        <v>405.97</v>
      </c>
      <c r="I1303" t="s">
        <v>1601</v>
      </c>
      <c r="J1303" t="s">
        <v>66</v>
      </c>
      <c r="K1303" t="s">
        <v>8</v>
      </c>
      <c r="L1303" t="s">
        <v>8</v>
      </c>
      <c r="M1303" t="s">
        <v>8</v>
      </c>
      <c r="N1303" t="s">
        <v>88</v>
      </c>
      <c r="O1303" t="s">
        <v>57</v>
      </c>
      <c r="P1303" t="s">
        <v>963</v>
      </c>
    </row>
    <row r="1304" spans="1:16" x14ac:dyDescent="0.25">
      <c r="A1304" t="s">
        <v>0</v>
      </c>
      <c r="B1304" s="2">
        <v>44832</v>
      </c>
      <c r="C1304" s="5" t="s">
        <v>87</v>
      </c>
      <c r="D1304" t="s">
        <v>514</v>
      </c>
      <c r="E1304" t="s">
        <v>515</v>
      </c>
      <c r="F1304" t="s">
        <v>4</v>
      </c>
      <c r="G1304" t="s">
        <v>5</v>
      </c>
      <c r="H1304" s="3">
        <v>375.62</v>
      </c>
      <c r="I1304" t="s">
        <v>1220</v>
      </c>
      <c r="J1304" t="s">
        <v>66</v>
      </c>
      <c r="K1304" t="s">
        <v>8</v>
      </c>
      <c r="L1304" t="s">
        <v>8</v>
      </c>
      <c r="M1304" t="s">
        <v>8</v>
      </c>
      <c r="N1304" t="s">
        <v>88</v>
      </c>
      <c r="O1304" t="s">
        <v>57</v>
      </c>
      <c r="P1304" t="s">
        <v>1624</v>
      </c>
    </row>
    <row r="1305" spans="1:16" x14ac:dyDescent="0.25">
      <c r="A1305" t="s">
        <v>0</v>
      </c>
      <c r="B1305" s="2">
        <v>44832</v>
      </c>
      <c r="C1305" s="5" t="s">
        <v>87</v>
      </c>
      <c r="D1305" t="s">
        <v>152</v>
      </c>
      <c r="E1305" t="s">
        <v>153</v>
      </c>
      <c r="F1305" t="s">
        <v>4</v>
      </c>
      <c r="G1305" t="s">
        <v>5</v>
      </c>
      <c r="H1305" s="3">
        <v>233.28</v>
      </c>
      <c r="I1305" t="s">
        <v>1752</v>
      </c>
      <c r="J1305" t="s">
        <v>153</v>
      </c>
      <c r="K1305" t="s">
        <v>8</v>
      </c>
      <c r="L1305" t="s">
        <v>8</v>
      </c>
      <c r="M1305" t="s">
        <v>8</v>
      </c>
      <c r="N1305" t="s">
        <v>1197</v>
      </c>
      <c r="O1305" t="s">
        <v>1054</v>
      </c>
      <c r="P1305" t="s">
        <v>87</v>
      </c>
    </row>
    <row r="1306" spans="1:16" x14ac:dyDescent="0.25">
      <c r="A1306" t="s">
        <v>0</v>
      </c>
      <c r="B1306" s="2">
        <v>44832</v>
      </c>
      <c r="C1306" s="5" t="s">
        <v>87</v>
      </c>
      <c r="D1306" t="s">
        <v>624</v>
      </c>
      <c r="E1306" t="s">
        <v>625</v>
      </c>
      <c r="F1306" t="s">
        <v>4</v>
      </c>
      <c r="G1306" t="s">
        <v>5</v>
      </c>
      <c r="H1306" s="3">
        <v>152.18</v>
      </c>
      <c r="I1306" t="s">
        <v>1841</v>
      </c>
      <c r="J1306" t="s">
        <v>66</v>
      </c>
      <c r="K1306" t="s">
        <v>8</v>
      </c>
      <c r="L1306" t="s">
        <v>8</v>
      </c>
      <c r="M1306" t="s">
        <v>8</v>
      </c>
      <c r="N1306" t="s">
        <v>88</v>
      </c>
      <c r="O1306" t="s">
        <v>57</v>
      </c>
      <c r="P1306" t="s">
        <v>1842</v>
      </c>
    </row>
    <row r="1307" spans="1:16" x14ac:dyDescent="0.25">
      <c r="A1307" t="s">
        <v>0</v>
      </c>
      <c r="B1307" s="2">
        <v>44832</v>
      </c>
      <c r="C1307" s="5" t="s">
        <v>87</v>
      </c>
      <c r="D1307" t="s">
        <v>47</v>
      </c>
      <c r="E1307" t="s">
        <v>48</v>
      </c>
      <c r="F1307" t="s">
        <v>4</v>
      </c>
      <c r="G1307" t="s">
        <v>5</v>
      </c>
      <c r="H1307" s="3">
        <v>27.5</v>
      </c>
      <c r="I1307" t="s">
        <v>2037</v>
      </c>
      <c r="J1307" t="s">
        <v>943</v>
      </c>
      <c r="K1307" t="s">
        <v>8</v>
      </c>
      <c r="L1307" t="s">
        <v>8</v>
      </c>
      <c r="M1307" t="s">
        <v>8</v>
      </c>
      <c r="N1307" t="s">
        <v>2095</v>
      </c>
      <c r="O1307" t="s">
        <v>945</v>
      </c>
      <c r="P1307" t="s">
        <v>1</v>
      </c>
    </row>
    <row r="1308" spans="1:16" x14ac:dyDescent="0.25">
      <c r="A1308" t="s">
        <v>0</v>
      </c>
      <c r="B1308" s="2">
        <v>44832</v>
      </c>
      <c r="C1308" s="5" t="s">
        <v>87</v>
      </c>
      <c r="D1308" t="s">
        <v>644</v>
      </c>
      <c r="E1308" t="s">
        <v>645</v>
      </c>
      <c r="F1308" t="s">
        <v>4</v>
      </c>
      <c r="G1308" t="s">
        <v>5</v>
      </c>
      <c r="H1308" s="3">
        <v>-46.49</v>
      </c>
      <c r="I1308" t="s">
        <v>2167</v>
      </c>
      <c r="J1308" t="s">
        <v>2165</v>
      </c>
      <c r="K1308" t="s">
        <v>8</v>
      </c>
      <c r="L1308" t="s">
        <v>8</v>
      </c>
      <c r="M1308" t="s">
        <v>8</v>
      </c>
      <c r="N1308" t="s">
        <v>88</v>
      </c>
      <c r="O1308" t="s">
        <v>57</v>
      </c>
      <c r="P1308" t="s">
        <v>1431</v>
      </c>
    </row>
    <row r="1309" spans="1:16" x14ac:dyDescent="0.25">
      <c r="A1309" t="s">
        <v>0</v>
      </c>
      <c r="B1309" s="2">
        <v>44832</v>
      </c>
      <c r="C1309" s="5" t="s">
        <v>87</v>
      </c>
      <c r="D1309" t="s">
        <v>881</v>
      </c>
      <c r="E1309" t="s">
        <v>882</v>
      </c>
      <c r="F1309" t="s">
        <v>4</v>
      </c>
      <c r="G1309" t="s">
        <v>5</v>
      </c>
      <c r="H1309" s="3">
        <v>-59.9</v>
      </c>
      <c r="I1309" t="s">
        <v>2183</v>
      </c>
      <c r="J1309" t="s">
        <v>2165</v>
      </c>
      <c r="K1309" t="s">
        <v>8</v>
      </c>
      <c r="L1309" t="s">
        <v>8</v>
      </c>
      <c r="M1309" t="s">
        <v>8</v>
      </c>
      <c r="N1309" t="s">
        <v>964</v>
      </c>
      <c r="O1309" t="s">
        <v>57</v>
      </c>
      <c r="P1309" t="s">
        <v>888</v>
      </c>
    </row>
    <row r="1310" spans="1:16" x14ac:dyDescent="0.25">
      <c r="A1310" t="s">
        <v>0</v>
      </c>
      <c r="B1310" s="2">
        <v>44832</v>
      </c>
      <c r="C1310" s="5" t="s">
        <v>87</v>
      </c>
      <c r="D1310" t="s">
        <v>108</v>
      </c>
      <c r="E1310" t="s">
        <v>109</v>
      </c>
      <c r="F1310" t="s">
        <v>4</v>
      </c>
      <c r="G1310" t="s">
        <v>5</v>
      </c>
      <c r="H1310" s="3">
        <v>-73.8</v>
      </c>
      <c r="I1310" t="s">
        <v>2175</v>
      </c>
      <c r="J1310" t="s">
        <v>2165</v>
      </c>
      <c r="K1310" t="s">
        <v>8</v>
      </c>
      <c r="L1310" t="s">
        <v>8</v>
      </c>
      <c r="M1310" t="s">
        <v>8</v>
      </c>
      <c r="N1310" t="s">
        <v>88</v>
      </c>
      <c r="O1310" t="s">
        <v>57</v>
      </c>
      <c r="P1310" t="s">
        <v>2194</v>
      </c>
    </row>
    <row r="1311" spans="1:16" x14ac:dyDescent="0.25">
      <c r="A1311" t="s">
        <v>0</v>
      </c>
      <c r="B1311" s="2">
        <v>44832</v>
      </c>
      <c r="C1311" s="5" t="s">
        <v>87</v>
      </c>
      <c r="D1311" t="s">
        <v>2191</v>
      </c>
      <c r="E1311" t="s">
        <v>2192</v>
      </c>
      <c r="F1311" t="s">
        <v>4</v>
      </c>
      <c r="G1311" t="s">
        <v>5</v>
      </c>
      <c r="H1311" s="3">
        <v>-107.69</v>
      </c>
      <c r="I1311" t="s">
        <v>2193</v>
      </c>
      <c r="J1311" t="s">
        <v>2165</v>
      </c>
      <c r="K1311" t="s">
        <v>8</v>
      </c>
      <c r="L1311" t="s">
        <v>8</v>
      </c>
      <c r="M1311" t="s">
        <v>8</v>
      </c>
      <c r="N1311" t="s">
        <v>88</v>
      </c>
      <c r="O1311" t="s">
        <v>57</v>
      </c>
      <c r="P1311" t="s">
        <v>2199</v>
      </c>
    </row>
    <row r="1312" spans="1:16" x14ac:dyDescent="0.25">
      <c r="A1312" t="s">
        <v>0</v>
      </c>
      <c r="B1312" s="2">
        <v>44832</v>
      </c>
      <c r="C1312" s="5" t="s">
        <v>87</v>
      </c>
      <c r="D1312" t="s">
        <v>951</v>
      </c>
      <c r="E1312" t="s">
        <v>952</v>
      </c>
      <c r="F1312" t="s">
        <v>4</v>
      </c>
      <c r="G1312" t="s">
        <v>5</v>
      </c>
      <c r="H1312" s="3">
        <v>-141.28</v>
      </c>
      <c r="I1312" t="s">
        <v>1359</v>
      </c>
      <c r="J1312" t="s">
        <v>2165</v>
      </c>
      <c r="K1312" t="s">
        <v>8</v>
      </c>
      <c r="L1312" t="s">
        <v>8</v>
      </c>
      <c r="M1312" t="s">
        <v>8</v>
      </c>
      <c r="N1312" t="s">
        <v>88</v>
      </c>
      <c r="O1312" t="s">
        <v>57</v>
      </c>
      <c r="P1312" t="s">
        <v>756</v>
      </c>
    </row>
    <row r="1313" spans="1:16" x14ac:dyDescent="0.25">
      <c r="A1313" t="s">
        <v>0</v>
      </c>
      <c r="B1313" s="2">
        <v>44832</v>
      </c>
      <c r="C1313" s="5" t="s">
        <v>87</v>
      </c>
      <c r="D1313" t="s">
        <v>108</v>
      </c>
      <c r="E1313" t="s">
        <v>109</v>
      </c>
      <c r="F1313" t="s">
        <v>4</v>
      </c>
      <c r="G1313" t="s">
        <v>5</v>
      </c>
      <c r="H1313" s="3">
        <v>-141.33000000000001</v>
      </c>
      <c r="I1313" t="s">
        <v>2200</v>
      </c>
      <c r="J1313" t="s">
        <v>2165</v>
      </c>
      <c r="K1313" t="s">
        <v>8</v>
      </c>
      <c r="L1313" t="s">
        <v>8</v>
      </c>
      <c r="M1313" t="s">
        <v>8</v>
      </c>
      <c r="N1313" t="s">
        <v>964</v>
      </c>
      <c r="O1313" t="s">
        <v>57</v>
      </c>
      <c r="P1313" t="s">
        <v>2204</v>
      </c>
    </row>
    <row r="1314" spans="1:16" x14ac:dyDescent="0.25">
      <c r="A1314" t="s">
        <v>0</v>
      </c>
      <c r="B1314" s="2">
        <v>44832</v>
      </c>
      <c r="C1314" s="5" t="s">
        <v>87</v>
      </c>
      <c r="D1314" t="s">
        <v>1207</v>
      </c>
      <c r="E1314" t="s">
        <v>1208</v>
      </c>
      <c r="F1314" t="s">
        <v>4</v>
      </c>
      <c r="G1314" t="s">
        <v>5</v>
      </c>
      <c r="H1314" s="3">
        <v>-219.27</v>
      </c>
      <c r="I1314" t="s">
        <v>2162</v>
      </c>
      <c r="J1314" t="s">
        <v>2165</v>
      </c>
      <c r="K1314" t="s">
        <v>8</v>
      </c>
      <c r="L1314" t="s">
        <v>8</v>
      </c>
      <c r="M1314" t="s">
        <v>8</v>
      </c>
      <c r="N1314" t="s">
        <v>88</v>
      </c>
      <c r="O1314" t="s">
        <v>57</v>
      </c>
      <c r="P1314" t="s">
        <v>82</v>
      </c>
    </row>
    <row r="1315" spans="1:16" x14ac:dyDescent="0.25">
      <c r="A1315" t="s">
        <v>0</v>
      </c>
      <c r="B1315" s="2">
        <v>44832</v>
      </c>
      <c r="C1315" s="5" t="s">
        <v>87</v>
      </c>
      <c r="D1315" t="s">
        <v>951</v>
      </c>
      <c r="E1315" t="s">
        <v>952</v>
      </c>
      <c r="F1315" t="s">
        <v>4</v>
      </c>
      <c r="G1315" t="s">
        <v>5</v>
      </c>
      <c r="H1315" s="3">
        <v>-384.69</v>
      </c>
      <c r="I1315" t="s">
        <v>953</v>
      </c>
      <c r="J1315" t="s">
        <v>2165</v>
      </c>
      <c r="K1315" t="s">
        <v>8</v>
      </c>
      <c r="L1315" t="s">
        <v>8</v>
      </c>
      <c r="M1315" t="s">
        <v>8</v>
      </c>
      <c r="N1315" t="s">
        <v>88</v>
      </c>
      <c r="O1315" t="s">
        <v>57</v>
      </c>
      <c r="P1315" t="s">
        <v>2185</v>
      </c>
    </row>
    <row r="1316" spans="1:16" x14ac:dyDescent="0.25">
      <c r="A1316" t="s">
        <v>0</v>
      </c>
      <c r="B1316" s="2">
        <v>44832</v>
      </c>
      <c r="C1316" s="5" t="s">
        <v>87</v>
      </c>
      <c r="D1316" t="s">
        <v>108</v>
      </c>
      <c r="E1316" t="s">
        <v>109</v>
      </c>
      <c r="F1316" t="s">
        <v>4</v>
      </c>
      <c r="G1316" t="s">
        <v>5</v>
      </c>
      <c r="H1316" s="3">
        <v>-473.46</v>
      </c>
      <c r="I1316" t="s">
        <v>2221</v>
      </c>
      <c r="J1316" t="s">
        <v>2165</v>
      </c>
      <c r="K1316" t="s">
        <v>8</v>
      </c>
      <c r="L1316" t="s">
        <v>8</v>
      </c>
      <c r="M1316" t="s">
        <v>8</v>
      </c>
      <c r="N1316" t="s">
        <v>88</v>
      </c>
      <c r="O1316" t="s">
        <v>57</v>
      </c>
      <c r="P1316" t="s">
        <v>2227</v>
      </c>
    </row>
    <row r="1317" spans="1:16" x14ac:dyDescent="0.25">
      <c r="A1317" t="s">
        <v>0</v>
      </c>
      <c r="B1317" s="2">
        <v>44832</v>
      </c>
      <c r="C1317" s="5" t="s">
        <v>87</v>
      </c>
      <c r="D1317" t="s">
        <v>644</v>
      </c>
      <c r="E1317" t="s">
        <v>645</v>
      </c>
      <c r="F1317" t="s">
        <v>4</v>
      </c>
      <c r="G1317" t="s">
        <v>5</v>
      </c>
      <c r="H1317" s="3">
        <v>-487.78</v>
      </c>
      <c r="I1317" t="s">
        <v>2228</v>
      </c>
      <c r="J1317" t="s">
        <v>2165</v>
      </c>
      <c r="K1317" t="s">
        <v>8</v>
      </c>
      <c r="L1317" t="s">
        <v>8</v>
      </c>
      <c r="M1317" t="s">
        <v>8</v>
      </c>
      <c r="N1317" t="s">
        <v>88</v>
      </c>
      <c r="O1317" t="s">
        <v>57</v>
      </c>
      <c r="P1317" t="s">
        <v>601</v>
      </c>
    </row>
    <row r="1318" spans="1:16" x14ac:dyDescent="0.25">
      <c r="A1318" t="s">
        <v>0</v>
      </c>
      <c r="B1318" s="2">
        <v>44832</v>
      </c>
      <c r="C1318" s="5" t="s">
        <v>87</v>
      </c>
      <c r="D1318" t="s">
        <v>108</v>
      </c>
      <c r="E1318" t="s">
        <v>109</v>
      </c>
      <c r="F1318" t="s">
        <v>4</v>
      </c>
      <c r="G1318" t="s">
        <v>5</v>
      </c>
      <c r="H1318" s="3">
        <v>-612.42999999999995</v>
      </c>
      <c r="I1318" t="s">
        <v>2233</v>
      </c>
      <c r="J1318" t="s">
        <v>2165</v>
      </c>
      <c r="K1318" t="s">
        <v>8</v>
      </c>
      <c r="L1318" t="s">
        <v>8</v>
      </c>
      <c r="M1318" t="s">
        <v>8</v>
      </c>
      <c r="N1318" t="s">
        <v>88</v>
      </c>
      <c r="O1318" t="s">
        <v>57</v>
      </c>
      <c r="P1318" t="s">
        <v>164</v>
      </c>
    </row>
    <row r="1319" spans="1:16" x14ac:dyDescent="0.25">
      <c r="A1319" t="s">
        <v>0</v>
      </c>
      <c r="B1319" s="2">
        <v>44832</v>
      </c>
      <c r="C1319" s="5" t="s">
        <v>87</v>
      </c>
      <c r="D1319" t="s">
        <v>108</v>
      </c>
      <c r="E1319" t="s">
        <v>109</v>
      </c>
      <c r="F1319" t="s">
        <v>4</v>
      </c>
      <c r="G1319" t="s">
        <v>5</v>
      </c>
      <c r="H1319" s="3">
        <v>-819.23</v>
      </c>
      <c r="I1319" t="s">
        <v>2218</v>
      </c>
      <c r="J1319" t="s">
        <v>2165</v>
      </c>
      <c r="K1319" t="s">
        <v>8</v>
      </c>
      <c r="L1319" t="s">
        <v>8</v>
      </c>
      <c r="M1319" t="s">
        <v>8</v>
      </c>
      <c r="N1319" t="s">
        <v>88</v>
      </c>
      <c r="O1319" t="s">
        <v>57</v>
      </c>
      <c r="P1319" t="s">
        <v>2239</v>
      </c>
    </row>
    <row r="1320" spans="1:16" x14ac:dyDescent="0.25">
      <c r="A1320" t="s">
        <v>0</v>
      </c>
      <c r="B1320" s="2">
        <v>44832</v>
      </c>
      <c r="C1320" s="5" t="s">
        <v>87</v>
      </c>
      <c r="D1320" t="s">
        <v>2191</v>
      </c>
      <c r="E1320" t="s">
        <v>2192</v>
      </c>
      <c r="F1320" t="s">
        <v>4</v>
      </c>
      <c r="G1320" t="s">
        <v>5</v>
      </c>
      <c r="H1320" s="3">
        <v>-853.97</v>
      </c>
      <c r="I1320" t="s">
        <v>2217</v>
      </c>
      <c r="J1320" t="s">
        <v>2165</v>
      </c>
      <c r="K1320" t="s">
        <v>8</v>
      </c>
      <c r="L1320" t="s">
        <v>8</v>
      </c>
      <c r="M1320" t="s">
        <v>8</v>
      </c>
      <c r="N1320" t="s">
        <v>88</v>
      </c>
      <c r="O1320" t="s">
        <v>57</v>
      </c>
      <c r="P1320" t="s">
        <v>2242</v>
      </c>
    </row>
    <row r="1321" spans="1:16" x14ac:dyDescent="0.25">
      <c r="A1321" t="s">
        <v>0</v>
      </c>
      <c r="B1321" s="2">
        <v>44832</v>
      </c>
      <c r="C1321" s="5" t="s">
        <v>87</v>
      </c>
      <c r="D1321" t="s">
        <v>1207</v>
      </c>
      <c r="E1321" t="s">
        <v>1208</v>
      </c>
      <c r="F1321" t="s">
        <v>4</v>
      </c>
      <c r="G1321" t="s">
        <v>5</v>
      </c>
      <c r="H1321" s="3">
        <v>-1085.03</v>
      </c>
      <c r="I1321" t="s">
        <v>2244</v>
      </c>
      <c r="J1321" t="s">
        <v>2165</v>
      </c>
      <c r="K1321" t="s">
        <v>8</v>
      </c>
      <c r="L1321" t="s">
        <v>8</v>
      </c>
      <c r="M1321" t="s">
        <v>8</v>
      </c>
      <c r="N1321" t="s">
        <v>88</v>
      </c>
      <c r="O1321" t="s">
        <v>57</v>
      </c>
      <c r="P1321" t="s">
        <v>2245</v>
      </c>
    </row>
    <row r="1322" spans="1:16" x14ac:dyDescent="0.25">
      <c r="A1322" t="s">
        <v>0</v>
      </c>
      <c r="B1322" s="2">
        <v>44833</v>
      </c>
      <c r="C1322" t="s">
        <v>87</v>
      </c>
      <c r="D1322" t="s">
        <v>266</v>
      </c>
      <c r="E1322" t="s">
        <v>267</v>
      </c>
      <c r="F1322" t="s">
        <v>4</v>
      </c>
      <c r="G1322" t="s">
        <v>5</v>
      </c>
      <c r="H1322" s="3">
        <v>22278.37</v>
      </c>
      <c r="I1322" t="s">
        <v>268</v>
      </c>
      <c r="J1322" t="s">
        <v>8</v>
      </c>
      <c r="K1322" t="s">
        <v>269</v>
      </c>
      <c r="L1322" t="s">
        <v>8</v>
      </c>
      <c r="M1322" t="s">
        <v>270</v>
      </c>
      <c r="N1322" t="s">
        <v>277</v>
      </c>
      <c r="O1322" t="s">
        <v>272</v>
      </c>
      <c r="P1322" t="s">
        <v>12</v>
      </c>
    </row>
    <row r="1323" spans="1:16" x14ac:dyDescent="0.25">
      <c r="A1323" t="s">
        <v>0</v>
      </c>
      <c r="B1323" s="2">
        <v>44833</v>
      </c>
      <c r="C1323" t="s">
        <v>87</v>
      </c>
      <c r="D1323" t="s">
        <v>266</v>
      </c>
      <c r="E1323" t="s">
        <v>267</v>
      </c>
      <c r="F1323" t="s">
        <v>4</v>
      </c>
      <c r="G1323" t="s">
        <v>5</v>
      </c>
      <c r="H1323" s="3">
        <v>21888.35</v>
      </c>
      <c r="I1323" t="s">
        <v>268</v>
      </c>
      <c r="J1323" t="s">
        <v>8</v>
      </c>
      <c r="K1323" t="s">
        <v>290</v>
      </c>
      <c r="L1323" t="s">
        <v>8</v>
      </c>
      <c r="M1323" t="s">
        <v>270</v>
      </c>
      <c r="N1323" t="s">
        <v>291</v>
      </c>
      <c r="O1323" t="s">
        <v>272</v>
      </c>
      <c r="P1323" t="s">
        <v>12</v>
      </c>
    </row>
    <row r="1324" spans="1:16" x14ac:dyDescent="0.25">
      <c r="A1324" t="s">
        <v>0</v>
      </c>
      <c r="B1324" s="2">
        <v>44833</v>
      </c>
      <c r="C1324" s="5" t="s">
        <v>87</v>
      </c>
      <c r="D1324" t="s">
        <v>294</v>
      </c>
      <c r="E1324" t="s">
        <v>295</v>
      </c>
      <c r="F1324" t="s">
        <v>4</v>
      </c>
      <c r="G1324" t="s">
        <v>5</v>
      </c>
      <c r="H1324" s="3">
        <v>5251.73</v>
      </c>
      <c r="I1324" t="s">
        <v>684</v>
      </c>
      <c r="J1324" t="s">
        <v>297</v>
      </c>
      <c r="K1324" t="s">
        <v>8</v>
      </c>
      <c r="L1324" t="s">
        <v>685</v>
      </c>
      <c r="M1324" t="s">
        <v>8</v>
      </c>
      <c r="N1324" t="s">
        <v>686</v>
      </c>
      <c r="O1324" t="s">
        <v>524</v>
      </c>
      <c r="P1324" t="s">
        <v>17</v>
      </c>
    </row>
    <row r="1325" spans="1:16" x14ac:dyDescent="0.25">
      <c r="A1325" t="s">
        <v>0</v>
      </c>
      <c r="B1325" s="2">
        <v>44833</v>
      </c>
      <c r="C1325" s="5" t="s">
        <v>87</v>
      </c>
      <c r="D1325" t="s">
        <v>266</v>
      </c>
      <c r="E1325" t="s">
        <v>267</v>
      </c>
      <c r="F1325" t="s">
        <v>4</v>
      </c>
      <c r="G1325" t="s">
        <v>5</v>
      </c>
      <c r="H1325" s="3">
        <v>2236.21</v>
      </c>
      <c r="I1325" t="s">
        <v>268</v>
      </c>
      <c r="J1325" t="s">
        <v>8</v>
      </c>
      <c r="K1325" t="s">
        <v>932</v>
      </c>
      <c r="L1325" t="s">
        <v>8</v>
      </c>
      <c r="M1325" t="s">
        <v>270</v>
      </c>
      <c r="N1325" t="s">
        <v>934</v>
      </c>
      <c r="O1325" t="s">
        <v>272</v>
      </c>
      <c r="P1325" t="s">
        <v>12</v>
      </c>
    </row>
    <row r="1326" spans="1:16" x14ac:dyDescent="0.25">
      <c r="A1326" t="s">
        <v>0</v>
      </c>
      <c r="B1326" s="2">
        <v>44833</v>
      </c>
      <c r="C1326" s="5" t="s">
        <v>87</v>
      </c>
      <c r="D1326" t="s">
        <v>266</v>
      </c>
      <c r="E1326" t="s">
        <v>267</v>
      </c>
      <c r="F1326" t="s">
        <v>4</v>
      </c>
      <c r="G1326" t="s">
        <v>5</v>
      </c>
      <c r="H1326" s="3">
        <v>1661.97</v>
      </c>
      <c r="I1326" t="s">
        <v>268</v>
      </c>
      <c r="J1326" t="s">
        <v>8</v>
      </c>
      <c r="K1326" t="s">
        <v>767</v>
      </c>
      <c r="L1326" t="s">
        <v>8</v>
      </c>
      <c r="M1326" t="s">
        <v>270</v>
      </c>
      <c r="N1326" t="s">
        <v>1055</v>
      </c>
      <c r="O1326" t="s">
        <v>272</v>
      </c>
      <c r="P1326" t="s">
        <v>12</v>
      </c>
    </row>
    <row r="1327" spans="1:16" x14ac:dyDescent="0.25">
      <c r="A1327" t="s">
        <v>0</v>
      </c>
      <c r="B1327" s="2">
        <v>44833</v>
      </c>
      <c r="C1327" s="5" t="s">
        <v>87</v>
      </c>
      <c r="D1327" t="s">
        <v>301</v>
      </c>
      <c r="E1327" t="s">
        <v>302</v>
      </c>
      <c r="F1327" t="s">
        <v>4</v>
      </c>
      <c r="G1327" t="s">
        <v>5</v>
      </c>
      <c r="H1327" s="3">
        <v>1564.21</v>
      </c>
      <c r="I1327" t="s">
        <v>268</v>
      </c>
      <c r="J1327" t="s">
        <v>8</v>
      </c>
      <c r="K1327" t="s">
        <v>826</v>
      </c>
      <c r="L1327" t="s">
        <v>8</v>
      </c>
      <c r="M1327" t="s">
        <v>270</v>
      </c>
      <c r="N1327" t="s">
        <v>1070</v>
      </c>
      <c r="O1327" t="s">
        <v>272</v>
      </c>
      <c r="P1327" t="s">
        <v>43</v>
      </c>
    </row>
    <row r="1328" spans="1:16" x14ac:dyDescent="0.25">
      <c r="A1328" t="s">
        <v>0</v>
      </c>
      <c r="B1328" s="2">
        <v>44833</v>
      </c>
      <c r="C1328" s="5" t="s">
        <v>87</v>
      </c>
      <c r="D1328" t="s">
        <v>301</v>
      </c>
      <c r="E1328" t="s">
        <v>302</v>
      </c>
      <c r="F1328" t="s">
        <v>4</v>
      </c>
      <c r="G1328" t="s">
        <v>5</v>
      </c>
      <c r="H1328" s="3">
        <v>1211.31</v>
      </c>
      <c r="I1328" t="s">
        <v>268</v>
      </c>
      <c r="J1328" t="s">
        <v>8</v>
      </c>
      <c r="K1328" t="s">
        <v>890</v>
      </c>
      <c r="L1328" t="s">
        <v>8</v>
      </c>
      <c r="M1328" t="s">
        <v>270</v>
      </c>
      <c r="N1328" t="s">
        <v>1147</v>
      </c>
      <c r="O1328" t="s">
        <v>272</v>
      </c>
      <c r="P1328" t="s">
        <v>30</v>
      </c>
    </row>
    <row r="1329" spans="1:16" x14ac:dyDescent="0.25">
      <c r="A1329" t="s">
        <v>0</v>
      </c>
      <c r="B1329" s="2">
        <v>44833</v>
      </c>
      <c r="C1329" s="5" t="s">
        <v>87</v>
      </c>
      <c r="D1329" t="s">
        <v>301</v>
      </c>
      <c r="E1329" t="s">
        <v>302</v>
      </c>
      <c r="F1329" t="s">
        <v>4</v>
      </c>
      <c r="G1329" t="s">
        <v>5</v>
      </c>
      <c r="H1329" s="3">
        <v>1136.58</v>
      </c>
      <c r="I1329" t="s">
        <v>268</v>
      </c>
      <c r="J1329" t="s">
        <v>8</v>
      </c>
      <c r="K1329" t="s">
        <v>1167</v>
      </c>
      <c r="L1329" t="s">
        <v>8</v>
      </c>
      <c r="M1329" t="s">
        <v>270</v>
      </c>
      <c r="N1329" t="s">
        <v>1174</v>
      </c>
      <c r="O1329" t="s">
        <v>272</v>
      </c>
      <c r="P1329" t="s">
        <v>43</v>
      </c>
    </row>
    <row r="1330" spans="1:16" x14ac:dyDescent="0.25">
      <c r="A1330" t="s">
        <v>0</v>
      </c>
      <c r="B1330" s="2">
        <v>44833</v>
      </c>
      <c r="C1330" s="5" t="s">
        <v>87</v>
      </c>
      <c r="D1330" t="s">
        <v>266</v>
      </c>
      <c r="E1330" t="s">
        <v>267</v>
      </c>
      <c r="F1330" t="s">
        <v>4</v>
      </c>
      <c r="G1330" t="s">
        <v>5</v>
      </c>
      <c r="H1330" s="3">
        <v>896.03</v>
      </c>
      <c r="I1330" t="s">
        <v>268</v>
      </c>
      <c r="J1330" t="s">
        <v>8</v>
      </c>
      <c r="K1330" t="s">
        <v>1240</v>
      </c>
      <c r="L1330" t="s">
        <v>8</v>
      </c>
      <c r="M1330" t="s">
        <v>270</v>
      </c>
      <c r="N1330" t="s">
        <v>1280</v>
      </c>
      <c r="O1330" t="s">
        <v>272</v>
      </c>
      <c r="P1330" t="s">
        <v>22</v>
      </c>
    </row>
    <row r="1331" spans="1:16" x14ac:dyDescent="0.25">
      <c r="A1331" t="s">
        <v>0</v>
      </c>
      <c r="B1331" s="2">
        <v>44833</v>
      </c>
      <c r="C1331" s="5" t="s">
        <v>87</v>
      </c>
      <c r="D1331" t="s">
        <v>301</v>
      </c>
      <c r="E1331" t="s">
        <v>302</v>
      </c>
      <c r="F1331" t="s">
        <v>4</v>
      </c>
      <c r="G1331" t="s">
        <v>5</v>
      </c>
      <c r="H1331" s="3">
        <v>547.85</v>
      </c>
      <c r="I1331" t="s">
        <v>268</v>
      </c>
      <c r="J1331" t="s">
        <v>8</v>
      </c>
      <c r="K1331" t="s">
        <v>1191</v>
      </c>
      <c r="L1331" t="s">
        <v>8</v>
      </c>
      <c r="M1331" t="s">
        <v>270</v>
      </c>
      <c r="N1331" t="s">
        <v>1448</v>
      </c>
      <c r="O1331" t="s">
        <v>272</v>
      </c>
      <c r="P1331" t="s">
        <v>82</v>
      </c>
    </row>
    <row r="1332" spans="1:16" x14ac:dyDescent="0.25">
      <c r="A1332" t="s">
        <v>0</v>
      </c>
      <c r="B1332" s="2">
        <v>44833</v>
      </c>
      <c r="C1332" s="5" t="s">
        <v>87</v>
      </c>
      <c r="D1332" t="s">
        <v>301</v>
      </c>
      <c r="E1332" t="s">
        <v>302</v>
      </c>
      <c r="F1332" t="s">
        <v>4</v>
      </c>
      <c r="G1332" t="s">
        <v>5</v>
      </c>
      <c r="H1332" s="3">
        <v>-2236.21</v>
      </c>
      <c r="I1332" t="s">
        <v>268</v>
      </c>
      <c r="J1332" t="s">
        <v>8</v>
      </c>
      <c r="K1332" t="s">
        <v>932</v>
      </c>
      <c r="L1332" t="s">
        <v>8</v>
      </c>
      <c r="M1332" t="s">
        <v>270</v>
      </c>
      <c r="N1332" t="s">
        <v>934</v>
      </c>
      <c r="O1332" t="s">
        <v>272</v>
      </c>
      <c r="P1332" t="s">
        <v>43</v>
      </c>
    </row>
    <row r="1333" spans="1:16" x14ac:dyDescent="0.25">
      <c r="A1333" t="s">
        <v>0</v>
      </c>
      <c r="B1333" s="2">
        <v>44833</v>
      </c>
      <c r="C1333" s="5" t="s">
        <v>87</v>
      </c>
      <c r="D1333" t="s">
        <v>301</v>
      </c>
      <c r="E1333" t="s">
        <v>302</v>
      </c>
      <c r="F1333" t="s">
        <v>4</v>
      </c>
      <c r="G1333" t="s">
        <v>5</v>
      </c>
      <c r="H1333" s="3">
        <v>-11820.04</v>
      </c>
      <c r="I1333" t="s">
        <v>268</v>
      </c>
      <c r="J1333" t="s">
        <v>8</v>
      </c>
      <c r="K1333" t="s">
        <v>269</v>
      </c>
      <c r="L1333" t="s">
        <v>8</v>
      </c>
      <c r="M1333" t="s">
        <v>270</v>
      </c>
      <c r="N1333" t="s">
        <v>277</v>
      </c>
      <c r="O1333" t="s">
        <v>272</v>
      </c>
      <c r="P1333" t="s">
        <v>43</v>
      </c>
    </row>
    <row r="1334" spans="1:16" x14ac:dyDescent="0.25">
      <c r="A1334" t="s">
        <v>0</v>
      </c>
      <c r="B1334" s="2">
        <v>44833</v>
      </c>
      <c r="C1334" s="5" t="s">
        <v>87</v>
      </c>
      <c r="D1334" t="s">
        <v>301</v>
      </c>
      <c r="E1334" t="s">
        <v>302</v>
      </c>
      <c r="F1334" t="s">
        <v>4</v>
      </c>
      <c r="G1334" t="s">
        <v>5</v>
      </c>
      <c r="H1334" s="3">
        <v>-15069.6</v>
      </c>
      <c r="I1334" t="s">
        <v>268</v>
      </c>
      <c r="J1334" t="s">
        <v>8</v>
      </c>
      <c r="K1334" t="s">
        <v>290</v>
      </c>
      <c r="L1334" t="s">
        <v>8</v>
      </c>
      <c r="M1334" t="s">
        <v>270</v>
      </c>
      <c r="N1334" t="s">
        <v>291</v>
      </c>
      <c r="O1334" t="s">
        <v>272</v>
      </c>
      <c r="P1334" t="s">
        <v>43</v>
      </c>
    </row>
    <row r="1335" spans="1:16" x14ac:dyDescent="0.25">
      <c r="A1335" t="s">
        <v>0</v>
      </c>
      <c r="B1335" s="2">
        <v>44834</v>
      </c>
      <c r="C1335" t="s">
        <v>87</v>
      </c>
      <c r="D1335" t="s">
        <v>90</v>
      </c>
      <c r="E1335" t="s">
        <v>91</v>
      </c>
      <c r="F1335" t="s">
        <v>4</v>
      </c>
      <c r="G1335" t="s">
        <v>5</v>
      </c>
      <c r="H1335" s="3">
        <v>97364.81</v>
      </c>
      <c r="I1335" t="s">
        <v>92</v>
      </c>
      <c r="J1335" t="s">
        <v>93</v>
      </c>
      <c r="K1335" t="s">
        <v>8</v>
      </c>
      <c r="L1335" t="s">
        <v>8</v>
      </c>
      <c r="M1335" t="s">
        <v>8</v>
      </c>
      <c r="N1335" t="s">
        <v>94</v>
      </c>
      <c r="O1335" t="s">
        <v>95</v>
      </c>
      <c r="P1335" t="s">
        <v>87</v>
      </c>
    </row>
    <row r="1336" spans="1:16" x14ac:dyDescent="0.25">
      <c r="A1336" t="s">
        <v>0</v>
      </c>
      <c r="B1336" s="2">
        <v>44834</v>
      </c>
      <c r="C1336" t="s">
        <v>87</v>
      </c>
      <c r="D1336" t="s">
        <v>108</v>
      </c>
      <c r="E1336" t="s">
        <v>109</v>
      </c>
      <c r="F1336" t="s">
        <v>4</v>
      </c>
      <c r="G1336" t="s">
        <v>5</v>
      </c>
      <c r="H1336" s="3">
        <v>67842.05</v>
      </c>
      <c r="I1336" t="s">
        <v>131</v>
      </c>
      <c r="J1336" t="s">
        <v>109</v>
      </c>
      <c r="K1336" t="s">
        <v>8</v>
      </c>
      <c r="L1336" t="s">
        <v>8</v>
      </c>
      <c r="M1336" t="s">
        <v>8</v>
      </c>
      <c r="N1336" t="s">
        <v>132</v>
      </c>
      <c r="O1336" t="s">
        <v>112</v>
      </c>
      <c r="P1336" t="s">
        <v>133</v>
      </c>
    </row>
    <row r="1337" spans="1:16" x14ac:dyDescent="0.25">
      <c r="A1337" t="s">
        <v>0</v>
      </c>
      <c r="B1337" s="2">
        <v>44834</v>
      </c>
      <c r="C1337" t="s">
        <v>87</v>
      </c>
      <c r="D1337" t="s">
        <v>185</v>
      </c>
      <c r="E1337" t="s">
        <v>186</v>
      </c>
      <c r="F1337" t="s">
        <v>4</v>
      </c>
      <c r="G1337" t="s">
        <v>5</v>
      </c>
      <c r="H1337" s="3">
        <v>28230.5</v>
      </c>
      <c r="I1337" t="s">
        <v>196</v>
      </c>
      <c r="J1337" t="s">
        <v>188</v>
      </c>
      <c r="K1337" t="s">
        <v>8</v>
      </c>
      <c r="L1337" t="s">
        <v>8</v>
      </c>
      <c r="M1337" t="s">
        <v>8</v>
      </c>
      <c r="N1337" t="s">
        <v>197</v>
      </c>
      <c r="O1337" t="s">
        <v>95</v>
      </c>
      <c r="P1337" t="s">
        <v>198</v>
      </c>
    </row>
    <row r="1338" spans="1:16" x14ac:dyDescent="0.25">
      <c r="A1338" t="s">
        <v>0</v>
      </c>
      <c r="B1338" s="2">
        <v>44834</v>
      </c>
      <c r="C1338" t="s">
        <v>87</v>
      </c>
      <c r="D1338" t="s">
        <v>241</v>
      </c>
      <c r="E1338" t="s">
        <v>242</v>
      </c>
      <c r="F1338" t="s">
        <v>4</v>
      </c>
      <c r="G1338" t="s">
        <v>5</v>
      </c>
      <c r="H1338" s="3">
        <v>23411.97</v>
      </c>
      <c r="I1338" t="s">
        <v>243</v>
      </c>
      <c r="J1338" t="s">
        <v>244</v>
      </c>
      <c r="K1338" t="s">
        <v>8</v>
      </c>
      <c r="L1338" t="s">
        <v>8</v>
      </c>
      <c r="M1338" t="s">
        <v>8</v>
      </c>
      <c r="N1338" t="s">
        <v>245</v>
      </c>
      <c r="O1338" t="s">
        <v>95</v>
      </c>
      <c r="P1338" t="s">
        <v>246</v>
      </c>
    </row>
    <row r="1339" spans="1:16" x14ac:dyDescent="0.25">
      <c r="A1339" t="s">
        <v>0</v>
      </c>
      <c r="B1339" s="2">
        <v>44834</v>
      </c>
      <c r="C1339" t="s">
        <v>87</v>
      </c>
      <c r="D1339" t="s">
        <v>229</v>
      </c>
      <c r="E1339" t="s">
        <v>230</v>
      </c>
      <c r="F1339" t="s">
        <v>4</v>
      </c>
      <c r="G1339" t="s">
        <v>5</v>
      </c>
      <c r="H1339" s="3">
        <v>22438.94</v>
      </c>
      <c r="I1339" t="s">
        <v>231</v>
      </c>
      <c r="J1339" t="s">
        <v>232</v>
      </c>
      <c r="K1339" t="s">
        <v>8</v>
      </c>
      <c r="L1339" t="s">
        <v>8</v>
      </c>
      <c r="M1339" t="s">
        <v>8</v>
      </c>
      <c r="N1339" t="s">
        <v>260</v>
      </c>
      <c r="O1339" t="s">
        <v>234</v>
      </c>
      <c r="P1339" t="s">
        <v>261</v>
      </c>
    </row>
    <row r="1340" spans="1:16" x14ac:dyDescent="0.25">
      <c r="A1340" t="s">
        <v>0</v>
      </c>
      <c r="B1340" s="2">
        <v>44834</v>
      </c>
      <c r="C1340" t="s">
        <v>87</v>
      </c>
      <c r="D1340" t="s">
        <v>333</v>
      </c>
      <c r="E1340" t="s">
        <v>334</v>
      </c>
      <c r="F1340" t="s">
        <v>4</v>
      </c>
      <c r="G1340" t="s">
        <v>5</v>
      </c>
      <c r="H1340" s="3">
        <v>14459.13</v>
      </c>
      <c r="I1340" t="s">
        <v>356</v>
      </c>
      <c r="J1340" t="s">
        <v>248</v>
      </c>
      <c r="K1340" t="s">
        <v>8</v>
      </c>
      <c r="L1340" t="s">
        <v>8</v>
      </c>
      <c r="M1340" t="s">
        <v>8</v>
      </c>
      <c r="N1340" t="s">
        <v>357</v>
      </c>
      <c r="O1340" t="s">
        <v>95</v>
      </c>
      <c r="P1340" t="s">
        <v>342</v>
      </c>
    </row>
    <row r="1341" spans="1:16" x14ac:dyDescent="0.25">
      <c r="A1341" t="s">
        <v>0</v>
      </c>
      <c r="B1341" s="2">
        <v>44834</v>
      </c>
      <c r="C1341" s="5" t="s">
        <v>87</v>
      </c>
      <c r="D1341" t="s">
        <v>794</v>
      </c>
      <c r="E1341" t="s">
        <v>795</v>
      </c>
      <c r="F1341" t="s">
        <v>4</v>
      </c>
      <c r="G1341" t="s">
        <v>5</v>
      </c>
      <c r="H1341" s="3">
        <v>3396.14</v>
      </c>
      <c r="I1341" t="s">
        <v>796</v>
      </c>
      <c r="J1341" t="s">
        <v>232</v>
      </c>
      <c r="K1341" t="s">
        <v>8</v>
      </c>
      <c r="L1341" t="s">
        <v>8</v>
      </c>
      <c r="M1341" t="s">
        <v>8</v>
      </c>
      <c r="N1341" t="s">
        <v>260</v>
      </c>
      <c r="O1341" t="s">
        <v>234</v>
      </c>
      <c r="P1341" t="s">
        <v>797</v>
      </c>
    </row>
    <row r="1342" spans="1:16" x14ac:dyDescent="0.25">
      <c r="A1342" t="s">
        <v>0</v>
      </c>
      <c r="B1342" s="2">
        <v>44834</v>
      </c>
      <c r="C1342" s="5" t="s">
        <v>87</v>
      </c>
      <c r="D1342" t="s">
        <v>390</v>
      </c>
      <c r="E1342" t="s">
        <v>391</v>
      </c>
      <c r="F1342" t="s">
        <v>4</v>
      </c>
      <c r="G1342" t="s">
        <v>5</v>
      </c>
      <c r="H1342" s="3">
        <v>3211.57</v>
      </c>
      <c r="I1342" t="s">
        <v>808</v>
      </c>
      <c r="J1342" t="s">
        <v>809</v>
      </c>
      <c r="K1342" t="s">
        <v>8</v>
      </c>
      <c r="L1342" t="s">
        <v>812</v>
      </c>
      <c r="M1342" t="s">
        <v>8</v>
      </c>
      <c r="N1342" t="s">
        <v>813</v>
      </c>
      <c r="O1342" t="s">
        <v>29</v>
      </c>
      <c r="P1342" t="s">
        <v>1</v>
      </c>
    </row>
    <row r="1343" spans="1:16" x14ac:dyDescent="0.25">
      <c r="A1343" t="s">
        <v>0</v>
      </c>
      <c r="B1343" s="2">
        <v>44834</v>
      </c>
      <c r="C1343" s="5" t="s">
        <v>87</v>
      </c>
      <c r="D1343" t="s">
        <v>881</v>
      </c>
      <c r="E1343" t="s">
        <v>882</v>
      </c>
      <c r="F1343" t="s">
        <v>4</v>
      </c>
      <c r="G1343" t="s">
        <v>5</v>
      </c>
      <c r="H1343" s="3">
        <v>2497.4699999999998</v>
      </c>
      <c r="I1343" t="s">
        <v>883</v>
      </c>
      <c r="J1343" t="s">
        <v>109</v>
      </c>
      <c r="K1343" t="s">
        <v>8</v>
      </c>
      <c r="L1343" t="s">
        <v>8</v>
      </c>
      <c r="M1343" t="s">
        <v>8</v>
      </c>
      <c r="N1343" t="s">
        <v>132</v>
      </c>
      <c r="O1343" t="s">
        <v>112</v>
      </c>
      <c r="P1343" t="s">
        <v>884</v>
      </c>
    </row>
    <row r="1344" spans="1:16" x14ac:dyDescent="0.25">
      <c r="A1344" t="s">
        <v>0</v>
      </c>
      <c r="B1344" s="2">
        <v>44834</v>
      </c>
      <c r="C1344" s="5" t="s">
        <v>87</v>
      </c>
      <c r="D1344" t="s">
        <v>1003</v>
      </c>
      <c r="E1344" t="s">
        <v>1004</v>
      </c>
      <c r="F1344" t="s">
        <v>4</v>
      </c>
      <c r="G1344" t="s">
        <v>5</v>
      </c>
      <c r="H1344" s="3">
        <v>1793.55</v>
      </c>
      <c r="I1344" t="s">
        <v>92</v>
      </c>
      <c r="J1344" t="s">
        <v>93</v>
      </c>
      <c r="K1344" t="s">
        <v>8</v>
      </c>
      <c r="L1344" t="s">
        <v>8</v>
      </c>
      <c r="M1344" t="s">
        <v>8</v>
      </c>
      <c r="N1344" t="s">
        <v>94</v>
      </c>
      <c r="O1344" t="s">
        <v>95</v>
      </c>
      <c r="P1344" t="s">
        <v>843</v>
      </c>
    </row>
    <row r="1345" spans="1:16" x14ac:dyDescent="0.25">
      <c r="A1345" t="s">
        <v>0</v>
      </c>
      <c r="B1345" s="2">
        <v>44834</v>
      </c>
      <c r="C1345" s="5" t="s">
        <v>87</v>
      </c>
      <c r="D1345" t="s">
        <v>108</v>
      </c>
      <c r="E1345" t="s">
        <v>109</v>
      </c>
      <c r="F1345" t="s">
        <v>4</v>
      </c>
      <c r="G1345" t="s">
        <v>5</v>
      </c>
      <c r="H1345" s="3">
        <v>1377.42</v>
      </c>
      <c r="I1345" t="s">
        <v>1117</v>
      </c>
      <c r="J1345" t="s">
        <v>109</v>
      </c>
      <c r="K1345" t="s">
        <v>8</v>
      </c>
      <c r="L1345" t="s">
        <v>8</v>
      </c>
      <c r="M1345" t="s">
        <v>8</v>
      </c>
      <c r="N1345" t="s">
        <v>132</v>
      </c>
      <c r="O1345" t="s">
        <v>112</v>
      </c>
      <c r="P1345" t="s">
        <v>1118</v>
      </c>
    </row>
    <row r="1346" spans="1:16" x14ac:dyDescent="0.25">
      <c r="A1346" t="s">
        <v>0</v>
      </c>
      <c r="B1346" s="2">
        <v>44834</v>
      </c>
      <c r="C1346" s="5" t="s">
        <v>87</v>
      </c>
      <c r="D1346" t="s">
        <v>644</v>
      </c>
      <c r="E1346" t="s">
        <v>645</v>
      </c>
      <c r="F1346" t="s">
        <v>4</v>
      </c>
      <c r="G1346" t="s">
        <v>5</v>
      </c>
      <c r="H1346" s="3">
        <v>1143.9100000000001</v>
      </c>
      <c r="I1346" t="s">
        <v>1163</v>
      </c>
      <c r="J1346" t="s">
        <v>109</v>
      </c>
      <c r="K1346" t="s">
        <v>8</v>
      </c>
      <c r="L1346" t="s">
        <v>8</v>
      </c>
      <c r="M1346" t="s">
        <v>8</v>
      </c>
      <c r="N1346" t="s">
        <v>132</v>
      </c>
      <c r="O1346" t="s">
        <v>112</v>
      </c>
      <c r="P1346" t="s">
        <v>1164</v>
      </c>
    </row>
    <row r="1347" spans="1:16" x14ac:dyDescent="0.25">
      <c r="A1347" t="s">
        <v>0</v>
      </c>
      <c r="B1347" s="2">
        <v>44834</v>
      </c>
      <c r="C1347" s="5" t="s">
        <v>87</v>
      </c>
      <c r="D1347" t="s">
        <v>1839</v>
      </c>
      <c r="E1347" t="s">
        <v>1840</v>
      </c>
      <c r="F1347" t="s">
        <v>4</v>
      </c>
      <c r="G1347" t="s">
        <v>5</v>
      </c>
      <c r="H1347" s="3">
        <v>152.91</v>
      </c>
      <c r="I1347" t="s">
        <v>356</v>
      </c>
      <c r="J1347" t="s">
        <v>248</v>
      </c>
      <c r="K1347" t="s">
        <v>8</v>
      </c>
      <c r="L1347" t="s">
        <v>8</v>
      </c>
      <c r="M1347" t="s">
        <v>8</v>
      </c>
      <c r="N1347" t="s">
        <v>357</v>
      </c>
      <c r="O1347" t="s">
        <v>95</v>
      </c>
      <c r="P1347" t="s">
        <v>72</v>
      </c>
    </row>
    <row r="1348" spans="1:16" x14ac:dyDescent="0.25">
      <c r="A1348" t="s">
        <v>0</v>
      </c>
      <c r="B1348" s="2">
        <v>44834</v>
      </c>
      <c r="C1348" s="5" t="s">
        <v>87</v>
      </c>
      <c r="D1348" t="s">
        <v>152</v>
      </c>
      <c r="E1348" t="s">
        <v>153</v>
      </c>
      <c r="F1348" t="s">
        <v>4</v>
      </c>
      <c r="G1348" t="s">
        <v>5</v>
      </c>
      <c r="H1348" s="3">
        <v>51.28</v>
      </c>
      <c r="I1348" t="s">
        <v>2046</v>
      </c>
      <c r="J1348" t="s">
        <v>322</v>
      </c>
      <c r="K1348" t="s">
        <v>8</v>
      </c>
      <c r="L1348" t="s">
        <v>8</v>
      </c>
      <c r="M1348" t="s">
        <v>8</v>
      </c>
      <c r="N1348" t="s">
        <v>2047</v>
      </c>
      <c r="O1348" t="s">
        <v>112</v>
      </c>
      <c r="P1348" t="s">
        <v>324</v>
      </c>
    </row>
    <row r="1349" spans="1:16" x14ac:dyDescent="0.25">
      <c r="A1349" t="s">
        <v>0</v>
      </c>
      <c r="B1349" s="2">
        <v>44834</v>
      </c>
      <c r="C1349" s="5" t="s">
        <v>87</v>
      </c>
      <c r="D1349" t="s">
        <v>2169</v>
      </c>
      <c r="E1349" t="s">
        <v>2170</v>
      </c>
      <c r="F1349" t="s">
        <v>4</v>
      </c>
      <c r="G1349" t="s">
        <v>5</v>
      </c>
      <c r="H1349" s="3">
        <v>-16.04</v>
      </c>
      <c r="I1349" t="s">
        <v>2171</v>
      </c>
      <c r="J1349" t="s">
        <v>2172</v>
      </c>
      <c r="K1349" t="s">
        <v>8</v>
      </c>
      <c r="L1349" t="s">
        <v>8</v>
      </c>
      <c r="M1349" t="s">
        <v>8</v>
      </c>
      <c r="N1349" t="s">
        <v>2173</v>
      </c>
      <c r="O1349" t="s">
        <v>2174</v>
      </c>
      <c r="P1349" t="s">
        <v>614</v>
      </c>
    </row>
    <row r="1350" spans="1:16" x14ac:dyDescent="0.25">
      <c r="A1350" t="s">
        <v>0</v>
      </c>
      <c r="B1350" s="2">
        <v>44834</v>
      </c>
      <c r="C1350" s="5" t="s">
        <v>87</v>
      </c>
      <c r="D1350" t="s">
        <v>403</v>
      </c>
      <c r="E1350" t="s">
        <v>404</v>
      </c>
      <c r="F1350" t="s">
        <v>4</v>
      </c>
      <c r="G1350" t="s">
        <v>5</v>
      </c>
      <c r="H1350" s="3">
        <v>-10242.73</v>
      </c>
      <c r="I1350" t="s">
        <v>2274</v>
      </c>
      <c r="J1350" t="s">
        <v>406</v>
      </c>
      <c r="K1350" t="s">
        <v>8</v>
      </c>
      <c r="L1350" t="s">
        <v>8</v>
      </c>
      <c r="M1350" t="s">
        <v>8</v>
      </c>
      <c r="N1350" t="s">
        <v>2275</v>
      </c>
      <c r="O1350" t="s">
        <v>408</v>
      </c>
      <c r="P1350" t="s">
        <v>579</v>
      </c>
    </row>
    <row r="1351" spans="1:16" x14ac:dyDescent="0.25">
      <c r="A1351" t="s">
        <v>0</v>
      </c>
      <c r="B1351" s="2">
        <v>44835</v>
      </c>
      <c r="C1351" s="5" t="s">
        <v>87</v>
      </c>
      <c r="D1351" t="s">
        <v>301</v>
      </c>
      <c r="E1351" t="s">
        <v>302</v>
      </c>
      <c r="F1351" t="s">
        <v>4</v>
      </c>
      <c r="G1351" t="s">
        <v>5</v>
      </c>
      <c r="H1351" s="3">
        <v>1550.68</v>
      </c>
      <c r="I1351" t="s">
        <v>268</v>
      </c>
      <c r="J1351" t="s">
        <v>8</v>
      </c>
      <c r="K1351" t="s">
        <v>826</v>
      </c>
      <c r="L1351" t="s">
        <v>8</v>
      </c>
      <c r="M1351" t="s">
        <v>270</v>
      </c>
      <c r="N1351" t="s">
        <v>1072</v>
      </c>
      <c r="O1351" t="s">
        <v>95</v>
      </c>
      <c r="P1351" t="s">
        <v>43</v>
      </c>
    </row>
    <row r="1352" spans="1:16" x14ac:dyDescent="0.25">
      <c r="A1352" t="s">
        <v>0</v>
      </c>
      <c r="B1352" s="2">
        <v>44835</v>
      </c>
      <c r="C1352" s="5" t="s">
        <v>87</v>
      </c>
      <c r="D1352" t="s">
        <v>301</v>
      </c>
      <c r="E1352" t="s">
        <v>302</v>
      </c>
      <c r="F1352" t="s">
        <v>4</v>
      </c>
      <c r="G1352" t="s">
        <v>5</v>
      </c>
      <c r="H1352" s="3">
        <v>1200.83</v>
      </c>
      <c r="I1352" t="s">
        <v>268</v>
      </c>
      <c r="J1352" t="s">
        <v>8</v>
      </c>
      <c r="K1352" t="s">
        <v>890</v>
      </c>
      <c r="L1352" t="s">
        <v>8</v>
      </c>
      <c r="M1352" t="s">
        <v>270</v>
      </c>
      <c r="N1352" t="s">
        <v>1149</v>
      </c>
      <c r="O1352" t="s">
        <v>95</v>
      </c>
      <c r="P1352" t="s">
        <v>30</v>
      </c>
    </row>
    <row r="1353" spans="1:16" x14ac:dyDescent="0.25">
      <c r="A1353" t="s">
        <v>0</v>
      </c>
      <c r="B1353" s="2">
        <v>44835</v>
      </c>
      <c r="C1353" s="5" t="s">
        <v>87</v>
      </c>
      <c r="D1353" t="s">
        <v>301</v>
      </c>
      <c r="E1353" t="s">
        <v>302</v>
      </c>
      <c r="F1353" t="s">
        <v>4</v>
      </c>
      <c r="G1353" t="s">
        <v>5</v>
      </c>
      <c r="H1353" s="3">
        <v>543.11</v>
      </c>
      <c r="I1353" t="s">
        <v>268</v>
      </c>
      <c r="J1353" t="s">
        <v>8</v>
      </c>
      <c r="K1353" t="s">
        <v>1191</v>
      </c>
      <c r="L1353" t="s">
        <v>8</v>
      </c>
      <c r="M1353" t="s">
        <v>270</v>
      </c>
      <c r="N1353" t="s">
        <v>1452</v>
      </c>
      <c r="O1353" t="s">
        <v>95</v>
      </c>
      <c r="P1353" t="s">
        <v>82</v>
      </c>
    </row>
    <row r="1354" spans="1:16" x14ac:dyDescent="0.25">
      <c r="A1354" t="s">
        <v>0</v>
      </c>
      <c r="B1354" s="2">
        <v>44835</v>
      </c>
      <c r="C1354" s="5" t="s">
        <v>87</v>
      </c>
      <c r="D1354" t="s">
        <v>266</v>
      </c>
      <c r="E1354" t="s">
        <v>267</v>
      </c>
      <c r="F1354" t="s">
        <v>4</v>
      </c>
      <c r="G1354" t="s">
        <v>5</v>
      </c>
      <c r="H1354" s="3">
        <v>144.41</v>
      </c>
      <c r="I1354" t="s">
        <v>268</v>
      </c>
      <c r="J1354" t="s">
        <v>8</v>
      </c>
      <c r="K1354" t="s">
        <v>269</v>
      </c>
      <c r="L1354" t="s">
        <v>8</v>
      </c>
      <c r="M1354" t="s">
        <v>270</v>
      </c>
      <c r="N1354" t="s">
        <v>1858</v>
      </c>
      <c r="O1354" t="s">
        <v>95</v>
      </c>
      <c r="P1354" t="s">
        <v>12</v>
      </c>
    </row>
    <row r="1355" spans="1:16" x14ac:dyDescent="0.25">
      <c r="A1355" t="s">
        <v>0</v>
      </c>
      <c r="B1355" s="2">
        <v>44837</v>
      </c>
      <c r="C1355" s="5" t="s">
        <v>30</v>
      </c>
      <c r="D1355" t="s">
        <v>390</v>
      </c>
      <c r="E1355" t="s">
        <v>391</v>
      </c>
      <c r="F1355" t="s">
        <v>4</v>
      </c>
      <c r="G1355" t="s">
        <v>5</v>
      </c>
      <c r="H1355" s="3">
        <v>6626.76</v>
      </c>
      <c r="I1355" t="s">
        <v>602</v>
      </c>
      <c r="J1355" t="s">
        <v>603</v>
      </c>
      <c r="K1355" t="s">
        <v>8</v>
      </c>
      <c r="L1355" t="s">
        <v>604</v>
      </c>
      <c r="M1355" t="s">
        <v>8</v>
      </c>
      <c r="N1355" t="s">
        <v>605</v>
      </c>
      <c r="O1355" t="s">
        <v>450</v>
      </c>
      <c r="P1355" t="s">
        <v>1</v>
      </c>
    </row>
    <row r="1356" spans="1:16" x14ac:dyDescent="0.25">
      <c r="A1356" t="s">
        <v>0</v>
      </c>
      <c r="B1356" s="2">
        <v>44837</v>
      </c>
      <c r="C1356" s="5" t="s">
        <v>30</v>
      </c>
      <c r="D1356" t="s">
        <v>390</v>
      </c>
      <c r="E1356" t="s">
        <v>391</v>
      </c>
      <c r="F1356" t="s">
        <v>4</v>
      </c>
      <c r="G1356" t="s">
        <v>5</v>
      </c>
      <c r="H1356" s="3">
        <v>5281.45</v>
      </c>
      <c r="I1356" t="s">
        <v>602</v>
      </c>
      <c r="J1356" t="s">
        <v>603</v>
      </c>
      <c r="K1356" t="s">
        <v>8</v>
      </c>
      <c r="L1356" t="s">
        <v>604</v>
      </c>
      <c r="M1356" t="s">
        <v>8</v>
      </c>
      <c r="N1356" t="s">
        <v>605</v>
      </c>
      <c r="O1356" t="s">
        <v>450</v>
      </c>
      <c r="P1356" t="s">
        <v>17</v>
      </c>
    </row>
    <row r="1357" spans="1:16" x14ac:dyDescent="0.25">
      <c r="A1357" t="s">
        <v>0</v>
      </c>
      <c r="B1357" s="2">
        <v>44837</v>
      </c>
      <c r="C1357" s="5" t="s">
        <v>30</v>
      </c>
      <c r="D1357" t="s">
        <v>390</v>
      </c>
      <c r="E1357" t="s">
        <v>391</v>
      </c>
      <c r="F1357" t="s">
        <v>4</v>
      </c>
      <c r="G1357" t="s">
        <v>5</v>
      </c>
      <c r="H1357" s="3">
        <v>3650.46</v>
      </c>
      <c r="I1357" t="s">
        <v>602</v>
      </c>
      <c r="J1357" t="s">
        <v>603</v>
      </c>
      <c r="K1357" t="s">
        <v>8</v>
      </c>
      <c r="L1357" t="s">
        <v>604</v>
      </c>
      <c r="M1357" t="s">
        <v>8</v>
      </c>
      <c r="N1357" t="s">
        <v>605</v>
      </c>
      <c r="O1357" t="s">
        <v>450</v>
      </c>
      <c r="P1357" t="s">
        <v>12</v>
      </c>
    </row>
    <row r="1358" spans="1:16" x14ac:dyDescent="0.25">
      <c r="A1358" t="s">
        <v>0</v>
      </c>
      <c r="B1358" s="2">
        <v>44838</v>
      </c>
      <c r="C1358" t="s">
        <v>87</v>
      </c>
      <c r="D1358" t="s">
        <v>398</v>
      </c>
      <c r="E1358" t="s">
        <v>399</v>
      </c>
      <c r="F1358" t="s">
        <v>4</v>
      </c>
      <c r="G1358" t="s">
        <v>5</v>
      </c>
      <c r="H1358" s="3">
        <v>10281.84</v>
      </c>
      <c r="I1358" t="s">
        <v>400</v>
      </c>
      <c r="J1358" t="s">
        <v>8</v>
      </c>
      <c r="K1358" t="s">
        <v>219</v>
      </c>
      <c r="L1358" t="s">
        <v>8</v>
      </c>
      <c r="M1358" t="s">
        <v>220</v>
      </c>
      <c r="N1358" t="s">
        <v>401</v>
      </c>
      <c r="O1358" t="s">
        <v>95</v>
      </c>
      <c r="P1358" t="s">
        <v>402</v>
      </c>
    </row>
    <row r="1359" spans="1:16" x14ac:dyDescent="0.25">
      <c r="A1359" t="s">
        <v>0</v>
      </c>
      <c r="B1359" s="2">
        <v>44838</v>
      </c>
      <c r="C1359" s="5" t="s">
        <v>87</v>
      </c>
      <c r="D1359" t="s">
        <v>216</v>
      </c>
      <c r="E1359" t="s">
        <v>217</v>
      </c>
      <c r="F1359" t="s">
        <v>4</v>
      </c>
      <c r="G1359" t="s">
        <v>5</v>
      </c>
      <c r="H1359" s="3">
        <v>7813.92</v>
      </c>
      <c r="I1359" t="s">
        <v>218</v>
      </c>
      <c r="J1359" t="s">
        <v>8</v>
      </c>
      <c r="K1359" t="s">
        <v>219</v>
      </c>
      <c r="L1359" t="s">
        <v>8</v>
      </c>
      <c r="M1359" t="s">
        <v>220</v>
      </c>
      <c r="N1359" t="s">
        <v>401</v>
      </c>
      <c r="O1359" t="s">
        <v>95</v>
      </c>
      <c r="P1359" t="s">
        <v>259</v>
      </c>
    </row>
    <row r="1360" spans="1:16" x14ac:dyDescent="0.25">
      <c r="A1360" t="s">
        <v>0</v>
      </c>
      <c r="B1360" s="2">
        <v>44838</v>
      </c>
      <c r="C1360" s="5" t="s">
        <v>87</v>
      </c>
      <c r="D1360" t="s">
        <v>885</v>
      </c>
      <c r="E1360" t="s">
        <v>886</v>
      </c>
      <c r="F1360" t="s">
        <v>4</v>
      </c>
      <c r="G1360" t="s">
        <v>5</v>
      </c>
      <c r="H1360" s="3">
        <v>2325.6799999999998</v>
      </c>
      <c r="I1360" t="s">
        <v>887</v>
      </c>
      <c r="J1360" t="s">
        <v>8</v>
      </c>
      <c r="K1360" t="s">
        <v>219</v>
      </c>
      <c r="L1360" t="s">
        <v>8</v>
      </c>
      <c r="M1360" t="s">
        <v>220</v>
      </c>
      <c r="N1360" t="s">
        <v>401</v>
      </c>
      <c r="O1360" t="s">
        <v>95</v>
      </c>
      <c r="P1360" t="s">
        <v>926</v>
      </c>
    </row>
    <row r="1361" spans="1:16" x14ac:dyDescent="0.25">
      <c r="A1361" t="s">
        <v>0</v>
      </c>
      <c r="B1361" s="2">
        <v>44838</v>
      </c>
      <c r="C1361" s="5" t="s">
        <v>87</v>
      </c>
      <c r="D1361" t="s">
        <v>651</v>
      </c>
      <c r="E1361" t="s">
        <v>652</v>
      </c>
      <c r="F1361" t="s">
        <v>4</v>
      </c>
      <c r="G1361" t="s">
        <v>5</v>
      </c>
      <c r="H1361" s="3">
        <v>1591.55</v>
      </c>
      <c r="I1361" t="s">
        <v>653</v>
      </c>
      <c r="J1361" t="s">
        <v>8</v>
      </c>
      <c r="K1361" t="s">
        <v>219</v>
      </c>
      <c r="L1361" t="s">
        <v>8</v>
      </c>
      <c r="M1361" t="s">
        <v>220</v>
      </c>
      <c r="N1361" t="s">
        <v>401</v>
      </c>
      <c r="O1361" t="s">
        <v>95</v>
      </c>
      <c r="P1361" t="s">
        <v>747</v>
      </c>
    </row>
    <row r="1362" spans="1:16" x14ac:dyDescent="0.25">
      <c r="A1362" t="s">
        <v>0</v>
      </c>
      <c r="B1362" s="2">
        <v>44838</v>
      </c>
      <c r="C1362" s="5" t="s">
        <v>87</v>
      </c>
      <c r="D1362" t="s">
        <v>753</v>
      </c>
      <c r="E1362" t="s">
        <v>754</v>
      </c>
      <c r="F1362" t="s">
        <v>4</v>
      </c>
      <c r="G1362" t="s">
        <v>5</v>
      </c>
      <c r="H1362" s="3">
        <v>-821.84</v>
      </c>
      <c r="I1362" t="s">
        <v>755</v>
      </c>
      <c r="J1362" t="s">
        <v>8</v>
      </c>
      <c r="K1362" t="s">
        <v>219</v>
      </c>
      <c r="L1362" t="s">
        <v>8</v>
      </c>
      <c r="M1362" t="s">
        <v>220</v>
      </c>
      <c r="N1362" t="s">
        <v>401</v>
      </c>
      <c r="O1362" t="s">
        <v>95</v>
      </c>
      <c r="P1362" t="s">
        <v>756</v>
      </c>
    </row>
    <row r="1363" spans="1:16" x14ac:dyDescent="0.25">
      <c r="A1363" t="s">
        <v>0</v>
      </c>
      <c r="B1363" s="2">
        <v>44838</v>
      </c>
      <c r="C1363" s="5" t="s">
        <v>87</v>
      </c>
      <c r="D1363" t="s">
        <v>2289</v>
      </c>
      <c r="E1363" t="s">
        <v>2290</v>
      </c>
      <c r="F1363" t="s">
        <v>4</v>
      </c>
      <c r="G1363" t="s">
        <v>5</v>
      </c>
      <c r="H1363" s="3">
        <v>-730167.06</v>
      </c>
      <c r="I1363" t="s">
        <v>2291</v>
      </c>
      <c r="J1363" t="s">
        <v>8</v>
      </c>
      <c r="K1363" t="s">
        <v>2292</v>
      </c>
      <c r="L1363" t="s">
        <v>8</v>
      </c>
      <c r="M1363" t="s">
        <v>220</v>
      </c>
      <c r="N1363" t="s">
        <v>2293</v>
      </c>
      <c r="O1363" t="s">
        <v>95</v>
      </c>
      <c r="P1363" t="s">
        <v>2294</v>
      </c>
    </row>
    <row r="1364" spans="1:16" x14ac:dyDescent="0.25">
      <c r="A1364" t="s">
        <v>0</v>
      </c>
      <c r="B1364" s="2">
        <v>44839</v>
      </c>
      <c r="C1364" t="s">
        <v>30</v>
      </c>
      <c r="D1364" t="s">
        <v>2</v>
      </c>
      <c r="E1364" t="s">
        <v>3</v>
      </c>
      <c r="F1364" t="s">
        <v>4</v>
      </c>
      <c r="G1364" t="s">
        <v>5</v>
      </c>
      <c r="H1364" s="3">
        <v>322580.15000000002</v>
      </c>
      <c r="I1364" t="s">
        <v>31</v>
      </c>
      <c r="J1364" t="s">
        <v>7</v>
      </c>
      <c r="K1364" t="s">
        <v>8</v>
      </c>
      <c r="L1364" t="s">
        <v>32</v>
      </c>
      <c r="M1364" t="s">
        <v>8</v>
      </c>
      <c r="N1364" t="s">
        <v>33</v>
      </c>
      <c r="O1364" t="s">
        <v>34</v>
      </c>
      <c r="P1364" t="s">
        <v>1</v>
      </c>
    </row>
    <row r="1365" spans="1:16" x14ac:dyDescent="0.25">
      <c r="A1365" t="s">
        <v>0</v>
      </c>
      <c r="B1365" s="2">
        <v>44839</v>
      </c>
      <c r="C1365" t="s">
        <v>30</v>
      </c>
      <c r="D1365" t="s">
        <v>2</v>
      </c>
      <c r="E1365" t="s">
        <v>3</v>
      </c>
      <c r="F1365" t="s">
        <v>4</v>
      </c>
      <c r="G1365" t="s">
        <v>5</v>
      </c>
      <c r="H1365" s="3">
        <v>322580.15000000002</v>
      </c>
      <c r="I1365" t="s">
        <v>35</v>
      </c>
      <c r="J1365" t="s">
        <v>7</v>
      </c>
      <c r="K1365" t="s">
        <v>8</v>
      </c>
      <c r="L1365" t="s">
        <v>36</v>
      </c>
      <c r="M1365" t="s">
        <v>8</v>
      </c>
      <c r="N1365" t="s">
        <v>37</v>
      </c>
      <c r="O1365" t="s">
        <v>34</v>
      </c>
      <c r="P1365" t="s">
        <v>1</v>
      </c>
    </row>
    <row r="1366" spans="1:16" x14ac:dyDescent="0.25">
      <c r="A1366" t="s">
        <v>0</v>
      </c>
      <c r="B1366" s="2">
        <v>44839</v>
      </c>
      <c r="C1366" s="5" t="s">
        <v>30</v>
      </c>
      <c r="D1366" t="s">
        <v>2</v>
      </c>
      <c r="E1366" t="s">
        <v>3</v>
      </c>
      <c r="F1366" t="s">
        <v>4</v>
      </c>
      <c r="G1366" t="s">
        <v>5</v>
      </c>
      <c r="H1366" s="3">
        <v>5424.48</v>
      </c>
      <c r="I1366" t="s">
        <v>665</v>
      </c>
      <c r="J1366" t="s">
        <v>594</v>
      </c>
      <c r="K1366" t="s">
        <v>8</v>
      </c>
      <c r="L1366" t="s">
        <v>8</v>
      </c>
      <c r="M1366" t="s">
        <v>8</v>
      </c>
      <c r="N1366" t="s">
        <v>666</v>
      </c>
      <c r="O1366" t="s">
        <v>29</v>
      </c>
      <c r="P1366" t="s">
        <v>1</v>
      </c>
    </row>
    <row r="1367" spans="1:16" x14ac:dyDescent="0.25">
      <c r="A1367" t="s">
        <v>0</v>
      </c>
      <c r="B1367" s="2">
        <v>44839</v>
      </c>
      <c r="C1367" s="5" t="s">
        <v>30</v>
      </c>
      <c r="D1367" t="s">
        <v>2</v>
      </c>
      <c r="E1367" t="s">
        <v>3</v>
      </c>
      <c r="F1367" t="s">
        <v>4</v>
      </c>
      <c r="G1367" t="s">
        <v>5</v>
      </c>
      <c r="H1367" s="3">
        <v>5424.48</v>
      </c>
      <c r="I1367" t="s">
        <v>667</v>
      </c>
      <c r="J1367" t="s">
        <v>594</v>
      </c>
      <c r="K1367" t="s">
        <v>8</v>
      </c>
      <c r="L1367" t="s">
        <v>8</v>
      </c>
      <c r="M1367" t="s">
        <v>8</v>
      </c>
      <c r="N1367" t="s">
        <v>668</v>
      </c>
      <c r="O1367" t="s">
        <v>29</v>
      </c>
      <c r="P1367" t="s">
        <v>1</v>
      </c>
    </row>
    <row r="1368" spans="1:16" x14ac:dyDescent="0.25">
      <c r="A1368" t="s">
        <v>0</v>
      </c>
      <c r="B1368" s="2">
        <v>44839</v>
      </c>
      <c r="C1368" s="5" t="s">
        <v>30</v>
      </c>
      <c r="D1368" t="s">
        <v>697</v>
      </c>
      <c r="E1368" t="s">
        <v>698</v>
      </c>
      <c r="F1368" t="s">
        <v>4</v>
      </c>
      <c r="G1368" t="s">
        <v>5</v>
      </c>
      <c r="H1368" s="3">
        <v>159.6</v>
      </c>
      <c r="I1368" t="s">
        <v>1826</v>
      </c>
      <c r="J1368" t="s">
        <v>1334</v>
      </c>
      <c r="K1368" t="s">
        <v>8</v>
      </c>
      <c r="L1368" t="s">
        <v>1827</v>
      </c>
      <c r="M1368" t="s">
        <v>8</v>
      </c>
      <c r="N1368" t="s">
        <v>1828</v>
      </c>
      <c r="O1368" t="s">
        <v>29</v>
      </c>
      <c r="P1368" t="s">
        <v>43</v>
      </c>
    </row>
    <row r="1369" spans="1:16" x14ac:dyDescent="0.25">
      <c r="A1369" t="s">
        <v>0</v>
      </c>
      <c r="B1369" s="2">
        <v>44839</v>
      </c>
      <c r="C1369" s="5" t="s">
        <v>30</v>
      </c>
      <c r="D1369" t="s">
        <v>697</v>
      </c>
      <c r="E1369" t="s">
        <v>698</v>
      </c>
      <c r="F1369" t="s">
        <v>4</v>
      </c>
      <c r="G1369" t="s">
        <v>5</v>
      </c>
      <c r="H1369" s="3">
        <v>157.54</v>
      </c>
      <c r="I1369" t="s">
        <v>1831</v>
      </c>
      <c r="J1369" t="s">
        <v>1334</v>
      </c>
      <c r="K1369" t="s">
        <v>8</v>
      </c>
      <c r="L1369" t="s">
        <v>1832</v>
      </c>
      <c r="M1369" t="s">
        <v>8</v>
      </c>
      <c r="N1369" t="s">
        <v>1833</v>
      </c>
      <c r="O1369" t="s">
        <v>29</v>
      </c>
      <c r="P1369" t="s">
        <v>43</v>
      </c>
    </row>
    <row r="1370" spans="1:16" x14ac:dyDescent="0.25">
      <c r="A1370" t="s">
        <v>0</v>
      </c>
      <c r="B1370" s="2">
        <v>44841</v>
      </c>
      <c r="C1370" t="s">
        <v>30</v>
      </c>
      <c r="D1370" t="s">
        <v>2</v>
      </c>
      <c r="E1370" t="s">
        <v>3</v>
      </c>
      <c r="F1370" t="s">
        <v>4</v>
      </c>
      <c r="G1370" t="s">
        <v>5</v>
      </c>
      <c r="H1370" s="3">
        <v>322580.15000000002</v>
      </c>
      <c r="I1370" t="s">
        <v>38</v>
      </c>
      <c r="J1370" t="s">
        <v>7</v>
      </c>
      <c r="K1370" t="s">
        <v>8</v>
      </c>
      <c r="L1370" t="s">
        <v>39</v>
      </c>
      <c r="M1370" t="s">
        <v>8</v>
      </c>
      <c r="N1370" t="s">
        <v>40</v>
      </c>
      <c r="O1370" t="s">
        <v>11</v>
      </c>
      <c r="P1370" t="s">
        <v>1</v>
      </c>
    </row>
    <row r="1371" spans="1:16" x14ac:dyDescent="0.25">
      <c r="A1371" t="s">
        <v>0</v>
      </c>
      <c r="B1371" s="2">
        <v>44841</v>
      </c>
      <c r="C1371" s="5" t="s">
        <v>30</v>
      </c>
      <c r="D1371" t="s">
        <v>2</v>
      </c>
      <c r="E1371" t="s">
        <v>3</v>
      </c>
      <c r="F1371" t="s">
        <v>4</v>
      </c>
      <c r="G1371" t="s">
        <v>5</v>
      </c>
      <c r="H1371" s="3">
        <v>5424.48</v>
      </c>
      <c r="I1371" t="s">
        <v>669</v>
      </c>
      <c r="J1371" t="s">
        <v>594</v>
      </c>
      <c r="K1371" t="s">
        <v>8</v>
      </c>
      <c r="L1371" t="s">
        <v>8</v>
      </c>
      <c r="M1371" t="s">
        <v>8</v>
      </c>
      <c r="N1371" t="s">
        <v>670</v>
      </c>
      <c r="O1371" t="s">
        <v>29</v>
      </c>
      <c r="P1371" t="s">
        <v>1</v>
      </c>
    </row>
    <row r="1372" spans="1:16" x14ac:dyDescent="0.25">
      <c r="A1372" t="s">
        <v>0</v>
      </c>
      <c r="B1372" s="2">
        <v>44841</v>
      </c>
      <c r="C1372" s="5" t="s">
        <v>30</v>
      </c>
      <c r="D1372" t="s">
        <v>47</v>
      </c>
      <c r="E1372" t="s">
        <v>48</v>
      </c>
      <c r="F1372" t="s">
        <v>4</v>
      </c>
      <c r="G1372" t="s">
        <v>5</v>
      </c>
      <c r="H1372" s="3">
        <v>1784.7</v>
      </c>
      <c r="I1372" t="s">
        <v>1038</v>
      </c>
      <c r="J1372" t="s">
        <v>1011</v>
      </c>
      <c r="K1372" t="s">
        <v>8</v>
      </c>
      <c r="L1372" t="s">
        <v>1039</v>
      </c>
      <c r="M1372" t="s">
        <v>8</v>
      </c>
      <c r="N1372" t="s">
        <v>1040</v>
      </c>
      <c r="O1372" t="s">
        <v>29</v>
      </c>
      <c r="P1372" t="s">
        <v>1</v>
      </c>
    </row>
    <row r="1373" spans="1:16" x14ac:dyDescent="0.25">
      <c r="A1373" t="s">
        <v>0</v>
      </c>
      <c r="B1373" s="2">
        <v>44841</v>
      </c>
      <c r="C1373" s="5" t="s">
        <v>30</v>
      </c>
      <c r="D1373" t="s">
        <v>1517</v>
      </c>
      <c r="E1373" t="s">
        <v>1518</v>
      </c>
      <c r="F1373" t="s">
        <v>4</v>
      </c>
      <c r="G1373" t="s">
        <v>5</v>
      </c>
      <c r="H1373" s="3">
        <v>438.9</v>
      </c>
      <c r="I1373" t="s">
        <v>1548</v>
      </c>
      <c r="J1373" t="s">
        <v>1520</v>
      </c>
      <c r="K1373" t="s">
        <v>8</v>
      </c>
      <c r="L1373" t="s">
        <v>1549</v>
      </c>
      <c r="M1373" t="s">
        <v>8</v>
      </c>
      <c r="N1373" t="s">
        <v>1550</v>
      </c>
      <c r="O1373" t="s">
        <v>524</v>
      </c>
      <c r="P1373" t="s">
        <v>1</v>
      </c>
    </row>
    <row r="1374" spans="1:16" x14ac:dyDescent="0.25">
      <c r="A1374" t="s">
        <v>0</v>
      </c>
      <c r="B1374" s="2">
        <v>44842</v>
      </c>
      <c r="C1374" s="5" t="s">
        <v>30</v>
      </c>
      <c r="D1374" t="s">
        <v>384</v>
      </c>
      <c r="E1374" t="s">
        <v>385</v>
      </c>
      <c r="F1374" t="s">
        <v>4</v>
      </c>
      <c r="G1374" t="s">
        <v>5</v>
      </c>
      <c r="H1374" s="3">
        <v>215.9</v>
      </c>
      <c r="I1374" t="s">
        <v>871</v>
      </c>
      <c r="J1374" t="s">
        <v>1417</v>
      </c>
      <c r="K1374" t="s">
        <v>8</v>
      </c>
      <c r="L1374" t="s">
        <v>8</v>
      </c>
      <c r="M1374" t="s">
        <v>8</v>
      </c>
      <c r="N1374" t="s">
        <v>1764</v>
      </c>
      <c r="O1374" t="s">
        <v>389</v>
      </c>
      <c r="P1374" t="s">
        <v>1</v>
      </c>
    </row>
    <row r="1375" spans="1:16" x14ac:dyDescent="0.25">
      <c r="A1375" t="s">
        <v>0</v>
      </c>
      <c r="B1375" s="2">
        <v>44843</v>
      </c>
      <c r="C1375" s="5" t="s">
        <v>30</v>
      </c>
      <c r="D1375" t="s">
        <v>609</v>
      </c>
      <c r="E1375" t="s">
        <v>610</v>
      </c>
      <c r="F1375" t="s">
        <v>4</v>
      </c>
      <c r="G1375" t="s">
        <v>5</v>
      </c>
      <c r="H1375" s="3">
        <v>4108.99</v>
      </c>
      <c r="I1375" t="s">
        <v>734</v>
      </c>
      <c r="J1375" t="s">
        <v>735</v>
      </c>
      <c r="K1375" t="s">
        <v>8</v>
      </c>
      <c r="L1375" t="s">
        <v>8</v>
      </c>
      <c r="M1375" t="s">
        <v>8</v>
      </c>
      <c r="N1375" t="s">
        <v>736</v>
      </c>
      <c r="O1375" t="s">
        <v>389</v>
      </c>
      <c r="P1375" t="s">
        <v>1</v>
      </c>
    </row>
    <row r="1376" spans="1:16" x14ac:dyDescent="0.25">
      <c r="A1376" t="s">
        <v>0</v>
      </c>
      <c r="B1376" s="2">
        <v>44844</v>
      </c>
      <c r="C1376" s="5" t="s">
        <v>30</v>
      </c>
      <c r="D1376" t="s">
        <v>2</v>
      </c>
      <c r="E1376" t="s">
        <v>3</v>
      </c>
      <c r="F1376" t="s">
        <v>4</v>
      </c>
      <c r="G1376" t="s">
        <v>5</v>
      </c>
      <c r="H1376" s="3">
        <v>9557.0499999999993</v>
      </c>
      <c r="I1376" t="s">
        <v>469</v>
      </c>
      <c r="J1376" t="s">
        <v>460</v>
      </c>
      <c r="K1376" t="s">
        <v>8</v>
      </c>
      <c r="L1376" t="s">
        <v>479</v>
      </c>
      <c r="M1376" t="s">
        <v>8</v>
      </c>
      <c r="N1376" t="s">
        <v>480</v>
      </c>
      <c r="O1376" t="s">
        <v>16</v>
      </c>
      <c r="P1376" t="s">
        <v>1</v>
      </c>
    </row>
    <row r="1377" spans="1:16" x14ac:dyDescent="0.25">
      <c r="A1377" t="s">
        <v>0</v>
      </c>
      <c r="B1377" s="2">
        <v>44844</v>
      </c>
      <c r="C1377" s="5" t="s">
        <v>30</v>
      </c>
      <c r="D1377" t="s">
        <v>697</v>
      </c>
      <c r="E1377" t="s">
        <v>698</v>
      </c>
      <c r="F1377" t="s">
        <v>4</v>
      </c>
      <c r="G1377" t="s">
        <v>5</v>
      </c>
      <c r="H1377" s="3">
        <v>4780.07</v>
      </c>
      <c r="I1377" t="s">
        <v>724</v>
      </c>
      <c r="J1377" t="s">
        <v>700</v>
      </c>
      <c r="K1377" t="s">
        <v>8</v>
      </c>
      <c r="L1377" t="s">
        <v>725</v>
      </c>
      <c r="M1377" t="s">
        <v>8</v>
      </c>
      <c r="N1377" t="s">
        <v>726</v>
      </c>
      <c r="O1377" t="s">
        <v>16</v>
      </c>
      <c r="P1377" t="s">
        <v>1</v>
      </c>
    </row>
    <row r="1378" spans="1:16" x14ac:dyDescent="0.25">
      <c r="A1378" t="s">
        <v>0</v>
      </c>
      <c r="B1378" s="2">
        <v>44844</v>
      </c>
      <c r="C1378" s="5" t="s">
        <v>30</v>
      </c>
      <c r="D1378" t="s">
        <v>410</v>
      </c>
      <c r="E1378" t="s">
        <v>411</v>
      </c>
      <c r="F1378" t="s">
        <v>4</v>
      </c>
      <c r="G1378" t="s">
        <v>5</v>
      </c>
      <c r="H1378" s="3">
        <v>10193.99</v>
      </c>
      <c r="I1378" t="s">
        <v>416</v>
      </c>
      <c r="J1378" t="s">
        <v>413</v>
      </c>
      <c r="K1378" t="s">
        <v>8</v>
      </c>
      <c r="L1378" t="s">
        <v>439</v>
      </c>
      <c r="M1378" t="s">
        <v>8</v>
      </c>
      <c r="N1378" t="s">
        <v>440</v>
      </c>
      <c r="O1378" t="s">
        <v>16</v>
      </c>
      <c r="P1378" t="s">
        <v>1</v>
      </c>
    </row>
    <row r="1379" spans="1:16" x14ac:dyDescent="0.25">
      <c r="A1379" t="s">
        <v>0</v>
      </c>
      <c r="B1379" s="2">
        <v>44845</v>
      </c>
      <c r="C1379" s="5" t="s">
        <v>30</v>
      </c>
      <c r="D1379" t="s">
        <v>384</v>
      </c>
      <c r="E1379" t="s">
        <v>385</v>
      </c>
      <c r="F1379" t="s">
        <v>4</v>
      </c>
      <c r="G1379" t="s">
        <v>5</v>
      </c>
      <c r="H1379" s="3">
        <v>3681.09</v>
      </c>
      <c r="I1379" t="s">
        <v>764</v>
      </c>
      <c r="J1379" t="s">
        <v>387</v>
      </c>
      <c r="K1379" t="s">
        <v>8</v>
      </c>
      <c r="L1379" t="s">
        <v>8</v>
      </c>
      <c r="M1379" t="s">
        <v>8</v>
      </c>
      <c r="N1379" t="s">
        <v>765</v>
      </c>
      <c r="O1379" t="s">
        <v>389</v>
      </c>
      <c r="P1379" t="s">
        <v>17</v>
      </c>
    </row>
    <row r="1380" spans="1:16" x14ac:dyDescent="0.25">
      <c r="A1380" t="s">
        <v>0</v>
      </c>
      <c r="B1380" s="2">
        <v>44845</v>
      </c>
      <c r="C1380" s="5" t="s">
        <v>30</v>
      </c>
      <c r="D1380" t="s">
        <v>867</v>
      </c>
      <c r="E1380" t="s">
        <v>868</v>
      </c>
      <c r="F1380" t="s">
        <v>4</v>
      </c>
      <c r="G1380" t="s">
        <v>5</v>
      </c>
      <c r="H1380" s="3">
        <v>2619.75</v>
      </c>
      <c r="I1380" t="s">
        <v>869</v>
      </c>
      <c r="J1380" t="s">
        <v>387</v>
      </c>
      <c r="K1380" t="s">
        <v>8</v>
      </c>
      <c r="L1380" t="s">
        <v>8</v>
      </c>
      <c r="M1380" t="s">
        <v>8</v>
      </c>
      <c r="N1380" t="s">
        <v>870</v>
      </c>
      <c r="O1380" t="s">
        <v>389</v>
      </c>
      <c r="P1380" t="s">
        <v>22</v>
      </c>
    </row>
    <row r="1381" spans="1:16" x14ac:dyDescent="0.25">
      <c r="A1381" t="s">
        <v>0</v>
      </c>
      <c r="B1381" s="2">
        <v>44845</v>
      </c>
      <c r="C1381" s="5" t="s">
        <v>30</v>
      </c>
      <c r="D1381" t="s">
        <v>384</v>
      </c>
      <c r="E1381" t="s">
        <v>385</v>
      </c>
      <c r="F1381" t="s">
        <v>4</v>
      </c>
      <c r="G1381" t="s">
        <v>5</v>
      </c>
      <c r="H1381" s="3">
        <v>1657.88</v>
      </c>
      <c r="I1381" t="s">
        <v>1056</v>
      </c>
      <c r="J1381" t="s">
        <v>387</v>
      </c>
      <c r="K1381" t="s">
        <v>8</v>
      </c>
      <c r="L1381" t="s">
        <v>8</v>
      </c>
      <c r="M1381" t="s">
        <v>8</v>
      </c>
      <c r="N1381" t="s">
        <v>870</v>
      </c>
      <c r="O1381" t="s">
        <v>389</v>
      </c>
      <c r="P1381" t="s">
        <v>1</v>
      </c>
    </row>
    <row r="1382" spans="1:16" x14ac:dyDescent="0.25">
      <c r="A1382" t="s">
        <v>0</v>
      </c>
      <c r="B1382" s="2">
        <v>44845</v>
      </c>
      <c r="C1382" s="5" t="s">
        <v>30</v>
      </c>
      <c r="D1382" t="s">
        <v>1597</v>
      </c>
      <c r="E1382" t="s">
        <v>1598</v>
      </c>
      <c r="F1382" t="s">
        <v>4</v>
      </c>
      <c r="G1382" t="s">
        <v>5</v>
      </c>
      <c r="H1382" s="3">
        <v>409.6</v>
      </c>
      <c r="I1382" t="s">
        <v>1599</v>
      </c>
      <c r="J1382" t="s">
        <v>387</v>
      </c>
      <c r="K1382" t="s">
        <v>8</v>
      </c>
      <c r="L1382" t="s">
        <v>8</v>
      </c>
      <c r="M1382" t="s">
        <v>8</v>
      </c>
      <c r="N1382" t="s">
        <v>765</v>
      </c>
      <c r="O1382" t="s">
        <v>389</v>
      </c>
      <c r="P1382" t="s">
        <v>30</v>
      </c>
    </row>
    <row r="1383" spans="1:16" x14ac:dyDescent="0.25">
      <c r="A1383" t="s">
        <v>0</v>
      </c>
      <c r="B1383" s="2">
        <v>44845</v>
      </c>
      <c r="C1383" s="5" t="s">
        <v>30</v>
      </c>
      <c r="D1383" t="s">
        <v>384</v>
      </c>
      <c r="E1383" t="s">
        <v>385</v>
      </c>
      <c r="F1383" t="s">
        <v>4</v>
      </c>
      <c r="G1383" t="s">
        <v>5</v>
      </c>
      <c r="H1383" s="3">
        <v>331.57</v>
      </c>
      <c r="I1383" t="s">
        <v>1654</v>
      </c>
      <c r="J1383" t="s">
        <v>387</v>
      </c>
      <c r="K1383" t="s">
        <v>8</v>
      </c>
      <c r="L1383" t="s">
        <v>8</v>
      </c>
      <c r="M1383" t="s">
        <v>8</v>
      </c>
      <c r="N1383" t="s">
        <v>765</v>
      </c>
      <c r="O1383" t="s">
        <v>389</v>
      </c>
      <c r="P1383" t="s">
        <v>1</v>
      </c>
    </row>
    <row r="1384" spans="1:16" x14ac:dyDescent="0.25">
      <c r="A1384" t="s">
        <v>0</v>
      </c>
      <c r="B1384" s="2">
        <v>44845</v>
      </c>
      <c r="C1384" s="5" t="s">
        <v>30</v>
      </c>
      <c r="D1384" t="s">
        <v>1551</v>
      </c>
      <c r="E1384" t="s">
        <v>1552</v>
      </c>
      <c r="F1384" t="s">
        <v>4</v>
      </c>
      <c r="G1384" t="s">
        <v>5</v>
      </c>
      <c r="H1384" s="3">
        <v>240.24</v>
      </c>
      <c r="I1384" t="s">
        <v>1745</v>
      </c>
      <c r="J1384" t="s">
        <v>387</v>
      </c>
      <c r="K1384" t="s">
        <v>8</v>
      </c>
      <c r="L1384" t="s">
        <v>8</v>
      </c>
      <c r="M1384" t="s">
        <v>8</v>
      </c>
      <c r="N1384" t="s">
        <v>870</v>
      </c>
      <c r="O1384" t="s">
        <v>389</v>
      </c>
      <c r="P1384" t="s">
        <v>82</v>
      </c>
    </row>
    <row r="1385" spans="1:16" x14ac:dyDescent="0.25">
      <c r="A1385" t="s">
        <v>0</v>
      </c>
      <c r="B1385" s="2">
        <v>44845</v>
      </c>
      <c r="C1385" s="5" t="s">
        <v>30</v>
      </c>
      <c r="D1385" t="s">
        <v>384</v>
      </c>
      <c r="E1385" t="s">
        <v>385</v>
      </c>
      <c r="F1385" t="s">
        <v>4</v>
      </c>
      <c r="G1385" t="s">
        <v>5</v>
      </c>
      <c r="H1385" s="3">
        <v>210.2</v>
      </c>
      <c r="I1385" t="s">
        <v>1769</v>
      </c>
      <c r="J1385" t="s">
        <v>387</v>
      </c>
      <c r="K1385" t="s">
        <v>8</v>
      </c>
      <c r="L1385" t="s">
        <v>8</v>
      </c>
      <c r="M1385" t="s">
        <v>8</v>
      </c>
      <c r="N1385" t="s">
        <v>765</v>
      </c>
      <c r="O1385" t="s">
        <v>389</v>
      </c>
      <c r="P1385" t="s">
        <v>72</v>
      </c>
    </row>
    <row r="1386" spans="1:16" x14ac:dyDescent="0.25">
      <c r="A1386" t="s">
        <v>0</v>
      </c>
      <c r="B1386" s="2">
        <v>44845</v>
      </c>
      <c r="C1386" s="5" t="s">
        <v>30</v>
      </c>
      <c r="D1386" t="s">
        <v>384</v>
      </c>
      <c r="E1386" t="s">
        <v>385</v>
      </c>
      <c r="F1386" t="s">
        <v>4</v>
      </c>
      <c r="G1386" t="s">
        <v>5</v>
      </c>
      <c r="H1386" s="3">
        <v>170.32</v>
      </c>
      <c r="I1386" t="s">
        <v>1815</v>
      </c>
      <c r="J1386" t="s">
        <v>387</v>
      </c>
      <c r="K1386" t="s">
        <v>8</v>
      </c>
      <c r="L1386" t="s">
        <v>8</v>
      </c>
      <c r="M1386" t="s">
        <v>8</v>
      </c>
      <c r="N1386" t="s">
        <v>870</v>
      </c>
      <c r="O1386" t="s">
        <v>389</v>
      </c>
      <c r="P1386" t="s">
        <v>12</v>
      </c>
    </row>
    <row r="1387" spans="1:16" x14ac:dyDescent="0.25">
      <c r="A1387" t="s">
        <v>0</v>
      </c>
      <c r="B1387" s="2">
        <v>44845</v>
      </c>
      <c r="C1387" s="5" t="s">
        <v>30</v>
      </c>
      <c r="D1387" t="s">
        <v>1373</v>
      </c>
      <c r="E1387" t="s">
        <v>1374</v>
      </c>
      <c r="F1387" t="s">
        <v>4</v>
      </c>
      <c r="G1387" t="s">
        <v>5</v>
      </c>
      <c r="H1387" s="3">
        <v>146</v>
      </c>
      <c r="I1387" t="s">
        <v>1745</v>
      </c>
      <c r="J1387" t="s">
        <v>387</v>
      </c>
      <c r="K1387" t="s">
        <v>8</v>
      </c>
      <c r="L1387" t="s">
        <v>8</v>
      </c>
      <c r="M1387" t="s">
        <v>8</v>
      </c>
      <c r="N1387" t="s">
        <v>870</v>
      </c>
      <c r="O1387" t="s">
        <v>389</v>
      </c>
      <c r="P1387" t="s">
        <v>17</v>
      </c>
    </row>
    <row r="1388" spans="1:16" x14ac:dyDescent="0.25">
      <c r="A1388" t="s">
        <v>0</v>
      </c>
      <c r="B1388" s="2">
        <v>44845</v>
      </c>
      <c r="C1388" s="5" t="s">
        <v>30</v>
      </c>
      <c r="D1388" t="s">
        <v>1597</v>
      </c>
      <c r="E1388" t="s">
        <v>1598</v>
      </c>
      <c r="F1388" t="s">
        <v>4</v>
      </c>
      <c r="G1388" t="s">
        <v>5</v>
      </c>
      <c r="H1388" s="3">
        <v>107.59</v>
      </c>
      <c r="I1388" t="s">
        <v>1745</v>
      </c>
      <c r="J1388" t="s">
        <v>387</v>
      </c>
      <c r="K1388" t="s">
        <v>8</v>
      </c>
      <c r="L1388" t="s">
        <v>8</v>
      </c>
      <c r="M1388" t="s">
        <v>8</v>
      </c>
      <c r="N1388" t="s">
        <v>870</v>
      </c>
      <c r="O1388" t="s">
        <v>389</v>
      </c>
      <c r="P1388" t="s">
        <v>246</v>
      </c>
    </row>
    <row r="1389" spans="1:16" x14ac:dyDescent="0.25">
      <c r="A1389" t="s">
        <v>0</v>
      </c>
      <c r="B1389" s="2">
        <v>44845</v>
      </c>
      <c r="C1389" s="5" t="s">
        <v>30</v>
      </c>
      <c r="D1389" t="s">
        <v>384</v>
      </c>
      <c r="E1389" t="s">
        <v>385</v>
      </c>
      <c r="F1389" t="s">
        <v>4</v>
      </c>
      <c r="G1389" t="s">
        <v>5</v>
      </c>
      <c r="H1389" s="3">
        <v>58.2</v>
      </c>
      <c r="I1389" t="s">
        <v>2030</v>
      </c>
      <c r="J1389" t="s">
        <v>387</v>
      </c>
      <c r="K1389" t="s">
        <v>8</v>
      </c>
      <c r="L1389" t="s">
        <v>8</v>
      </c>
      <c r="M1389" t="s">
        <v>8</v>
      </c>
      <c r="N1389" t="s">
        <v>765</v>
      </c>
      <c r="O1389" t="s">
        <v>389</v>
      </c>
      <c r="P1389" t="s">
        <v>43</v>
      </c>
    </row>
    <row r="1390" spans="1:16" x14ac:dyDescent="0.25">
      <c r="A1390" t="s">
        <v>0</v>
      </c>
      <c r="B1390" s="2">
        <v>44845</v>
      </c>
      <c r="C1390" s="5" t="s">
        <v>30</v>
      </c>
      <c r="D1390" t="s">
        <v>1373</v>
      </c>
      <c r="E1390" t="s">
        <v>1374</v>
      </c>
      <c r="F1390" t="s">
        <v>4</v>
      </c>
      <c r="G1390" t="s">
        <v>5</v>
      </c>
      <c r="H1390" s="3">
        <v>57</v>
      </c>
      <c r="I1390" t="s">
        <v>2034</v>
      </c>
      <c r="J1390" t="s">
        <v>387</v>
      </c>
      <c r="K1390" t="s">
        <v>8</v>
      </c>
      <c r="L1390" t="s">
        <v>8</v>
      </c>
      <c r="M1390" t="s">
        <v>8</v>
      </c>
      <c r="N1390" t="s">
        <v>870</v>
      </c>
      <c r="O1390" t="s">
        <v>389</v>
      </c>
      <c r="P1390" t="s">
        <v>77</v>
      </c>
    </row>
    <row r="1391" spans="1:16" x14ac:dyDescent="0.25">
      <c r="A1391" t="s">
        <v>0</v>
      </c>
      <c r="B1391" s="2">
        <v>44845</v>
      </c>
      <c r="C1391" s="5" t="s">
        <v>30</v>
      </c>
      <c r="D1391" t="s">
        <v>867</v>
      </c>
      <c r="E1391" t="s">
        <v>868</v>
      </c>
      <c r="F1391" t="s">
        <v>4</v>
      </c>
      <c r="G1391" t="s">
        <v>5</v>
      </c>
      <c r="H1391" s="3">
        <v>54</v>
      </c>
      <c r="I1391" t="s">
        <v>1745</v>
      </c>
      <c r="J1391" t="s">
        <v>387</v>
      </c>
      <c r="K1391" t="s">
        <v>8</v>
      </c>
      <c r="L1391" t="s">
        <v>8</v>
      </c>
      <c r="M1391" t="s">
        <v>8</v>
      </c>
      <c r="N1391" t="s">
        <v>870</v>
      </c>
      <c r="O1391" t="s">
        <v>389</v>
      </c>
      <c r="P1391" t="s">
        <v>72</v>
      </c>
    </row>
    <row r="1392" spans="1:16" x14ac:dyDescent="0.25">
      <c r="A1392" t="s">
        <v>0</v>
      </c>
      <c r="B1392" s="2">
        <v>44845</v>
      </c>
      <c r="C1392" s="5" t="s">
        <v>30</v>
      </c>
      <c r="D1392" t="s">
        <v>1597</v>
      </c>
      <c r="E1392" t="s">
        <v>1598</v>
      </c>
      <c r="F1392" t="s">
        <v>4</v>
      </c>
      <c r="G1392" t="s">
        <v>5</v>
      </c>
      <c r="H1392" s="3">
        <v>47.9</v>
      </c>
      <c r="I1392" t="s">
        <v>2057</v>
      </c>
      <c r="J1392" t="s">
        <v>387</v>
      </c>
      <c r="K1392" t="s">
        <v>8</v>
      </c>
      <c r="L1392" t="s">
        <v>8</v>
      </c>
      <c r="M1392" t="s">
        <v>8</v>
      </c>
      <c r="N1392" t="s">
        <v>870</v>
      </c>
      <c r="O1392" t="s">
        <v>389</v>
      </c>
      <c r="P1392" t="s">
        <v>30</v>
      </c>
    </row>
    <row r="1393" spans="1:16" x14ac:dyDescent="0.25">
      <c r="A1393" t="s">
        <v>0</v>
      </c>
      <c r="B1393" s="2">
        <v>44845</v>
      </c>
      <c r="C1393" s="5" t="s">
        <v>30</v>
      </c>
      <c r="D1393" t="s">
        <v>1373</v>
      </c>
      <c r="E1393" t="s">
        <v>1374</v>
      </c>
      <c r="F1393" t="s">
        <v>4</v>
      </c>
      <c r="G1393" t="s">
        <v>5</v>
      </c>
      <c r="H1393" s="3">
        <v>40.5</v>
      </c>
      <c r="I1393" t="s">
        <v>1745</v>
      </c>
      <c r="J1393" t="s">
        <v>387</v>
      </c>
      <c r="K1393" t="s">
        <v>8</v>
      </c>
      <c r="L1393" t="s">
        <v>8</v>
      </c>
      <c r="M1393" t="s">
        <v>8</v>
      </c>
      <c r="N1393" t="s">
        <v>870</v>
      </c>
      <c r="O1393" t="s">
        <v>389</v>
      </c>
      <c r="P1393" t="s">
        <v>43</v>
      </c>
    </row>
    <row r="1394" spans="1:16" x14ac:dyDescent="0.25">
      <c r="A1394" t="s">
        <v>0</v>
      </c>
      <c r="B1394" s="2">
        <v>44845</v>
      </c>
      <c r="C1394" s="5" t="s">
        <v>30</v>
      </c>
      <c r="D1394" t="s">
        <v>1597</v>
      </c>
      <c r="E1394" t="s">
        <v>1598</v>
      </c>
      <c r="F1394" t="s">
        <v>4</v>
      </c>
      <c r="G1394" t="s">
        <v>5</v>
      </c>
      <c r="H1394" s="3">
        <v>31</v>
      </c>
      <c r="I1394" t="s">
        <v>2088</v>
      </c>
      <c r="J1394" t="s">
        <v>387</v>
      </c>
      <c r="K1394" t="s">
        <v>8</v>
      </c>
      <c r="L1394" t="s">
        <v>8</v>
      </c>
      <c r="M1394" t="s">
        <v>8</v>
      </c>
      <c r="N1394" t="s">
        <v>870</v>
      </c>
      <c r="O1394" t="s">
        <v>389</v>
      </c>
      <c r="P1394" t="s">
        <v>87</v>
      </c>
    </row>
    <row r="1395" spans="1:16" x14ac:dyDescent="0.25">
      <c r="A1395" t="s">
        <v>0</v>
      </c>
      <c r="B1395" s="2">
        <v>44845</v>
      </c>
      <c r="C1395" s="5" t="s">
        <v>30</v>
      </c>
      <c r="D1395" t="s">
        <v>1597</v>
      </c>
      <c r="E1395" t="s">
        <v>1598</v>
      </c>
      <c r="F1395" t="s">
        <v>4</v>
      </c>
      <c r="G1395" t="s">
        <v>5</v>
      </c>
      <c r="H1395" s="3">
        <v>26</v>
      </c>
      <c r="I1395" t="s">
        <v>2104</v>
      </c>
      <c r="J1395" t="s">
        <v>387</v>
      </c>
      <c r="K1395" t="s">
        <v>8</v>
      </c>
      <c r="L1395" t="s">
        <v>8</v>
      </c>
      <c r="M1395" t="s">
        <v>8</v>
      </c>
      <c r="N1395" t="s">
        <v>870</v>
      </c>
      <c r="O1395" t="s">
        <v>389</v>
      </c>
      <c r="P1395" t="s">
        <v>289</v>
      </c>
    </row>
    <row r="1396" spans="1:16" x14ac:dyDescent="0.25">
      <c r="A1396" t="s">
        <v>0</v>
      </c>
      <c r="B1396" s="2">
        <v>44845</v>
      </c>
      <c r="C1396" s="5" t="s">
        <v>30</v>
      </c>
      <c r="D1396" t="s">
        <v>384</v>
      </c>
      <c r="E1396" t="s">
        <v>385</v>
      </c>
      <c r="F1396" t="s">
        <v>4</v>
      </c>
      <c r="G1396" t="s">
        <v>5</v>
      </c>
      <c r="H1396" s="3">
        <v>25.65</v>
      </c>
      <c r="I1396" t="s">
        <v>1599</v>
      </c>
      <c r="J1396" t="s">
        <v>387</v>
      </c>
      <c r="K1396" t="s">
        <v>8</v>
      </c>
      <c r="L1396" t="s">
        <v>8</v>
      </c>
      <c r="M1396" t="s">
        <v>8</v>
      </c>
      <c r="N1396" t="s">
        <v>765</v>
      </c>
      <c r="O1396" t="s">
        <v>389</v>
      </c>
      <c r="P1396" t="s">
        <v>82</v>
      </c>
    </row>
    <row r="1397" spans="1:16" x14ac:dyDescent="0.25">
      <c r="A1397" t="s">
        <v>0</v>
      </c>
      <c r="B1397" s="2">
        <v>44845</v>
      </c>
      <c r="C1397" s="5" t="s">
        <v>30</v>
      </c>
      <c r="D1397" t="s">
        <v>384</v>
      </c>
      <c r="E1397" t="s">
        <v>385</v>
      </c>
      <c r="F1397" t="s">
        <v>4</v>
      </c>
      <c r="G1397" t="s">
        <v>5</v>
      </c>
      <c r="H1397" s="3">
        <v>6</v>
      </c>
      <c r="I1397" t="s">
        <v>2153</v>
      </c>
      <c r="J1397" t="s">
        <v>387</v>
      </c>
      <c r="K1397" t="s">
        <v>8</v>
      </c>
      <c r="L1397" t="s">
        <v>8</v>
      </c>
      <c r="M1397" t="s">
        <v>8</v>
      </c>
      <c r="N1397" t="s">
        <v>765</v>
      </c>
      <c r="O1397" t="s">
        <v>389</v>
      </c>
      <c r="P1397" t="s">
        <v>87</v>
      </c>
    </row>
    <row r="1398" spans="1:16" x14ac:dyDescent="0.25">
      <c r="A1398" t="s">
        <v>0</v>
      </c>
      <c r="B1398" s="2">
        <v>44846</v>
      </c>
      <c r="C1398" s="5" t="s">
        <v>30</v>
      </c>
      <c r="D1398" t="s">
        <v>1244</v>
      </c>
      <c r="E1398" t="s">
        <v>1245</v>
      </c>
      <c r="F1398" t="s">
        <v>4</v>
      </c>
      <c r="G1398" t="s">
        <v>5</v>
      </c>
      <c r="H1398" s="3">
        <v>900</v>
      </c>
      <c r="I1398" t="s">
        <v>1273</v>
      </c>
      <c r="J1398" t="s">
        <v>1257</v>
      </c>
      <c r="K1398" t="s">
        <v>8</v>
      </c>
      <c r="L1398" t="s">
        <v>8</v>
      </c>
      <c r="M1398" t="s">
        <v>8</v>
      </c>
      <c r="N1398" t="s">
        <v>1274</v>
      </c>
      <c r="O1398" t="s">
        <v>29</v>
      </c>
      <c r="P1398" t="s">
        <v>1</v>
      </c>
    </row>
    <row r="1399" spans="1:16" x14ac:dyDescent="0.25">
      <c r="A1399" t="s">
        <v>0</v>
      </c>
      <c r="B1399" s="2">
        <v>44846</v>
      </c>
      <c r="C1399" s="5" t="s">
        <v>30</v>
      </c>
      <c r="D1399" t="s">
        <v>861</v>
      </c>
      <c r="E1399" t="s">
        <v>862</v>
      </c>
      <c r="F1399" t="s">
        <v>4</v>
      </c>
      <c r="G1399" t="s">
        <v>5</v>
      </c>
      <c r="H1399" s="3">
        <v>819</v>
      </c>
      <c r="I1399" t="s">
        <v>1323</v>
      </c>
      <c r="J1399" t="s">
        <v>1317</v>
      </c>
      <c r="K1399" t="s">
        <v>8</v>
      </c>
      <c r="L1399" t="s">
        <v>1324</v>
      </c>
      <c r="M1399" t="s">
        <v>8</v>
      </c>
      <c r="N1399" t="s">
        <v>1325</v>
      </c>
      <c r="O1399" t="s">
        <v>29</v>
      </c>
      <c r="P1399" t="s">
        <v>1</v>
      </c>
    </row>
    <row r="1400" spans="1:16" x14ac:dyDescent="0.25">
      <c r="A1400" t="s">
        <v>0</v>
      </c>
      <c r="B1400" s="2">
        <v>44846</v>
      </c>
      <c r="C1400" s="5" t="s">
        <v>30</v>
      </c>
      <c r="D1400" t="s">
        <v>2</v>
      </c>
      <c r="E1400" t="s">
        <v>3</v>
      </c>
      <c r="F1400" t="s">
        <v>4</v>
      </c>
      <c r="G1400" t="s">
        <v>5</v>
      </c>
      <c r="H1400" s="3">
        <v>400</v>
      </c>
      <c r="I1400" t="s">
        <v>1604</v>
      </c>
      <c r="J1400" t="s">
        <v>1605</v>
      </c>
      <c r="K1400" t="s">
        <v>8</v>
      </c>
      <c r="L1400" t="s">
        <v>1606</v>
      </c>
      <c r="M1400" t="s">
        <v>8</v>
      </c>
      <c r="N1400" t="s">
        <v>1607</v>
      </c>
      <c r="O1400" t="s">
        <v>29</v>
      </c>
      <c r="P1400" t="s">
        <v>1</v>
      </c>
    </row>
    <row r="1401" spans="1:16" x14ac:dyDescent="0.25">
      <c r="A1401" t="s">
        <v>0</v>
      </c>
      <c r="B1401" s="2">
        <v>44847</v>
      </c>
      <c r="C1401" s="5" t="s">
        <v>30</v>
      </c>
      <c r="D1401" t="s">
        <v>47</v>
      </c>
      <c r="E1401" t="s">
        <v>48</v>
      </c>
      <c r="F1401" t="s">
        <v>4</v>
      </c>
      <c r="G1401" t="s">
        <v>5</v>
      </c>
      <c r="H1401" s="3">
        <v>87.92</v>
      </c>
      <c r="I1401" t="s">
        <v>942</v>
      </c>
      <c r="J1401" t="s">
        <v>943</v>
      </c>
      <c r="K1401" t="s">
        <v>8</v>
      </c>
      <c r="L1401" t="s">
        <v>8</v>
      </c>
      <c r="M1401" t="s">
        <v>8</v>
      </c>
      <c r="N1401" t="s">
        <v>1951</v>
      </c>
      <c r="O1401" t="s">
        <v>945</v>
      </c>
      <c r="P1401" t="s">
        <v>1</v>
      </c>
    </row>
    <row r="1402" spans="1:16" x14ac:dyDescent="0.25">
      <c r="A1402" t="s">
        <v>0</v>
      </c>
      <c r="B1402" s="2">
        <v>44848</v>
      </c>
      <c r="C1402" s="5" t="s">
        <v>30</v>
      </c>
      <c r="D1402" t="s">
        <v>2</v>
      </c>
      <c r="E1402" t="s">
        <v>3</v>
      </c>
      <c r="F1402" t="s">
        <v>4</v>
      </c>
      <c r="G1402" t="s">
        <v>5</v>
      </c>
      <c r="H1402" s="3">
        <v>9380.1299999999992</v>
      </c>
      <c r="I1402" t="s">
        <v>502</v>
      </c>
      <c r="J1402" t="s">
        <v>487</v>
      </c>
      <c r="K1402" t="s">
        <v>8</v>
      </c>
      <c r="L1402" t="s">
        <v>505</v>
      </c>
      <c r="M1402" t="s">
        <v>8</v>
      </c>
      <c r="N1402" t="s">
        <v>506</v>
      </c>
      <c r="O1402" t="s">
        <v>29</v>
      </c>
      <c r="P1402" t="s">
        <v>1</v>
      </c>
    </row>
    <row r="1403" spans="1:16" x14ac:dyDescent="0.25">
      <c r="A1403" t="s">
        <v>0</v>
      </c>
      <c r="B1403" s="2">
        <v>44848</v>
      </c>
      <c r="C1403" s="5" t="s">
        <v>30</v>
      </c>
      <c r="D1403" t="s">
        <v>384</v>
      </c>
      <c r="E1403" t="s">
        <v>385</v>
      </c>
      <c r="F1403" t="s">
        <v>4</v>
      </c>
      <c r="G1403" t="s">
        <v>5</v>
      </c>
      <c r="H1403" s="3">
        <v>2617.7600000000002</v>
      </c>
      <c r="I1403" t="s">
        <v>871</v>
      </c>
      <c r="J1403" t="s">
        <v>680</v>
      </c>
      <c r="K1403" t="s">
        <v>8</v>
      </c>
      <c r="L1403" t="s">
        <v>8</v>
      </c>
      <c r="M1403" t="s">
        <v>8</v>
      </c>
      <c r="N1403" t="s">
        <v>872</v>
      </c>
      <c r="O1403" t="s">
        <v>389</v>
      </c>
      <c r="P1403" t="s">
        <v>12</v>
      </c>
    </row>
    <row r="1404" spans="1:16" x14ac:dyDescent="0.25">
      <c r="A1404" t="s">
        <v>0</v>
      </c>
      <c r="B1404" s="2">
        <v>44848</v>
      </c>
      <c r="C1404" s="5" t="s">
        <v>30</v>
      </c>
      <c r="D1404" t="s">
        <v>1201</v>
      </c>
      <c r="E1404" t="s">
        <v>1202</v>
      </c>
      <c r="F1404" t="s">
        <v>4</v>
      </c>
      <c r="G1404" t="s">
        <v>5</v>
      </c>
      <c r="H1404" s="3">
        <v>161.25</v>
      </c>
      <c r="I1404" t="s">
        <v>1822</v>
      </c>
      <c r="J1404" t="s">
        <v>680</v>
      </c>
      <c r="K1404" t="s">
        <v>8</v>
      </c>
      <c r="L1404" t="s">
        <v>8</v>
      </c>
      <c r="M1404" t="s">
        <v>8</v>
      </c>
      <c r="N1404" t="s">
        <v>872</v>
      </c>
      <c r="O1404" t="s">
        <v>389</v>
      </c>
      <c r="P1404" t="s">
        <v>17</v>
      </c>
    </row>
    <row r="1405" spans="1:16" x14ac:dyDescent="0.25">
      <c r="A1405" t="s">
        <v>0</v>
      </c>
      <c r="B1405" s="2">
        <v>44849</v>
      </c>
      <c r="C1405" s="5" t="s">
        <v>30</v>
      </c>
      <c r="D1405" t="s">
        <v>384</v>
      </c>
      <c r="E1405" t="s">
        <v>385</v>
      </c>
      <c r="F1405" t="s">
        <v>4</v>
      </c>
      <c r="G1405" t="s">
        <v>5</v>
      </c>
      <c r="H1405" s="3">
        <v>475.82</v>
      </c>
      <c r="I1405" t="s">
        <v>871</v>
      </c>
      <c r="J1405" t="s">
        <v>1104</v>
      </c>
      <c r="K1405" t="s">
        <v>8</v>
      </c>
      <c r="L1405" t="s">
        <v>8</v>
      </c>
      <c r="M1405" t="s">
        <v>8</v>
      </c>
      <c r="N1405" t="s">
        <v>1494</v>
      </c>
      <c r="O1405" t="s">
        <v>389</v>
      </c>
      <c r="P1405" t="s">
        <v>1</v>
      </c>
    </row>
    <row r="1406" spans="1:16" x14ac:dyDescent="0.25">
      <c r="A1406" t="s">
        <v>0</v>
      </c>
      <c r="B1406" s="2">
        <v>44849</v>
      </c>
      <c r="C1406" s="5" t="s">
        <v>30</v>
      </c>
      <c r="D1406" t="s">
        <v>384</v>
      </c>
      <c r="E1406" t="s">
        <v>385</v>
      </c>
      <c r="F1406" t="s">
        <v>4</v>
      </c>
      <c r="G1406" t="s">
        <v>5</v>
      </c>
      <c r="H1406" s="3">
        <v>457.07</v>
      </c>
      <c r="I1406" t="s">
        <v>871</v>
      </c>
      <c r="J1406" t="s">
        <v>1242</v>
      </c>
      <c r="K1406" t="s">
        <v>8</v>
      </c>
      <c r="L1406" t="s">
        <v>8</v>
      </c>
      <c r="M1406" t="s">
        <v>8</v>
      </c>
      <c r="N1406" t="s">
        <v>1512</v>
      </c>
      <c r="O1406" t="s">
        <v>389</v>
      </c>
      <c r="P1406" t="s">
        <v>1</v>
      </c>
    </row>
    <row r="1407" spans="1:16" x14ac:dyDescent="0.25">
      <c r="A1407" t="s">
        <v>0</v>
      </c>
      <c r="B1407" s="2">
        <v>44849</v>
      </c>
      <c r="C1407" s="5" t="s">
        <v>30</v>
      </c>
      <c r="D1407" t="s">
        <v>384</v>
      </c>
      <c r="E1407" t="s">
        <v>385</v>
      </c>
      <c r="F1407" t="s">
        <v>4</v>
      </c>
      <c r="G1407" t="s">
        <v>5</v>
      </c>
      <c r="H1407" s="3">
        <v>377.12</v>
      </c>
      <c r="I1407" t="s">
        <v>935</v>
      </c>
      <c r="J1407" t="s">
        <v>912</v>
      </c>
      <c r="K1407" t="s">
        <v>8</v>
      </c>
      <c r="L1407" t="s">
        <v>8</v>
      </c>
      <c r="M1407" t="s">
        <v>8</v>
      </c>
      <c r="N1407" t="s">
        <v>1623</v>
      </c>
      <c r="O1407" t="s">
        <v>389</v>
      </c>
      <c r="P1407" t="s">
        <v>12</v>
      </c>
    </row>
    <row r="1408" spans="1:16" x14ac:dyDescent="0.25">
      <c r="A1408" t="s">
        <v>0</v>
      </c>
      <c r="B1408" s="2">
        <v>44849</v>
      </c>
      <c r="C1408" s="5" t="s">
        <v>30</v>
      </c>
      <c r="D1408" t="s">
        <v>384</v>
      </c>
      <c r="E1408" t="s">
        <v>385</v>
      </c>
      <c r="F1408" t="s">
        <v>4</v>
      </c>
      <c r="G1408" t="s">
        <v>5</v>
      </c>
      <c r="H1408" s="3">
        <v>230</v>
      </c>
      <c r="I1408" t="s">
        <v>1760</v>
      </c>
      <c r="J1408" t="s">
        <v>912</v>
      </c>
      <c r="K1408" t="s">
        <v>8</v>
      </c>
      <c r="L1408" t="s">
        <v>8</v>
      </c>
      <c r="M1408" t="s">
        <v>8</v>
      </c>
      <c r="N1408" t="s">
        <v>1623</v>
      </c>
      <c r="O1408" t="s">
        <v>389</v>
      </c>
      <c r="P1408" t="s">
        <v>43</v>
      </c>
    </row>
    <row r="1409" spans="1:16" x14ac:dyDescent="0.25">
      <c r="A1409" t="s">
        <v>0</v>
      </c>
      <c r="B1409" s="2">
        <v>44849</v>
      </c>
      <c r="C1409" s="5" t="s">
        <v>30</v>
      </c>
      <c r="D1409" t="s">
        <v>384</v>
      </c>
      <c r="E1409" t="s">
        <v>385</v>
      </c>
      <c r="F1409" t="s">
        <v>4</v>
      </c>
      <c r="G1409" t="s">
        <v>5</v>
      </c>
      <c r="H1409" s="3">
        <v>150</v>
      </c>
      <c r="I1409" t="s">
        <v>1852</v>
      </c>
      <c r="J1409" t="s">
        <v>912</v>
      </c>
      <c r="K1409" t="s">
        <v>8</v>
      </c>
      <c r="L1409" t="s">
        <v>8</v>
      </c>
      <c r="M1409" t="s">
        <v>8</v>
      </c>
      <c r="N1409" t="s">
        <v>1623</v>
      </c>
      <c r="O1409" t="s">
        <v>389</v>
      </c>
      <c r="P1409" t="s">
        <v>17</v>
      </c>
    </row>
    <row r="1410" spans="1:16" x14ac:dyDescent="0.25">
      <c r="A1410" t="s">
        <v>0</v>
      </c>
      <c r="B1410" s="2">
        <v>44849</v>
      </c>
      <c r="C1410" s="5" t="s">
        <v>30</v>
      </c>
      <c r="D1410" t="s">
        <v>1201</v>
      </c>
      <c r="E1410" t="s">
        <v>1202</v>
      </c>
      <c r="F1410" t="s">
        <v>4</v>
      </c>
      <c r="G1410" t="s">
        <v>5</v>
      </c>
      <c r="H1410" s="3">
        <v>94.6</v>
      </c>
      <c r="I1410" t="s">
        <v>1948</v>
      </c>
      <c r="J1410" t="s">
        <v>1104</v>
      </c>
      <c r="K1410" t="s">
        <v>8</v>
      </c>
      <c r="L1410" t="s">
        <v>8</v>
      </c>
      <c r="M1410" t="s">
        <v>8</v>
      </c>
      <c r="N1410" t="s">
        <v>1494</v>
      </c>
      <c r="O1410" t="s">
        <v>389</v>
      </c>
      <c r="P1410" t="s">
        <v>17</v>
      </c>
    </row>
    <row r="1411" spans="1:16" x14ac:dyDescent="0.25">
      <c r="A1411" t="s">
        <v>0</v>
      </c>
      <c r="B1411" s="2">
        <v>44849</v>
      </c>
      <c r="C1411" s="5" t="s">
        <v>30</v>
      </c>
      <c r="D1411" t="s">
        <v>384</v>
      </c>
      <c r="E1411" t="s">
        <v>385</v>
      </c>
      <c r="F1411" t="s">
        <v>4</v>
      </c>
      <c r="G1411" t="s">
        <v>5</v>
      </c>
      <c r="H1411" s="3">
        <v>37.86</v>
      </c>
      <c r="I1411" t="s">
        <v>1757</v>
      </c>
      <c r="J1411" t="s">
        <v>1104</v>
      </c>
      <c r="K1411" t="s">
        <v>8</v>
      </c>
      <c r="L1411" t="s">
        <v>8</v>
      </c>
      <c r="M1411" t="s">
        <v>8</v>
      </c>
      <c r="N1411" t="s">
        <v>1494</v>
      </c>
      <c r="O1411" t="s">
        <v>389</v>
      </c>
      <c r="P1411" t="s">
        <v>12</v>
      </c>
    </row>
    <row r="1412" spans="1:16" x14ac:dyDescent="0.25">
      <c r="A1412" t="s">
        <v>0</v>
      </c>
      <c r="B1412" s="2">
        <v>44849</v>
      </c>
      <c r="C1412" s="5" t="s">
        <v>30</v>
      </c>
      <c r="D1412" t="s">
        <v>384</v>
      </c>
      <c r="E1412" t="s">
        <v>385</v>
      </c>
      <c r="F1412" t="s">
        <v>4</v>
      </c>
      <c r="G1412" t="s">
        <v>5</v>
      </c>
      <c r="H1412" s="3">
        <v>37.86</v>
      </c>
      <c r="I1412" t="s">
        <v>1757</v>
      </c>
      <c r="J1412" t="s">
        <v>912</v>
      </c>
      <c r="K1412" t="s">
        <v>8</v>
      </c>
      <c r="L1412" t="s">
        <v>8</v>
      </c>
      <c r="M1412" t="s">
        <v>8</v>
      </c>
      <c r="N1412" t="s">
        <v>1623</v>
      </c>
      <c r="O1412" t="s">
        <v>389</v>
      </c>
      <c r="P1412" t="s">
        <v>77</v>
      </c>
    </row>
    <row r="1413" spans="1:16" x14ac:dyDescent="0.25">
      <c r="A1413" t="s">
        <v>0</v>
      </c>
      <c r="B1413" s="2">
        <v>44851</v>
      </c>
      <c r="C1413" t="s">
        <v>30</v>
      </c>
      <c r="D1413" t="s">
        <v>2</v>
      </c>
      <c r="E1413" t="s">
        <v>3</v>
      </c>
      <c r="F1413" t="s">
        <v>4</v>
      </c>
      <c r="G1413" t="s">
        <v>5</v>
      </c>
      <c r="H1413" s="3">
        <v>322580.15000000002</v>
      </c>
      <c r="I1413" t="s">
        <v>26</v>
      </c>
      <c r="J1413" t="s">
        <v>7</v>
      </c>
      <c r="K1413" t="s">
        <v>8</v>
      </c>
      <c r="L1413" t="s">
        <v>41</v>
      </c>
      <c r="M1413" t="s">
        <v>8</v>
      </c>
      <c r="N1413" t="s">
        <v>42</v>
      </c>
      <c r="O1413" t="s">
        <v>34</v>
      </c>
      <c r="P1413" t="s">
        <v>1</v>
      </c>
    </row>
    <row r="1414" spans="1:16" x14ac:dyDescent="0.25">
      <c r="A1414" t="s">
        <v>0</v>
      </c>
      <c r="B1414" s="2">
        <v>44851</v>
      </c>
      <c r="C1414" s="5" t="s">
        <v>30</v>
      </c>
      <c r="D1414" t="s">
        <v>373</v>
      </c>
      <c r="E1414" t="s">
        <v>374</v>
      </c>
      <c r="F1414" t="s">
        <v>4</v>
      </c>
      <c r="G1414" t="s">
        <v>5</v>
      </c>
      <c r="H1414" s="3">
        <v>833.94</v>
      </c>
      <c r="I1414" t="s">
        <v>5</v>
      </c>
      <c r="J1414" t="s">
        <v>1302</v>
      </c>
      <c r="K1414" t="s">
        <v>8</v>
      </c>
      <c r="L1414" t="s">
        <v>8</v>
      </c>
      <c r="M1414" t="s">
        <v>8</v>
      </c>
      <c r="N1414" t="s">
        <v>1312</v>
      </c>
      <c r="O1414" t="s">
        <v>1307</v>
      </c>
      <c r="P1414" t="s">
        <v>1304</v>
      </c>
    </row>
    <row r="1415" spans="1:16" x14ac:dyDescent="0.25">
      <c r="A1415" t="s">
        <v>0</v>
      </c>
      <c r="B1415" s="2">
        <v>44851</v>
      </c>
      <c r="C1415" s="5" t="s">
        <v>30</v>
      </c>
      <c r="D1415" t="s">
        <v>1201</v>
      </c>
      <c r="E1415" t="s">
        <v>1202</v>
      </c>
      <c r="F1415" t="s">
        <v>4</v>
      </c>
      <c r="G1415" t="s">
        <v>5</v>
      </c>
      <c r="H1415" s="3">
        <v>189.2</v>
      </c>
      <c r="I1415" t="s">
        <v>1790</v>
      </c>
      <c r="J1415" t="s">
        <v>1718</v>
      </c>
      <c r="K1415" t="s">
        <v>8</v>
      </c>
      <c r="L1415" t="s">
        <v>8</v>
      </c>
      <c r="M1415" t="s">
        <v>8</v>
      </c>
      <c r="N1415" t="s">
        <v>1791</v>
      </c>
      <c r="O1415" t="s">
        <v>389</v>
      </c>
      <c r="P1415" t="s">
        <v>1</v>
      </c>
    </row>
    <row r="1416" spans="1:16" x14ac:dyDescent="0.25">
      <c r="A1416" t="s">
        <v>0</v>
      </c>
      <c r="B1416" s="2">
        <v>44851</v>
      </c>
      <c r="C1416" s="5" t="s">
        <v>30</v>
      </c>
      <c r="D1416" t="s">
        <v>1201</v>
      </c>
      <c r="E1416" t="s">
        <v>1202</v>
      </c>
      <c r="F1416" t="s">
        <v>4</v>
      </c>
      <c r="G1416" t="s">
        <v>5</v>
      </c>
      <c r="H1416" s="3">
        <v>172</v>
      </c>
      <c r="I1416" t="s">
        <v>1813</v>
      </c>
      <c r="J1416" t="s">
        <v>1204</v>
      </c>
      <c r="K1416" t="s">
        <v>8</v>
      </c>
      <c r="L1416" t="s">
        <v>8</v>
      </c>
      <c r="M1416" t="s">
        <v>8</v>
      </c>
      <c r="N1416" t="s">
        <v>1814</v>
      </c>
      <c r="O1416" t="s">
        <v>389</v>
      </c>
      <c r="P1416" t="s">
        <v>1</v>
      </c>
    </row>
    <row r="1417" spans="1:16" x14ac:dyDescent="0.25">
      <c r="A1417" t="s">
        <v>0</v>
      </c>
      <c r="B1417" s="2">
        <v>44851</v>
      </c>
      <c r="C1417" s="5" t="s">
        <v>30</v>
      </c>
      <c r="D1417" t="s">
        <v>1201</v>
      </c>
      <c r="E1417" t="s">
        <v>1202</v>
      </c>
      <c r="F1417" t="s">
        <v>4</v>
      </c>
      <c r="G1417" t="s">
        <v>5</v>
      </c>
      <c r="H1417" s="3">
        <v>120.4</v>
      </c>
      <c r="I1417" t="s">
        <v>1897</v>
      </c>
      <c r="J1417" t="s">
        <v>1490</v>
      </c>
      <c r="K1417" t="s">
        <v>8</v>
      </c>
      <c r="L1417" t="s">
        <v>8</v>
      </c>
      <c r="M1417" t="s">
        <v>8</v>
      </c>
      <c r="N1417" t="s">
        <v>1898</v>
      </c>
      <c r="O1417" t="s">
        <v>389</v>
      </c>
      <c r="P1417" t="s">
        <v>1</v>
      </c>
    </row>
    <row r="1418" spans="1:16" x14ac:dyDescent="0.25">
      <c r="A1418" t="s">
        <v>0</v>
      </c>
      <c r="B1418" s="2">
        <v>44852</v>
      </c>
      <c r="C1418" s="5" t="s">
        <v>30</v>
      </c>
      <c r="D1418" t="s">
        <v>2</v>
      </c>
      <c r="E1418" t="s">
        <v>3</v>
      </c>
      <c r="F1418" t="s">
        <v>4</v>
      </c>
      <c r="G1418" t="s">
        <v>5</v>
      </c>
      <c r="H1418" s="3">
        <v>5424.48</v>
      </c>
      <c r="I1418" t="s">
        <v>671</v>
      </c>
      <c r="J1418" t="s">
        <v>594</v>
      </c>
      <c r="K1418" t="s">
        <v>8</v>
      </c>
      <c r="L1418" t="s">
        <v>8</v>
      </c>
      <c r="M1418" t="s">
        <v>8</v>
      </c>
      <c r="N1418" t="s">
        <v>672</v>
      </c>
      <c r="O1418" t="s">
        <v>34</v>
      </c>
      <c r="P1418" t="s">
        <v>1</v>
      </c>
    </row>
    <row r="1419" spans="1:16" x14ac:dyDescent="0.25">
      <c r="A1419" t="s">
        <v>0</v>
      </c>
      <c r="B1419" s="2">
        <v>44852</v>
      </c>
      <c r="C1419" s="5" t="s">
        <v>30</v>
      </c>
      <c r="D1419" t="s">
        <v>673</v>
      </c>
      <c r="E1419" t="s">
        <v>674</v>
      </c>
      <c r="F1419" t="s">
        <v>4</v>
      </c>
      <c r="G1419" t="s">
        <v>5</v>
      </c>
      <c r="H1419" s="3">
        <v>123.12</v>
      </c>
      <c r="I1419" t="s">
        <v>1887</v>
      </c>
      <c r="J1419" t="s">
        <v>676</v>
      </c>
      <c r="K1419" t="s">
        <v>8</v>
      </c>
      <c r="L1419" t="s">
        <v>1888</v>
      </c>
      <c r="M1419" t="s">
        <v>8</v>
      </c>
      <c r="N1419" t="s">
        <v>1889</v>
      </c>
      <c r="O1419" t="s">
        <v>446</v>
      </c>
      <c r="P1419" t="s">
        <v>1</v>
      </c>
    </row>
    <row r="1420" spans="1:16" x14ac:dyDescent="0.25">
      <c r="A1420" t="s">
        <v>0</v>
      </c>
      <c r="B1420" s="2">
        <v>44853</v>
      </c>
      <c r="C1420" s="5" t="s">
        <v>30</v>
      </c>
      <c r="D1420" t="s">
        <v>539</v>
      </c>
      <c r="E1420" t="s">
        <v>540</v>
      </c>
      <c r="F1420" t="s">
        <v>4</v>
      </c>
      <c r="G1420" t="s">
        <v>5</v>
      </c>
      <c r="H1420" s="3">
        <v>8135.89</v>
      </c>
      <c r="I1420" t="s">
        <v>541</v>
      </c>
      <c r="J1420" t="s">
        <v>542</v>
      </c>
      <c r="K1420" t="s">
        <v>8</v>
      </c>
      <c r="L1420" t="s">
        <v>555</v>
      </c>
      <c r="M1420" t="s">
        <v>8</v>
      </c>
      <c r="N1420" t="s">
        <v>556</v>
      </c>
      <c r="O1420" t="s">
        <v>29</v>
      </c>
      <c r="P1420" t="s">
        <v>12</v>
      </c>
    </row>
    <row r="1421" spans="1:16" x14ac:dyDescent="0.25">
      <c r="A1421" t="s">
        <v>0</v>
      </c>
      <c r="B1421" s="2">
        <v>44853</v>
      </c>
      <c r="C1421" s="5" t="s">
        <v>30</v>
      </c>
      <c r="D1421" t="s">
        <v>539</v>
      </c>
      <c r="E1421" t="s">
        <v>540</v>
      </c>
      <c r="F1421" t="s">
        <v>4</v>
      </c>
      <c r="G1421" t="s">
        <v>5</v>
      </c>
      <c r="H1421" s="3">
        <v>3483.6</v>
      </c>
      <c r="I1421" t="s">
        <v>781</v>
      </c>
      <c r="J1421" t="s">
        <v>542</v>
      </c>
      <c r="K1421" t="s">
        <v>8</v>
      </c>
      <c r="L1421" t="s">
        <v>792</v>
      </c>
      <c r="M1421" t="s">
        <v>8</v>
      </c>
      <c r="N1421" t="s">
        <v>793</v>
      </c>
      <c r="O1421" t="s">
        <v>29</v>
      </c>
      <c r="P1421" t="s">
        <v>12</v>
      </c>
    </row>
    <row r="1422" spans="1:16" x14ac:dyDescent="0.25">
      <c r="A1422" t="s">
        <v>0</v>
      </c>
      <c r="B1422" s="2">
        <v>44853</v>
      </c>
      <c r="C1422" s="5" t="s">
        <v>30</v>
      </c>
      <c r="D1422" t="s">
        <v>1340</v>
      </c>
      <c r="E1422" t="s">
        <v>1341</v>
      </c>
      <c r="F1422" t="s">
        <v>4</v>
      </c>
      <c r="G1422" t="s">
        <v>5</v>
      </c>
      <c r="H1422" s="3">
        <v>151.47999999999999</v>
      </c>
      <c r="I1422" t="s">
        <v>1844</v>
      </c>
      <c r="J1422" t="s">
        <v>1569</v>
      </c>
      <c r="K1422" t="s">
        <v>8</v>
      </c>
      <c r="L1422" t="s">
        <v>1845</v>
      </c>
      <c r="M1422" t="s">
        <v>8</v>
      </c>
      <c r="N1422" t="s">
        <v>1846</v>
      </c>
      <c r="O1422" t="s">
        <v>29</v>
      </c>
      <c r="P1422" t="s">
        <v>1304</v>
      </c>
    </row>
    <row r="1423" spans="1:16" x14ac:dyDescent="0.25">
      <c r="A1423" t="s">
        <v>0</v>
      </c>
      <c r="B1423" s="2">
        <v>44853</v>
      </c>
      <c r="C1423" s="5" t="s">
        <v>30</v>
      </c>
      <c r="D1423" t="s">
        <v>1340</v>
      </c>
      <c r="E1423" t="s">
        <v>1341</v>
      </c>
      <c r="F1423" t="s">
        <v>4</v>
      </c>
      <c r="G1423" t="s">
        <v>5</v>
      </c>
      <c r="H1423" s="3">
        <v>69.25</v>
      </c>
      <c r="I1423" t="s">
        <v>1342</v>
      </c>
      <c r="J1423" t="s">
        <v>1343</v>
      </c>
      <c r="K1423" t="s">
        <v>8</v>
      </c>
      <c r="L1423" t="s">
        <v>1989</v>
      </c>
      <c r="M1423" t="s">
        <v>8</v>
      </c>
      <c r="N1423" t="s">
        <v>1990</v>
      </c>
      <c r="O1423" t="s">
        <v>29</v>
      </c>
      <c r="P1423" t="s">
        <v>72</v>
      </c>
    </row>
    <row r="1424" spans="1:16" x14ac:dyDescent="0.25">
      <c r="A1424" t="s">
        <v>0</v>
      </c>
      <c r="B1424" s="2">
        <v>44855</v>
      </c>
      <c r="C1424" s="5" t="s">
        <v>30</v>
      </c>
      <c r="D1424" t="s">
        <v>591</v>
      </c>
      <c r="E1424" t="s">
        <v>592</v>
      </c>
      <c r="F1424" t="s">
        <v>4</v>
      </c>
      <c r="G1424" t="s">
        <v>5</v>
      </c>
      <c r="H1424" s="3">
        <v>135</v>
      </c>
      <c r="I1424" t="s">
        <v>1870</v>
      </c>
      <c r="J1424" t="s">
        <v>750</v>
      </c>
      <c r="K1424" t="s">
        <v>8</v>
      </c>
      <c r="L1424" t="s">
        <v>1871</v>
      </c>
      <c r="M1424" t="s">
        <v>8</v>
      </c>
      <c r="N1424" t="s">
        <v>1872</v>
      </c>
      <c r="O1424" t="s">
        <v>1873</v>
      </c>
      <c r="P1424" t="s">
        <v>1154</v>
      </c>
    </row>
    <row r="1425" spans="1:16" x14ac:dyDescent="0.25">
      <c r="A1425" t="s">
        <v>0</v>
      </c>
      <c r="B1425" s="2">
        <v>44858</v>
      </c>
      <c r="C1425" s="5" t="s">
        <v>30</v>
      </c>
      <c r="D1425" t="s">
        <v>1073</v>
      </c>
      <c r="E1425" t="s">
        <v>1074</v>
      </c>
      <c r="F1425" t="s">
        <v>4</v>
      </c>
      <c r="G1425" t="s">
        <v>5</v>
      </c>
      <c r="H1425" s="3">
        <v>1550</v>
      </c>
      <c r="I1425" t="s">
        <v>1082</v>
      </c>
      <c r="J1425" t="s">
        <v>1076</v>
      </c>
      <c r="K1425" t="s">
        <v>8</v>
      </c>
      <c r="L1425" t="s">
        <v>1087</v>
      </c>
      <c r="M1425" t="s">
        <v>8</v>
      </c>
      <c r="N1425" t="s">
        <v>1088</v>
      </c>
      <c r="O1425" t="s">
        <v>29</v>
      </c>
      <c r="P1425" t="s">
        <v>22</v>
      </c>
    </row>
    <row r="1426" spans="1:16" x14ac:dyDescent="0.25">
      <c r="A1426" t="s">
        <v>0</v>
      </c>
      <c r="B1426" s="2">
        <v>44858</v>
      </c>
      <c r="C1426" s="5" t="s">
        <v>30</v>
      </c>
      <c r="D1426" t="s">
        <v>390</v>
      </c>
      <c r="E1426" t="s">
        <v>391</v>
      </c>
      <c r="F1426" t="s">
        <v>4</v>
      </c>
      <c r="G1426" t="s">
        <v>5</v>
      </c>
      <c r="H1426" s="3">
        <v>152</v>
      </c>
      <c r="I1426" t="s">
        <v>1843</v>
      </c>
      <c r="J1426" t="s">
        <v>1076</v>
      </c>
      <c r="K1426" t="s">
        <v>8</v>
      </c>
      <c r="L1426" t="s">
        <v>1087</v>
      </c>
      <c r="M1426" t="s">
        <v>8</v>
      </c>
      <c r="N1426" t="s">
        <v>1088</v>
      </c>
      <c r="O1426" t="s">
        <v>29</v>
      </c>
      <c r="P1426" t="s">
        <v>289</v>
      </c>
    </row>
    <row r="1427" spans="1:16" x14ac:dyDescent="0.25">
      <c r="A1427" t="s">
        <v>0</v>
      </c>
      <c r="B1427" s="2">
        <v>44860</v>
      </c>
      <c r="C1427" s="5" t="s">
        <v>30</v>
      </c>
      <c r="D1427" t="s">
        <v>936</v>
      </c>
      <c r="E1427" t="s">
        <v>937</v>
      </c>
      <c r="F1427" t="s">
        <v>4</v>
      </c>
      <c r="G1427" t="s">
        <v>5</v>
      </c>
      <c r="H1427" s="3">
        <v>165</v>
      </c>
      <c r="I1427" t="s">
        <v>1818</v>
      </c>
      <c r="J1427" t="s">
        <v>1819</v>
      </c>
      <c r="K1427" t="s">
        <v>8</v>
      </c>
      <c r="L1427" t="s">
        <v>1820</v>
      </c>
      <c r="M1427" t="s">
        <v>8</v>
      </c>
      <c r="N1427" t="s">
        <v>1821</v>
      </c>
      <c r="O1427" t="s">
        <v>29</v>
      </c>
      <c r="P1427" t="s">
        <v>77</v>
      </c>
    </row>
    <row r="1428" spans="1:16" x14ac:dyDescent="0.25">
      <c r="A1428" t="s">
        <v>0</v>
      </c>
      <c r="B1428" s="2">
        <v>44860</v>
      </c>
      <c r="C1428" s="5" t="s">
        <v>30</v>
      </c>
      <c r="D1428" t="s">
        <v>936</v>
      </c>
      <c r="E1428" t="s">
        <v>937</v>
      </c>
      <c r="F1428" t="s">
        <v>4</v>
      </c>
      <c r="G1428" t="s">
        <v>5</v>
      </c>
      <c r="H1428" s="3">
        <v>165</v>
      </c>
      <c r="I1428" t="s">
        <v>1818</v>
      </c>
      <c r="J1428" t="s">
        <v>1819</v>
      </c>
      <c r="K1428" t="s">
        <v>8</v>
      </c>
      <c r="L1428" t="s">
        <v>1820</v>
      </c>
      <c r="M1428" t="s">
        <v>8</v>
      </c>
      <c r="N1428" t="s">
        <v>1821</v>
      </c>
      <c r="O1428" t="s">
        <v>29</v>
      </c>
      <c r="P1428" t="s">
        <v>22</v>
      </c>
    </row>
    <row r="1429" spans="1:16" x14ac:dyDescent="0.25">
      <c r="A1429" t="s">
        <v>0</v>
      </c>
      <c r="B1429" s="2">
        <v>44861</v>
      </c>
      <c r="C1429" s="5" t="s">
        <v>30</v>
      </c>
      <c r="D1429" t="s">
        <v>216</v>
      </c>
      <c r="E1429" t="s">
        <v>217</v>
      </c>
      <c r="F1429" t="s">
        <v>4</v>
      </c>
      <c r="G1429" t="s">
        <v>5</v>
      </c>
      <c r="H1429" s="3">
        <v>7794.45</v>
      </c>
      <c r="I1429" t="s">
        <v>218</v>
      </c>
      <c r="J1429" t="s">
        <v>8</v>
      </c>
      <c r="K1429" t="s">
        <v>219</v>
      </c>
      <c r="L1429" t="s">
        <v>8</v>
      </c>
      <c r="M1429" t="s">
        <v>220</v>
      </c>
      <c r="N1429" t="s">
        <v>567</v>
      </c>
      <c r="O1429" t="s">
        <v>95</v>
      </c>
      <c r="P1429" t="s">
        <v>568</v>
      </c>
    </row>
    <row r="1430" spans="1:16" x14ac:dyDescent="0.25">
      <c r="A1430" t="s">
        <v>0</v>
      </c>
      <c r="B1430" s="2">
        <v>44861</v>
      </c>
      <c r="C1430" s="5" t="s">
        <v>30</v>
      </c>
      <c r="D1430" t="s">
        <v>885</v>
      </c>
      <c r="E1430" t="s">
        <v>886</v>
      </c>
      <c r="F1430" t="s">
        <v>4</v>
      </c>
      <c r="G1430" t="s">
        <v>5</v>
      </c>
      <c r="H1430" s="3">
        <v>1899.82</v>
      </c>
      <c r="I1430" t="s">
        <v>887</v>
      </c>
      <c r="J1430" t="s">
        <v>8</v>
      </c>
      <c r="K1430" t="s">
        <v>219</v>
      </c>
      <c r="L1430" t="s">
        <v>8</v>
      </c>
      <c r="M1430" t="s">
        <v>220</v>
      </c>
      <c r="N1430" t="s">
        <v>567</v>
      </c>
      <c r="O1430" t="s">
        <v>95</v>
      </c>
      <c r="P1430" t="s">
        <v>253</v>
      </c>
    </row>
    <row r="1431" spans="1:16" x14ac:dyDescent="0.25">
      <c r="A1431" t="s">
        <v>0</v>
      </c>
      <c r="B1431" s="2">
        <v>44861</v>
      </c>
      <c r="C1431" s="5" t="s">
        <v>30</v>
      </c>
      <c r="D1431" t="s">
        <v>384</v>
      </c>
      <c r="E1431" t="s">
        <v>385</v>
      </c>
      <c r="F1431" t="s">
        <v>4</v>
      </c>
      <c r="G1431" t="s">
        <v>5</v>
      </c>
      <c r="H1431" s="3">
        <v>750</v>
      </c>
      <c r="I1431" t="s">
        <v>1218</v>
      </c>
      <c r="J1431" t="s">
        <v>1104</v>
      </c>
      <c r="K1431" t="s">
        <v>8</v>
      </c>
      <c r="L1431" t="s">
        <v>8</v>
      </c>
      <c r="M1431" t="s">
        <v>8</v>
      </c>
      <c r="N1431" t="s">
        <v>1358</v>
      </c>
      <c r="O1431" t="s">
        <v>389</v>
      </c>
      <c r="P1431" t="s">
        <v>1</v>
      </c>
    </row>
    <row r="1432" spans="1:16" x14ac:dyDescent="0.25">
      <c r="A1432" t="s">
        <v>0</v>
      </c>
      <c r="B1432" s="2">
        <v>44862</v>
      </c>
      <c r="C1432" t="s">
        <v>30</v>
      </c>
      <c r="D1432" t="s">
        <v>63</v>
      </c>
      <c r="E1432" t="s">
        <v>64</v>
      </c>
      <c r="F1432" t="s">
        <v>4</v>
      </c>
      <c r="G1432" t="s">
        <v>5</v>
      </c>
      <c r="H1432" s="3">
        <v>110224.65</v>
      </c>
      <c r="I1432" t="s">
        <v>65</v>
      </c>
      <c r="J1432" t="s">
        <v>55</v>
      </c>
      <c r="K1432" t="s">
        <v>8</v>
      </c>
      <c r="L1432" t="s">
        <v>8</v>
      </c>
      <c r="M1432" t="s">
        <v>8</v>
      </c>
      <c r="N1432" t="s">
        <v>69</v>
      </c>
      <c r="O1432" t="s">
        <v>57</v>
      </c>
      <c r="P1432" t="s">
        <v>70</v>
      </c>
    </row>
    <row r="1433" spans="1:16" x14ac:dyDescent="0.25">
      <c r="A1433" t="s">
        <v>0</v>
      </c>
      <c r="B1433" s="2">
        <v>44862</v>
      </c>
      <c r="C1433" t="s">
        <v>30</v>
      </c>
      <c r="D1433" t="s">
        <v>63</v>
      </c>
      <c r="E1433" t="s">
        <v>64</v>
      </c>
      <c r="F1433" t="s">
        <v>4</v>
      </c>
      <c r="G1433" t="s">
        <v>5</v>
      </c>
      <c r="H1433" s="3">
        <v>60025.71</v>
      </c>
      <c r="I1433" t="s">
        <v>114</v>
      </c>
      <c r="J1433" t="s">
        <v>55</v>
      </c>
      <c r="K1433" t="s">
        <v>8</v>
      </c>
      <c r="L1433" t="s">
        <v>8</v>
      </c>
      <c r="M1433" t="s">
        <v>8</v>
      </c>
      <c r="N1433" t="s">
        <v>69</v>
      </c>
      <c r="O1433" t="s">
        <v>57</v>
      </c>
      <c r="P1433" t="s">
        <v>145</v>
      </c>
    </row>
    <row r="1434" spans="1:16" x14ac:dyDescent="0.25">
      <c r="A1434" t="s">
        <v>0</v>
      </c>
      <c r="B1434" s="2">
        <v>44862</v>
      </c>
      <c r="C1434" t="s">
        <v>30</v>
      </c>
      <c r="D1434" t="s">
        <v>122</v>
      </c>
      <c r="E1434" t="s">
        <v>123</v>
      </c>
      <c r="F1434" t="s">
        <v>4</v>
      </c>
      <c r="G1434" t="s">
        <v>5</v>
      </c>
      <c r="H1434" s="3">
        <v>46096.03</v>
      </c>
      <c r="I1434" t="s">
        <v>124</v>
      </c>
      <c r="J1434" t="s">
        <v>55</v>
      </c>
      <c r="K1434" t="s">
        <v>8</v>
      </c>
      <c r="L1434" t="s">
        <v>8</v>
      </c>
      <c r="M1434" t="s">
        <v>8</v>
      </c>
      <c r="N1434" t="s">
        <v>69</v>
      </c>
      <c r="O1434" t="s">
        <v>57</v>
      </c>
      <c r="P1434" t="s">
        <v>166</v>
      </c>
    </row>
    <row r="1435" spans="1:16" x14ac:dyDescent="0.25">
      <c r="A1435" t="s">
        <v>0</v>
      </c>
      <c r="B1435" s="2">
        <v>44862</v>
      </c>
      <c r="C1435" t="s">
        <v>30</v>
      </c>
      <c r="D1435" t="s">
        <v>173</v>
      </c>
      <c r="E1435" t="s">
        <v>174</v>
      </c>
      <c r="F1435" t="s">
        <v>4</v>
      </c>
      <c r="G1435" t="s">
        <v>5</v>
      </c>
      <c r="H1435" s="3">
        <v>26228.44</v>
      </c>
      <c r="I1435" t="s">
        <v>175</v>
      </c>
      <c r="J1435" t="s">
        <v>55</v>
      </c>
      <c r="K1435" t="s">
        <v>8</v>
      </c>
      <c r="L1435" t="s">
        <v>8</v>
      </c>
      <c r="M1435" t="s">
        <v>8</v>
      </c>
      <c r="N1435" t="s">
        <v>69</v>
      </c>
      <c r="O1435" t="s">
        <v>57</v>
      </c>
      <c r="P1435" t="s">
        <v>223</v>
      </c>
    </row>
    <row r="1436" spans="1:16" x14ac:dyDescent="0.25">
      <c r="A1436" t="s">
        <v>0</v>
      </c>
      <c r="B1436" s="2">
        <v>44862</v>
      </c>
      <c r="C1436" t="s">
        <v>30</v>
      </c>
      <c r="D1436" t="s">
        <v>169</v>
      </c>
      <c r="E1436" t="s">
        <v>170</v>
      </c>
      <c r="F1436" t="s">
        <v>4</v>
      </c>
      <c r="G1436" t="s">
        <v>5</v>
      </c>
      <c r="H1436" s="3">
        <v>22964.65</v>
      </c>
      <c r="I1436" t="s">
        <v>171</v>
      </c>
      <c r="J1436" t="s">
        <v>55</v>
      </c>
      <c r="K1436" t="s">
        <v>8</v>
      </c>
      <c r="L1436" t="s">
        <v>8</v>
      </c>
      <c r="M1436" t="s">
        <v>8</v>
      </c>
      <c r="N1436" t="s">
        <v>69</v>
      </c>
      <c r="O1436" t="s">
        <v>57</v>
      </c>
      <c r="P1436" t="s">
        <v>163</v>
      </c>
    </row>
    <row r="1437" spans="1:16" x14ac:dyDescent="0.25">
      <c r="A1437" t="s">
        <v>0</v>
      </c>
      <c r="B1437" s="2">
        <v>44862</v>
      </c>
      <c r="C1437" t="s">
        <v>30</v>
      </c>
      <c r="D1437" t="s">
        <v>273</v>
      </c>
      <c r="E1437" t="s">
        <v>274</v>
      </c>
      <c r="F1437" t="s">
        <v>4</v>
      </c>
      <c r="G1437" t="s">
        <v>5</v>
      </c>
      <c r="H1437" s="3">
        <v>22365.18</v>
      </c>
      <c r="I1437" t="s">
        <v>275</v>
      </c>
      <c r="J1437" t="s">
        <v>55</v>
      </c>
      <c r="K1437" t="s">
        <v>8</v>
      </c>
      <c r="L1437" t="s">
        <v>8</v>
      </c>
      <c r="M1437" t="s">
        <v>8</v>
      </c>
      <c r="N1437" t="s">
        <v>69</v>
      </c>
      <c r="O1437" t="s">
        <v>57</v>
      </c>
      <c r="P1437" t="s">
        <v>276</v>
      </c>
    </row>
    <row r="1438" spans="1:16" x14ac:dyDescent="0.25">
      <c r="A1438" t="s">
        <v>0</v>
      </c>
      <c r="B1438" s="2">
        <v>44862</v>
      </c>
      <c r="C1438" t="s">
        <v>30</v>
      </c>
      <c r="D1438" t="s">
        <v>59</v>
      </c>
      <c r="E1438" t="s">
        <v>60</v>
      </c>
      <c r="F1438" t="s">
        <v>4</v>
      </c>
      <c r="G1438" t="s">
        <v>5</v>
      </c>
      <c r="H1438" s="3">
        <v>16245.26</v>
      </c>
      <c r="I1438" t="s">
        <v>61</v>
      </c>
      <c r="J1438" t="s">
        <v>55</v>
      </c>
      <c r="K1438" t="s">
        <v>8</v>
      </c>
      <c r="L1438" t="s">
        <v>8</v>
      </c>
      <c r="M1438" t="s">
        <v>8</v>
      </c>
      <c r="N1438" t="s">
        <v>69</v>
      </c>
      <c r="O1438" t="s">
        <v>57</v>
      </c>
      <c r="P1438" t="s">
        <v>327</v>
      </c>
    </row>
    <row r="1439" spans="1:16" x14ac:dyDescent="0.25">
      <c r="A1439" t="s">
        <v>0</v>
      </c>
      <c r="B1439" s="2">
        <v>44862</v>
      </c>
      <c r="C1439" s="5" t="s">
        <v>30</v>
      </c>
      <c r="D1439" t="s">
        <v>169</v>
      </c>
      <c r="E1439" t="s">
        <v>170</v>
      </c>
      <c r="F1439" t="s">
        <v>4</v>
      </c>
      <c r="G1439" t="s">
        <v>5</v>
      </c>
      <c r="H1439" s="3">
        <v>9650.92</v>
      </c>
      <c r="I1439" t="s">
        <v>213</v>
      </c>
      <c r="J1439" t="s">
        <v>55</v>
      </c>
      <c r="K1439" t="s">
        <v>8</v>
      </c>
      <c r="L1439" t="s">
        <v>8</v>
      </c>
      <c r="M1439" t="s">
        <v>8</v>
      </c>
      <c r="N1439" t="s">
        <v>69</v>
      </c>
      <c r="O1439" t="s">
        <v>57</v>
      </c>
      <c r="P1439" t="s">
        <v>311</v>
      </c>
    </row>
    <row r="1440" spans="1:16" x14ac:dyDescent="0.25">
      <c r="A1440" t="s">
        <v>0</v>
      </c>
      <c r="B1440" s="2">
        <v>44862</v>
      </c>
      <c r="C1440" s="5" t="s">
        <v>30</v>
      </c>
      <c r="D1440" t="s">
        <v>514</v>
      </c>
      <c r="E1440" t="s">
        <v>515</v>
      </c>
      <c r="F1440" t="s">
        <v>4</v>
      </c>
      <c r="G1440" t="s">
        <v>5</v>
      </c>
      <c r="H1440" s="3">
        <v>8884.6200000000008</v>
      </c>
      <c r="I1440" t="s">
        <v>516</v>
      </c>
      <c r="J1440" t="s">
        <v>55</v>
      </c>
      <c r="K1440" t="s">
        <v>8</v>
      </c>
      <c r="L1440" t="s">
        <v>8</v>
      </c>
      <c r="M1440" t="s">
        <v>8</v>
      </c>
      <c r="N1440" t="s">
        <v>517</v>
      </c>
      <c r="O1440" t="s">
        <v>57</v>
      </c>
      <c r="P1440" t="s">
        <v>518</v>
      </c>
    </row>
    <row r="1441" spans="1:16" x14ac:dyDescent="0.25">
      <c r="A1441" t="s">
        <v>0</v>
      </c>
      <c r="B1441" s="2">
        <v>44862</v>
      </c>
      <c r="C1441" s="5" t="s">
        <v>30</v>
      </c>
      <c r="D1441" t="s">
        <v>507</v>
      </c>
      <c r="E1441" t="s">
        <v>508</v>
      </c>
      <c r="F1441" t="s">
        <v>4</v>
      </c>
      <c r="G1441" t="s">
        <v>5</v>
      </c>
      <c r="H1441" s="3">
        <v>8781.44</v>
      </c>
      <c r="I1441" t="s">
        <v>509</v>
      </c>
      <c r="J1441" t="s">
        <v>55</v>
      </c>
      <c r="K1441" t="s">
        <v>8</v>
      </c>
      <c r="L1441" t="s">
        <v>8</v>
      </c>
      <c r="M1441" t="s">
        <v>8</v>
      </c>
      <c r="N1441" t="s">
        <v>69</v>
      </c>
      <c r="O1441" t="s">
        <v>57</v>
      </c>
      <c r="P1441" t="s">
        <v>519</v>
      </c>
    </row>
    <row r="1442" spans="1:16" x14ac:dyDescent="0.25">
      <c r="A1442" t="s">
        <v>0</v>
      </c>
      <c r="B1442" s="2">
        <v>44862</v>
      </c>
      <c r="C1442" s="5" t="s">
        <v>30</v>
      </c>
      <c r="D1442" t="s">
        <v>534</v>
      </c>
      <c r="E1442" t="s">
        <v>535</v>
      </c>
      <c r="F1442" t="s">
        <v>4</v>
      </c>
      <c r="G1442" t="s">
        <v>5</v>
      </c>
      <c r="H1442" s="3">
        <v>8214.7099999999991</v>
      </c>
      <c r="I1442" t="s">
        <v>536</v>
      </c>
      <c r="J1442" t="s">
        <v>55</v>
      </c>
      <c r="K1442" t="s">
        <v>8</v>
      </c>
      <c r="L1442" t="s">
        <v>8</v>
      </c>
      <c r="M1442" t="s">
        <v>8</v>
      </c>
      <c r="N1442" t="s">
        <v>69</v>
      </c>
      <c r="O1442" t="s">
        <v>57</v>
      </c>
      <c r="P1442" t="s">
        <v>537</v>
      </c>
    </row>
    <row r="1443" spans="1:16" x14ac:dyDescent="0.25">
      <c r="A1443" t="s">
        <v>0</v>
      </c>
      <c r="B1443" s="2">
        <v>44862</v>
      </c>
      <c r="C1443" s="5" t="s">
        <v>30</v>
      </c>
      <c r="D1443" t="s">
        <v>380</v>
      </c>
      <c r="E1443" t="s">
        <v>381</v>
      </c>
      <c r="F1443" t="s">
        <v>4</v>
      </c>
      <c r="G1443" t="s">
        <v>5</v>
      </c>
      <c r="H1443" s="3">
        <v>6858.86</v>
      </c>
      <c r="I1443" t="s">
        <v>382</v>
      </c>
      <c r="J1443" t="s">
        <v>55</v>
      </c>
      <c r="K1443" t="s">
        <v>8</v>
      </c>
      <c r="L1443" t="s">
        <v>8</v>
      </c>
      <c r="M1443" t="s">
        <v>8</v>
      </c>
      <c r="N1443" t="s">
        <v>69</v>
      </c>
      <c r="O1443" t="s">
        <v>57</v>
      </c>
      <c r="P1443" t="s">
        <v>596</v>
      </c>
    </row>
    <row r="1444" spans="1:16" x14ac:dyDescent="0.25">
      <c r="A1444" t="s">
        <v>0</v>
      </c>
      <c r="B1444" s="2">
        <v>44862</v>
      </c>
      <c r="C1444" s="5" t="s">
        <v>30</v>
      </c>
      <c r="D1444" t="s">
        <v>122</v>
      </c>
      <c r="E1444" t="s">
        <v>123</v>
      </c>
      <c r="F1444" t="s">
        <v>4</v>
      </c>
      <c r="G1444" t="s">
        <v>5</v>
      </c>
      <c r="H1444" s="3">
        <v>6701.18</v>
      </c>
      <c r="I1444" t="s">
        <v>397</v>
      </c>
      <c r="J1444" t="s">
        <v>55</v>
      </c>
      <c r="K1444" t="s">
        <v>8</v>
      </c>
      <c r="L1444" t="s">
        <v>8</v>
      </c>
      <c r="M1444" t="s">
        <v>8</v>
      </c>
      <c r="N1444" t="s">
        <v>69</v>
      </c>
      <c r="O1444" t="s">
        <v>57</v>
      </c>
      <c r="P1444" t="s">
        <v>600</v>
      </c>
    </row>
    <row r="1445" spans="1:16" x14ac:dyDescent="0.25">
      <c r="A1445" t="s">
        <v>0</v>
      </c>
      <c r="B1445" s="2">
        <v>44862</v>
      </c>
      <c r="C1445" s="5" t="s">
        <v>30</v>
      </c>
      <c r="D1445" t="s">
        <v>294</v>
      </c>
      <c r="E1445" t="s">
        <v>295</v>
      </c>
      <c r="F1445" t="s">
        <v>4</v>
      </c>
      <c r="G1445" t="s">
        <v>5</v>
      </c>
      <c r="H1445" s="3">
        <v>6150.84</v>
      </c>
      <c r="I1445" t="s">
        <v>619</v>
      </c>
      <c r="J1445" t="s">
        <v>297</v>
      </c>
      <c r="K1445" t="s">
        <v>8</v>
      </c>
      <c r="L1445" t="s">
        <v>620</v>
      </c>
      <c r="M1445" t="s">
        <v>8</v>
      </c>
      <c r="N1445" t="s">
        <v>621</v>
      </c>
      <c r="O1445" t="s">
        <v>29</v>
      </c>
      <c r="P1445" t="s">
        <v>17</v>
      </c>
    </row>
    <row r="1446" spans="1:16" x14ac:dyDescent="0.25">
      <c r="A1446" t="s">
        <v>0</v>
      </c>
      <c r="B1446" s="2">
        <v>44862</v>
      </c>
      <c r="C1446" s="5" t="s">
        <v>30</v>
      </c>
      <c r="D1446" t="s">
        <v>266</v>
      </c>
      <c r="E1446" t="s">
        <v>267</v>
      </c>
      <c r="F1446" t="s">
        <v>4</v>
      </c>
      <c r="G1446" t="s">
        <v>5</v>
      </c>
      <c r="H1446" s="3">
        <v>5767.95</v>
      </c>
      <c r="I1446" t="s">
        <v>268</v>
      </c>
      <c r="J1446" t="s">
        <v>8</v>
      </c>
      <c r="K1446" t="s">
        <v>269</v>
      </c>
      <c r="L1446" t="s">
        <v>8</v>
      </c>
      <c r="M1446" t="s">
        <v>270</v>
      </c>
      <c r="N1446" t="s">
        <v>643</v>
      </c>
      <c r="O1446" t="s">
        <v>272</v>
      </c>
      <c r="P1446" t="s">
        <v>12</v>
      </c>
    </row>
    <row r="1447" spans="1:16" x14ac:dyDescent="0.25">
      <c r="A1447" t="s">
        <v>0</v>
      </c>
      <c r="B1447" s="2">
        <v>44862</v>
      </c>
      <c r="C1447" s="5" t="s">
        <v>30</v>
      </c>
      <c r="D1447" t="s">
        <v>624</v>
      </c>
      <c r="E1447" t="s">
        <v>625</v>
      </c>
      <c r="F1447" t="s">
        <v>4</v>
      </c>
      <c r="G1447" t="s">
        <v>5</v>
      </c>
      <c r="H1447" s="3">
        <v>5759.1</v>
      </c>
      <c r="I1447" t="s">
        <v>626</v>
      </c>
      <c r="J1447" t="s">
        <v>55</v>
      </c>
      <c r="K1447" t="s">
        <v>8</v>
      </c>
      <c r="L1447" t="s">
        <v>8</v>
      </c>
      <c r="M1447" t="s">
        <v>8</v>
      </c>
      <c r="N1447" t="s">
        <v>69</v>
      </c>
      <c r="O1447" t="s">
        <v>57</v>
      </c>
      <c r="P1447" t="s">
        <v>589</v>
      </c>
    </row>
    <row r="1448" spans="1:16" x14ac:dyDescent="0.25">
      <c r="A1448" t="s">
        <v>0</v>
      </c>
      <c r="B1448" s="2">
        <v>44862</v>
      </c>
      <c r="C1448" s="5" t="s">
        <v>30</v>
      </c>
      <c r="D1448" t="s">
        <v>769</v>
      </c>
      <c r="E1448" t="s">
        <v>770</v>
      </c>
      <c r="F1448" t="s">
        <v>4</v>
      </c>
      <c r="G1448" t="s">
        <v>5</v>
      </c>
      <c r="H1448" s="3">
        <v>2779.27</v>
      </c>
      <c r="I1448" t="s">
        <v>771</v>
      </c>
      <c r="J1448" t="s">
        <v>55</v>
      </c>
      <c r="K1448" t="s">
        <v>8</v>
      </c>
      <c r="L1448" t="s">
        <v>8</v>
      </c>
      <c r="M1448" t="s">
        <v>8</v>
      </c>
      <c r="N1448" t="s">
        <v>517</v>
      </c>
      <c r="O1448" t="s">
        <v>57</v>
      </c>
      <c r="P1448" t="s">
        <v>850</v>
      </c>
    </row>
    <row r="1449" spans="1:16" x14ac:dyDescent="0.25">
      <c r="A1449" t="s">
        <v>0</v>
      </c>
      <c r="B1449" s="2">
        <v>44862</v>
      </c>
      <c r="C1449" s="5" t="s">
        <v>30</v>
      </c>
      <c r="D1449" t="s">
        <v>822</v>
      </c>
      <c r="E1449" t="s">
        <v>823</v>
      </c>
      <c r="F1449" t="s">
        <v>4</v>
      </c>
      <c r="G1449" t="s">
        <v>5</v>
      </c>
      <c r="H1449" s="3">
        <v>2759.36</v>
      </c>
      <c r="I1449" t="s">
        <v>824</v>
      </c>
      <c r="J1449" t="s">
        <v>55</v>
      </c>
      <c r="K1449" t="s">
        <v>8</v>
      </c>
      <c r="L1449" t="s">
        <v>8</v>
      </c>
      <c r="M1449" t="s">
        <v>8</v>
      </c>
      <c r="N1449" t="s">
        <v>517</v>
      </c>
      <c r="O1449" t="s">
        <v>57</v>
      </c>
      <c r="P1449" t="s">
        <v>852</v>
      </c>
    </row>
    <row r="1450" spans="1:16" x14ac:dyDescent="0.25">
      <c r="A1450" t="s">
        <v>0</v>
      </c>
      <c r="B1450" s="2">
        <v>44862</v>
      </c>
      <c r="C1450" s="5" t="s">
        <v>30</v>
      </c>
      <c r="D1450" t="s">
        <v>954</v>
      </c>
      <c r="E1450" t="s">
        <v>955</v>
      </c>
      <c r="F1450" t="s">
        <v>4</v>
      </c>
      <c r="G1450" t="s">
        <v>5</v>
      </c>
      <c r="H1450" s="3">
        <v>2000</v>
      </c>
      <c r="I1450" t="s">
        <v>956</v>
      </c>
      <c r="J1450" t="s">
        <v>55</v>
      </c>
      <c r="K1450" t="s">
        <v>8</v>
      </c>
      <c r="L1450" t="s">
        <v>8</v>
      </c>
      <c r="M1450" t="s">
        <v>8</v>
      </c>
      <c r="N1450" t="s">
        <v>517</v>
      </c>
      <c r="O1450" t="s">
        <v>57</v>
      </c>
      <c r="P1450" t="s">
        <v>966</v>
      </c>
    </row>
    <row r="1451" spans="1:16" x14ac:dyDescent="0.25">
      <c r="A1451" t="s">
        <v>0</v>
      </c>
      <c r="B1451" s="2">
        <v>44862</v>
      </c>
      <c r="C1451" s="5" t="s">
        <v>30</v>
      </c>
      <c r="D1451" t="s">
        <v>266</v>
      </c>
      <c r="E1451" t="s">
        <v>267</v>
      </c>
      <c r="F1451" t="s">
        <v>4</v>
      </c>
      <c r="G1451" t="s">
        <v>5</v>
      </c>
      <c r="H1451" s="3">
        <v>1948.2</v>
      </c>
      <c r="I1451" t="s">
        <v>268</v>
      </c>
      <c r="J1451" t="s">
        <v>8</v>
      </c>
      <c r="K1451" t="s">
        <v>290</v>
      </c>
      <c r="L1451" t="s">
        <v>8</v>
      </c>
      <c r="M1451" t="s">
        <v>270</v>
      </c>
      <c r="N1451" t="s">
        <v>967</v>
      </c>
      <c r="O1451" t="s">
        <v>272</v>
      </c>
      <c r="P1451" t="s">
        <v>12</v>
      </c>
    </row>
    <row r="1452" spans="1:16" x14ac:dyDescent="0.25">
      <c r="A1452" t="s">
        <v>0</v>
      </c>
      <c r="B1452" s="2">
        <v>44862</v>
      </c>
      <c r="C1452" s="5" t="s">
        <v>30</v>
      </c>
      <c r="D1452" t="s">
        <v>301</v>
      </c>
      <c r="E1452" t="s">
        <v>302</v>
      </c>
      <c r="F1452" t="s">
        <v>4</v>
      </c>
      <c r="G1452" t="s">
        <v>5</v>
      </c>
      <c r="H1452" s="3">
        <v>1564.21</v>
      </c>
      <c r="I1452" t="s">
        <v>268</v>
      </c>
      <c r="J1452" t="s">
        <v>8</v>
      </c>
      <c r="K1452" t="s">
        <v>826</v>
      </c>
      <c r="L1452" t="s">
        <v>8</v>
      </c>
      <c r="M1452" t="s">
        <v>270</v>
      </c>
      <c r="N1452" t="s">
        <v>1071</v>
      </c>
      <c r="O1452" t="s">
        <v>272</v>
      </c>
      <c r="P1452" t="s">
        <v>43</v>
      </c>
    </row>
    <row r="1453" spans="1:16" x14ac:dyDescent="0.25">
      <c r="A1453" t="s">
        <v>0</v>
      </c>
      <c r="B1453" s="2">
        <v>44862</v>
      </c>
      <c r="C1453" s="5" t="s">
        <v>30</v>
      </c>
      <c r="D1453" t="s">
        <v>951</v>
      </c>
      <c r="E1453" t="s">
        <v>952</v>
      </c>
      <c r="F1453" t="s">
        <v>4</v>
      </c>
      <c r="G1453" t="s">
        <v>5</v>
      </c>
      <c r="H1453" s="3">
        <v>1418.81</v>
      </c>
      <c r="I1453" t="s">
        <v>953</v>
      </c>
      <c r="J1453" t="s">
        <v>55</v>
      </c>
      <c r="K1453" t="s">
        <v>8</v>
      </c>
      <c r="L1453" t="s">
        <v>8</v>
      </c>
      <c r="M1453" t="s">
        <v>8</v>
      </c>
      <c r="N1453" t="s">
        <v>517</v>
      </c>
      <c r="O1453" t="s">
        <v>57</v>
      </c>
      <c r="P1453" t="s">
        <v>253</v>
      </c>
    </row>
    <row r="1454" spans="1:16" x14ac:dyDescent="0.25">
      <c r="A1454" t="s">
        <v>0</v>
      </c>
      <c r="B1454" s="2">
        <v>44862</v>
      </c>
      <c r="C1454" s="5" t="s">
        <v>30</v>
      </c>
      <c r="D1454" t="s">
        <v>881</v>
      </c>
      <c r="E1454" t="s">
        <v>882</v>
      </c>
      <c r="F1454" t="s">
        <v>4</v>
      </c>
      <c r="G1454" t="s">
        <v>5</v>
      </c>
      <c r="H1454" s="3">
        <v>1221.0999999999999</v>
      </c>
      <c r="I1454" t="s">
        <v>1065</v>
      </c>
      <c r="J1454" t="s">
        <v>55</v>
      </c>
      <c r="K1454" t="s">
        <v>8</v>
      </c>
      <c r="L1454" t="s">
        <v>8</v>
      </c>
      <c r="M1454" t="s">
        <v>8</v>
      </c>
      <c r="N1454" t="s">
        <v>69</v>
      </c>
      <c r="O1454" t="s">
        <v>57</v>
      </c>
      <c r="P1454" t="s">
        <v>79</v>
      </c>
    </row>
    <row r="1455" spans="1:16" x14ac:dyDescent="0.25">
      <c r="A1455" t="s">
        <v>0</v>
      </c>
      <c r="B1455" s="2">
        <v>44862</v>
      </c>
      <c r="C1455" s="5" t="s">
        <v>30</v>
      </c>
      <c r="D1455" t="s">
        <v>301</v>
      </c>
      <c r="E1455" t="s">
        <v>302</v>
      </c>
      <c r="F1455" t="s">
        <v>4</v>
      </c>
      <c r="G1455" t="s">
        <v>5</v>
      </c>
      <c r="H1455" s="3">
        <v>1211.31</v>
      </c>
      <c r="I1455" t="s">
        <v>268</v>
      </c>
      <c r="J1455" t="s">
        <v>8</v>
      </c>
      <c r="K1455" t="s">
        <v>890</v>
      </c>
      <c r="L1455" t="s">
        <v>8</v>
      </c>
      <c r="M1455" t="s">
        <v>270</v>
      </c>
      <c r="N1455" t="s">
        <v>1148</v>
      </c>
      <c r="O1455" t="s">
        <v>272</v>
      </c>
      <c r="P1455" t="s">
        <v>30</v>
      </c>
    </row>
    <row r="1456" spans="1:16" x14ac:dyDescent="0.25">
      <c r="A1456" t="s">
        <v>0</v>
      </c>
      <c r="B1456" s="2">
        <v>44862</v>
      </c>
      <c r="C1456" s="5" t="s">
        <v>30</v>
      </c>
      <c r="D1456" t="s">
        <v>301</v>
      </c>
      <c r="E1456" t="s">
        <v>302</v>
      </c>
      <c r="F1456" t="s">
        <v>4</v>
      </c>
      <c r="G1456" t="s">
        <v>5</v>
      </c>
      <c r="H1456" s="3">
        <v>1136.58</v>
      </c>
      <c r="I1456" t="s">
        <v>268</v>
      </c>
      <c r="J1456" t="s">
        <v>8</v>
      </c>
      <c r="K1456" t="s">
        <v>1167</v>
      </c>
      <c r="L1456" t="s">
        <v>8</v>
      </c>
      <c r="M1456" t="s">
        <v>270</v>
      </c>
      <c r="N1456" t="s">
        <v>1175</v>
      </c>
      <c r="O1456" t="s">
        <v>272</v>
      </c>
      <c r="P1456" t="s">
        <v>43</v>
      </c>
    </row>
    <row r="1457" spans="1:16" x14ac:dyDescent="0.25">
      <c r="A1457" t="s">
        <v>0</v>
      </c>
      <c r="B1457" s="2">
        <v>44862</v>
      </c>
      <c r="C1457" s="5" t="s">
        <v>30</v>
      </c>
      <c r="D1457" t="s">
        <v>1184</v>
      </c>
      <c r="E1457" t="s">
        <v>1185</v>
      </c>
      <c r="F1457" t="s">
        <v>4</v>
      </c>
      <c r="G1457" t="s">
        <v>5</v>
      </c>
      <c r="H1457" s="3">
        <v>1064.08</v>
      </c>
      <c r="I1457" t="s">
        <v>1186</v>
      </c>
      <c r="J1457" t="s">
        <v>55</v>
      </c>
      <c r="K1457" t="s">
        <v>8</v>
      </c>
      <c r="L1457" t="s">
        <v>8</v>
      </c>
      <c r="M1457" t="s">
        <v>8</v>
      </c>
      <c r="N1457" t="s">
        <v>517</v>
      </c>
      <c r="O1457" t="s">
        <v>57</v>
      </c>
      <c r="P1457" t="s">
        <v>1195</v>
      </c>
    </row>
    <row r="1458" spans="1:16" x14ac:dyDescent="0.25">
      <c r="A1458" t="s">
        <v>0</v>
      </c>
      <c r="B1458" s="2">
        <v>44862</v>
      </c>
      <c r="C1458" s="5" t="s">
        <v>30</v>
      </c>
      <c r="D1458" t="s">
        <v>951</v>
      </c>
      <c r="E1458" t="s">
        <v>952</v>
      </c>
      <c r="F1458" t="s">
        <v>4</v>
      </c>
      <c r="G1458" t="s">
        <v>5</v>
      </c>
      <c r="H1458" s="3">
        <v>972.46</v>
      </c>
      <c r="I1458" t="s">
        <v>1178</v>
      </c>
      <c r="J1458" t="s">
        <v>55</v>
      </c>
      <c r="K1458" t="s">
        <v>8</v>
      </c>
      <c r="L1458" t="s">
        <v>8</v>
      </c>
      <c r="M1458" t="s">
        <v>8</v>
      </c>
      <c r="N1458" t="s">
        <v>517</v>
      </c>
      <c r="O1458" t="s">
        <v>57</v>
      </c>
      <c r="P1458" t="s">
        <v>1223</v>
      </c>
    </row>
    <row r="1459" spans="1:16" x14ac:dyDescent="0.25">
      <c r="A1459" t="s">
        <v>0</v>
      </c>
      <c r="B1459" s="2">
        <v>44862</v>
      </c>
      <c r="C1459" s="5" t="s">
        <v>30</v>
      </c>
      <c r="D1459" t="s">
        <v>266</v>
      </c>
      <c r="E1459" t="s">
        <v>267</v>
      </c>
      <c r="F1459" t="s">
        <v>4</v>
      </c>
      <c r="G1459" t="s">
        <v>5</v>
      </c>
      <c r="H1459" s="3">
        <v>670.63</v>
      </c>
      <c r="I1459" t="s">
        <v>268</v>
      </c>
      <c r="J1459" t="s">
        <v>8</v>
      </c>
      <c r="K1459" t="s">
        <v>932</v>
      </c>
      <c r="L1459" t="s">
        <v>8</v>
      </c>
      <c r="M1459" t="s">
        <v>270</v>
      </c>
      <c r="N1459" t="s">
        <v>1390</v>
      </c>
      <c r="O1459" t="s">
        <v>272</v>
      </c>
      <c r="P1459" t="s">
        <v>12</v>
      </c>
    </row>
    <row r="1460" spans="1:16" x14ac:dyDescent="0.25">
      <c r="A1460" t="s">
        <v>0</v>
      </c>
      <c r="B1460" s="2">
        <v>44862</v>
      </c>
      <c r="C1460" s="5" t="s">
        <v>30</v>
      </c>
      <c r="D1460" t="s">
        <v>301</v>
      </c>
      <c r="E1460" t="s">
        <v>302</v>
      </c>
      <c r="F1460" t="s">
        <v>4</v>
      </c>
      <c r="G1460" t="s">
        <v>5</v>
      </c>
      <c r="H1460" s="3">
        <v>547.85</v>
      </c>
      <c r="I1460" t="s">
        <v>268</v>
      </c>
      <c r="J1460" t="s">
        <v>8</v>
      </c>
      <c r="K1460" t="s">
        <v>1191</v>
      </c>
      <c r="L1460" t="s">
        <v>8</v>
      </c>
      <c r="M1460" t="s">
        <v>270</v>
      </c>
      <c r="N1460" t="s">
        <v>1449</v>
      </c>
      <c r="O1460" t="s">
        <v>272</v>
      </c>
      <c r="P1460" t="s">
        <v>82</v>
      </c>
    </row>
    <row r="1461" spans="1:16" x14ac:dyDescent="0.25">
      <c r="A1461" t="s">
        <v>0</v>
      </c>
      <c r="B1461" s="2">
        <v>44862</v>
      </c>
      <c r="C1461" s="5" t="s">
        <v>30</v>
      </c>
      <c r="D1461" t="s">
        <v>951</v>
      </c>
      <c r="E1461" t="s">
        <v>952</v>
      </c>
      <c r="F1461" t="s">
        <v>4</v>
      </c>
      <c r="G1461" t="s">
        <v>5</v>
      </c>
      <c r="H1461" s="3">
        <v>521.13</v>
      </c>
      <c r="I1461" t="s">
        <v>1359</v>
      </c>
      <c r="J1461" t="s">
        <v>55</v>
      </c>
      <c r="K1461" t="s">
        <v>8</v>
      </c>
      <c r="L1461" t="s">
        <v>8</v>
      </c>
      <c r="M1461" t="s">
        <v>8</v>
      </c>
      <c r="N1461" t="s">
        <v>517</v>
      </c>
      <c r="O1461" t="s">
        <v>57</v>
      </c>
      <c r="P1461" t="s">
        <v>1463</v>
      </c>
    </row>
    <row r="1462" spans="1:16" x14ac:dyDescent="0.25">
      <c r="A1462" t="s">
        <v>0</v>
      </c>
      <c r="B1462" s="2">
        <v>44862</v>
      </c>
      <c r="C1462" s="5" t="s">
        <v>30</v>
      </c>
      <c r="D1462" t="s">
        <v>514</v>
      </c>
      <c r="E1462" t="s">
        <v>515</v>
      </c>
      <c r="F1462" t="s">
        <v>4</v>
      </c>
      <c r="G1462" t="s">
        <v>5</v>
      </c>
      <c r="H1462" s="3">
        <v>491.91</v>
      </c>
      <c r="I1462" t="s">
        <v>889</v>
      </c>
      <c r="J1462" t="s">
        <v>55</v>
      </c>
      <c r="K1462" t="s">
        <v>8</v>
      </c>
      <c r="L1462" t="s">
        <v>8</v>
      </c>
      <c r="M1462" t="s">
        <v>8</v>
      </c>
      <c r="N1462" t="s">
        <v>517</v>
      </c>
      <c r="O1462" t="s">
        <v>57</v>
      </c>
      <c r="P1462" t="s">
        <v>1486</v>
      </c>
    </row>
    <row r="1463" spans="1:16" x14ac:dyDescent="0.25">
      <c r="A1463" t="s">
        <v>0</v>
      </c>
      <c r="B1463" s="2">
        <v>44862</v>
      </c>
      <c r="C1463" s="5" t="s">
        <v>30</v>
      </c>
      <c r="D1463" t="s">
        <v>1506</v>
      </c>
      <c r="E1463" t="s">
        <v>1507</v>
      </c>
      <c r="F1463" t="s">
        <v>4</v>
      </c>
      <c r="G1463" t="s">
        <v>5</v>
      </c>
      <c r="H1463" s="3">
        <v>401.14</v>
      </c>
      <c r="I1463" t="s">
        <v>1508</v>
      </c>
      <c r="J1463" t="s">
        <v>55</v>
      </c>
      <c r="K1463" t="s">
        <v>8</v>
      </c>
      <c r="L1463" t="s">
        <v>8</v>
      </c>
      <c r="M1463" t="s">
        <v>8</v>
      </c>
      <c r="N1463" t="s">
        <v>517</v>
      </c>
      <c r="O1463" t="s">
        <v>57</v>
      </c>
      <c r="P1463" t="s">
        <v>1603</v>
      </c>
    </row>
    <row r="1464" spans="1:16" x14ac:dyDescent="0.25">
      <c r="A1464" t="s">
        <v>0</v>
      </c>
      <c r="B1464" s="2">
        <v>44862</v>
      </c>
      <c r="C1464" s="5" t="s">
        <v>30</v>
      </c>
      <c r="D1464" t="s">
        <v>1506</v>
      </c>
      <c r="E1464" t="s">
        <v>1507</v>
      </c>
      <c r="F1464" t="s">
        <v>4</v>
      </c>
      <c r="G1464" t="s">
        <v>5</v>
      </c>
      <c r="H1464" s="3">
        <v>390.86</v>
      </c>
      <c r="I1464" t="s">
        <v>1601</v>
      </c>
      <c r="J1464" t="s">
        <v>55</v>
      </c>
      <c r="K1464" t="s">
        <v>8</v>
      </c>
      <c r="L1464" t="s">
        <v>8</v>
      </c>
      <c r="M1464" t="s">
        <v>8</v>
      </c>
      <c r="N1464" t="s">
        <v>517</v>
      </c>
      <c r="O1464" t="s">
        <v>57</v>
      </c>
      <c r="P1464" t="s">
        <v>1615</v>
      </c>
    </row>
    <row r="1465" spans="1:16" x14ac:dyDescent="0.25">
      <c r="A1465" t="s">
        <v>0</v>
      </c>
      <c r="B1465" s="2">
        <v>44862</v>
      </c>
      <c r="C1465" s="5" t="s">
        <v>30</v>
      </c>
      <c r="D1465" t="s">
        <v>380</v>
      </c>
      <c r="E1465" t="s">
        <v>381</v>
      </c>
      <c r="F1465" t="s">
        <v>4</v>
      </c>
      <c r="G1465" t="s">
        <v>5</v>
      </c>
      <c r="H1465" s="3">
        <v>360.16</v>
      </c>
      <c r="I1465" t="s">
        <v>1587</v>
      </c>
      <c r="J1465" t="s">
        <v>55</v>
      </c>
      <c r="K1465" t="s">
        <v>8</v>
      </c>
      <c r="L1465" t="s">
        <v>8</v>
      </c>
      <c r="M1465" t="s">
        <v>8</v>
      </c>
      <c r="N1465" t="s">
        <v>517</v>
      </c>
      <c r="O1465" t="s">
        <v>57</v>
      </c>
      <c r="P1465" t="s">
        <v>1633</v>
      </c>
    </row>
    <row r="1466" spans="1:16" x14ac:dyDescent="0.25">
      <c r="A1466" t="s">
        <v>0</v>
      </c>
      <c r="B1466" s="2">
        <v>44862</v>
      </c>
      <c r="C1466" s="5" t="s">
        <v>30</v>
      </c>
      <c r="D1466" t="s">
        <v>316</v>
      </c>
      <c r="E1466" t="s">
        <v>317</v>
      </c>
      <c r="F1466" t="s">
        <v>4</v>
      </c>
      <c r="G1466" t="s">
        <v>5</v>
      </c>
      <c r="H1466" s="3">
        <v>200</v>
      </c>
      <c r="I1466" t="s">
        <v>318</v>
      </c>
      <c r="J1466" t="s">
        <v>55</v>
      </c>
      <c r="K1466" t="s">
        <v>8</v>
      </c>
      <c r="L1466" t="s">
        <v>8</v>
      </c>
      <c r="M1466" t="s">
        <v>8</v>
      </c>
      <c r="N1466" t="s">
        <v>69</v>
      </c>
      <c r="O1466" t="s">
        <v>57</v>
      </c>
      <c r="P1466" t="s">
        <v>1778</v>
      </c>
    </row>
    <row r="1467" spans="1:16" x14ac:dyDescent="0.25">
      <c r="A1467" t="s">
        <v>0</v>
      </c>
      <c r="B1467" s="2">
        <v>44862</v>
      </c>
      <c r="C1467" s="5" t="s">
        <v>30</v>
      </c>
      <c r="D1467" t="s">
        <v>266</v>
      </c>
      <c r="E1467" t="s">
        <v>267</v>
      </c>
      <c r="F1467" t="s">
        <v>4</v>
      </c>
      <c r="G1467" t="s">
        <v>5</v>
      </c>
      <c r="H1467" s="3">
        <v>160.93</v>
      </c>
      <c r="I1467" t="s">
        <v>268</v>
      </c>
      <c r="J1467" t="s">
        <v>8</v>
      </c>
      <c r="K1467" t="s">
        <v>269</v>
      </c>
      <c r="L1467" t="s">
        <v>8</v>
      </c>
      <c r="M1467" t="s">
        <v>270</v>
      </c>
      <c r="N1467" t="s">
        <v>1824</v>
      </c>
      <c r="O1467" t="s">
        <v>95</v>
      </c>
      <c r="P1467" t="s">
        <v>12</v>
      </c>
    </row>
    <row r="1468" spans="1:16" x14ac:dyDescent="0.25">
      <c r="A1468" t="s">
        <v>0</v>
      </c>
      <c r="B1468" s="2">
        <v>44862</v>
      </c>
      <c r="C1468" s="5" t="s">
        <v>30</v>
      </c>
      <c r="D1468" t="s">
        <v>624</v>
      </c>
      <c r="E1468" t="s">
        <v>625</v>
      </c>
      <c r="F1468" t="s">
        <v>4</v>
      </c>
      <c r="G1468" t="s">
        <v>5</v>
      </c>
      <c r="H1468" s="3">
        <v>114.72</v>
      </c>
      <c r="I1468" t="s">
        <v>1841</v>
      </c>
      <c r="J1468" t="s">
        <v>55</v>
      </c>
      <c r="K1468" t="s">
        <v>8</v>
      </c>
      <c r="L1468" t="s">
        <v>8</v>
      </c>
      <c r="M1468" t="s">
        <v>8</v>
      </c>
      <c r="N1468" t="s">
        <v>517</v>
      </c>
      <c r="O1468" t="s">
        <v>57</v>
      </c>
      <c r="P1468" t="s">
        <v>1908</v>
      </c>
    </row>
    <row r="1469" spans="1:16" x14ac:dyDescent="0.25">
      <c r="A1469" t="s">
        <v>0</v>
      </c>
      <c r="B1469" s="2">
        <v>44862</v>
      </c>
      <c r="C1469" s="5" t="s">
        <v>30</v>
      </c>
      <c r="D1469" t="s">
        <v>266</v>
      </c>
      <c r="E1469" t="s">
        <v>267</v>
      </c>
      <c r="F1469" t="s">
        <v>4</v>
      </c>
      <c r="G1469" t="s">
        <v>5</v>
      </c>
      <c r="H1469" s="3">
        <v>108.87</v>
      </c>
      <c r="I1469" t="s">
        <v>268</v>
      </c>
      <c r="J1469" t="s">
        <v>8</v>
      </c>
      <c r="K1469" t="s">
        <v>1911</v>
      </c>
      <c r="L1469" t="s">
        <v>8</v>
      </c>
      <c r="M1469" t="s">
        <v>270</v>
      </c>
      <c r="N1469" t="s">
        <v>1912</v>
      </c>
      <c r="O1469" t="s">
        <v>272</v>
      </c>
      <c r="P1469" t="s">
        <v>12</v>
      </c>
    </row>
    <row r="1470" spans="1:16" x14ac:dyDescent="0.25">
      <c r="A1470" t="s">
        <v>0</v>
      </c>
      <c r="B1470" s="2">
        <v>44862</v>
      </c>
      <c r="C1470" s="5" t="s">
        <v>30</v>
      </c>
      <c r="D1470" t="s">
        <v>390</v>
      </c>
      <c r="E1470" t="s">
        <v>391</v>
      </c>
      <c r="F1470" t="s">
        <v>4</v>
      </c>
      <c r="G1470" t="s">
        <v>5</v>
      </c>
      <c r="H1470" s="3">
        <v>69.03</v>
      </c>
      <c r="I1470" t="s">
        <v>1991</v>
      </c>
      <c r="J1470" t="s">
        <v>809</v>
      </c>
      <c r="K1470" t="s">
        <v>8</v>
      </c>
      <c r="L1470" t="s">
        <v>1994</v>
      </c>
      <c r="M1470" t="s">
        <v>8</v>
      </c>
      <c r="N1470" t="s">
        <v>1995</v>
      </c>
      <c r="O1470" t="s">
        <v>29</v>
      </c>
      <c r="P1470" t="s">
        <v>1304</v>
      </c>
    </row>
    <row r="1471" spans="1:16" x14ac:dyDescent="0.25">
      <c r="A1471" t="s">
        <v>0</v>
      </c>
      <c r="B1471" s="2">
        <v>44862</v>
      </c>
      <c r="C1471" s="5" t="s">
        <v>30</v>
      </c>
      <c r="D1471" t="s">
        <v>644</v>
      </c>
      <c r="E1471" t="s">
        <v>645</v>
      </c>
      <c r="F1471" t="s">
        <v>4</v>
      </c>
      <c r="G1471" t="s">
        <v>5</v>
      </c>
      <c r="H1471" s="3">
        <v>-36.799999999999997</v>
      </c>
      <c r="I1471" t="s">
        <v>2167</v>
      </c>
      <c r="J1471" t="s">
        <v>2165</v>
      </c>
      <c r="K1471" t="s">
        <v>8</v>
      </c>
      <c r="L1471" t="s">
        <v>8</v>
      </c>
      <c r="M1471" t="s">
        <v>8</v>
      </c>
      <c r="N1471" t="s">
        <v>517</v>
      </c>
      <c r="O1471" t="s">
        <v>57</v>
      </c>
      <c r="P1471" t="s">
        <v>2182</v>
      </c>
    </row>
    <row r="1472" spans="1:16" x14ac:dyDescent="0.25">
      <c r="A1472" t="s">
        <v>0</v>
      </c>
      <c r="B1472" s="2">
        <v>44862</v>
      </c>
      <c r="C1472" s="5" t="s">
        <v>30</v>
      </c>
      <c r="D1472" t="s">
        <v>108</v>
      </c>
      <c r="E1472" t="s">
        <v>109</v>
      </c>
      <c r="F1472" t="s">
        <v>4</v>
      </c>
      <c r="G1472" t="s">
        <v>5</v>
      </c>
      <c r="H1472" s="3">
        <v>-52.63</v>
      </c>
      <c r="I1472" t="s">
        <v>2175</v>
      </c>
      <c r="J1472" t="s">
        <v>2165</v>
      </c>
      <c r="K1472" t="s">
        <v>8</v>
      </c>
      <c r="L1472" t="s">
        <v>8</v>
      </c>
      <c r="M1472" t="s">
        <v>8</v>
      </c>
      <c r="N1472" t="s">
        <v>517</v>
      </c>
      <c r="O1472" t="s">
        <v>57</v>
      </c>
      <c r="P1472" t="s">
        <v>235</v>
      </c>
    </row>
    <row r="1473" spans="1:16" x14ac:dyDescent="0.25">
      <c r="A1473" t="s">
        <v>0</v>
      </c>
      <c r="B1473" s="2">
        <v>44862</v>
      </c>
      <c r="C1473" s="5" t="s">
        <v>30</v>
      </c>
      <c r="D1473" t="s">
        <v>881</v>
      </c>
      <c r="E1473" t="s">
        <v>882</v>
      </c>
      <c r="F1473" t="s">
        <v>4</v>
      </c>
      <c r="G1473" t="s">
        <v>5</v>
      </c>
      <c r="H1473" s="3">
        <v>-59.9</v>
      </c>
      <c r="I1473" t="s">
        <v>2183</v>
      </c>
      <c r="J1473" t="s">
        <v>2165</v>
      </c>
      <c r="K1473" t="s">
        <v>8</v>
      </c>
      <c r="L1473" t="s">
        <v>8</v>
      </c>
      <c r="M1473" t="s">
        <v>8</v>
      </c>
      <c r="N1473" t="s">
        <v>517</v>
      </c>
      <c r="O1473" t="s">
        <v>57</v>
      </c>
      <c r="P1473" t="s">
        <v>2186</v>
      </c>
    </row>
    <row r="1474" spans="1:16" x14ac:dyDescent="0.25">
      <c r="A1474" t="s">
        <v>0</v>
      </c>
      <c r="B1474" s="2">
        <v>44862</v>
      </c>
      <c r="C1474" s="5" t="s">
        <v>30</v>
      </c>
      <c r="D1474" t="s">
        <v>2191</v>
      </c>
      <c r="E1474" t="s">
        <v>2192</v>
      </c>
      <c r="F1474" t="s">
        <v>4</v>
      </c>
      <c r="G1474" t="s">
        <v>5</v>
      </c>
      <c r="H1474" s="3">
        <v>-100.17</v>
      </c>
      <c r="I1474" t="s">
        <v>2193</v>
      </c>
      <c r="J1474" t="s">
        <v>2165</v>
      </c>
      <c r="K1474" t="s">
        <v>8</v>
      </c>
      <c r="L1474" t="s">
        <v>8</v>
      </c>
      <c r="M1474" t="s">
        <v>8</v>
      </c>
      <c r="N1474" t="s">
        <v>517</v>
      </c>
      <c r="O1474" t="s">
        <v>57</v>
      </c>
      <c r="P1474" t="s">
        <v>2198</v>
      </c>
    </row>
    <row r="1475" spans="1:16" x14ac:dyDescent="0.25">
      <c r="A1475" t="s">
        <v>0</v>
      </c>
      <c r="B1475" s="2">
        <v>44862</v>
      </c>
      <c r="C1475" s="5" t="s">
        <v>30</v>
      </c>
      <c r="D1475" t="s">
        <v>108</v>
      </c>
      <c r="E1475" t="s">
        <v>109</v>
      </c>
      <c r="F1475" t="s">
        <v>4</v>
      </c>
      <c r="G1475" t="s">
        <v>5</v>
      </c>
      <c r="H1475" s="3">
        <v>-141.33000000000001</v>
      </c>
      <c r="I1475" t="s">
        <v>2200</v>
      </c>
      <c r="J1475" t="s">
        <v>2165</v>
      </c>
      <c r="K1475" t="s">
        <v>8</v>
      </c>
      <c r="L1475" t="s">
        <v>8</v>
      </c>
      <c r="M1475" t="s">
        <v>8</v>
      </c>
      <c r="N1475" t="s">
        <v>517</v>
      </c>
      <c r="O1475" t="s">
        <v>57</v>
      </c>
      <c r="P1475" t="s">
        <v>2205</v>
      </c>
    </row>
    <row r="1476" spans="1:16" x14ac:dyDescent="0.25">
      <c r="A1476" t="s">
        <v>0</v>
      </c>
      <c r="B1476" s="2">
        <v>44862</v>
      </c>
      <c r="C1476" s="5" t="s">
        <v>30</v>
      </c>
      <c r="D1476" t="s">
        <v>1207</v>
      </c>
      <c r="E1476" t="s">
        <v>1208</v>
      </c>
      <c r="F1476" t="s">
        <v>4</v>
      </c>
      <c r="G1476" t="s">
        <v>5</v>
      </c>
      <c r="H1476" s="3">
        <v>-222.9</v>
      </c>
      <c r="I1476" t="s">
        <v>2162</v>
      </c>
      <c r="J1476" t="s">
        <v>2165</v>
      </c>
      <c r="K1476" t="s">
        <v>8</v>
      </c>
      <c r="L1476" t="s">
        <v>8</v>
      </c>
      <c r="M1476" t="s">
        <v>8</v>
      </c>
      <c r="N1476" t="s">
        <v>517</v>
      </c>
      <c r="O1476" t="s">
        <v>57</v>
      </c>
      <c r="P1476" t="s">
        <v>2214</v>
      </c>
    </row>
    <row r="1477" spans="1:16" x14ac:dyDescent="0.25">
      <c r="A1477" t="s">
        <v>0</v>
      </c>
      <c r="B1477" s="2">
        <v>44862</v>
      </c>
      <c r="C1477" s="5" t="s">
        <v>30</v>
      </c>
      <c r="D1477" t="s">
        <v>108</v>
      </c>
      <c r="E1477" t="s">
        <v>109</v>
      </c>
      <c r="F1477" t="s">
        <v>4</v>
      </c>
      <c r="G1477" t="s">
        <v>5</v>
      </c>
      <c r="H1477" s="3">
        <v>-414.28</v>
      </c>
      <c r="I1477" t="s">
        <v>2218</v>
      </c>
      <c r="J1477" t="s">
        <v>2165</v>
      </c>
      <c r="K1477" t="s">
        <v>8</v>
      </c>
      <c r="L1477" t="s">
        <v>8</v>
      </c>
      <c r="M1477" t="s">
        <v>8</v>
      </c>
      <c r="N1477" t="s">
        <v>69</v>
      </c>
      <c r="O1477" t="s">
        <v>57</v>
      </c>
      <c r="P1477" t="s">
        <v>176</v>
      </c>
    </row>
    <row r="1478" spans="1:16" x14ac:dyDescent="0.25">
      <c r="A1478" t="s">
        <v>0</v>
      </c>
      <c r="B1478" s="2">
        <v>44862</v>
      </c>
      <c r="C1478" s="5" t="s">
        <v>30</v>
      </c>
      <c r="D1478" t="s">
        <v>108</v>
      </c>
      <c r="E1478" t="s">
        <v>109</v>
      </c>
      <c r="F1478" t="s">
        <v>4</v>
      </c>
      <c r="G1478" t="s">
        <v>5</v>
      </c>
      <c r="H1478" s="3">
        <v>-473.46</v>
      </c>
      <c r="I1478" t="s">
        <v>2221</v>
      </c>
      <c r="J1478" t="s">
        <v>2165</v>
      </c>
      <c r="K1478" t="s">
        <v>8</v>
      </c>
      <c r="L1478" t="s">
        <v>8</v>
      </c>
      <c r="M1478" t="s">
        <v>8</v>
      </c>
      <c r="N1478" t="s">
        <v>69</v>
      </c>
      <c r="O1478" t="s">
        <v>57</v>
      </c>
      <c r="P1478" t="s">
        <v>573</v>
      </c>
    </row>
    <row r="1479" spans="1:16" x14ac:dyDescent="0.25">
      <c r="A1479" t="s">
        <v>0</v>
      </c>
      <c r="B1479" s="2">
        <v>44862</v>
      </c>
      <c r="C1479" s="5" t="s">
        <v>30</v>
      </c>
      <c r="D1479" t="s">
        <v>644</v>
      </c>
      <c r="E1479" t="s">
        <v>645</v>
      </c>
      <c r="F1479" t="s">
        <v>4</v>
      </c>
      <c r="G1479" t="s">
        <v>5</v>
      </c>
      <c r="H1479" s="3">
        <v>-498.48</v>
      </c>
      <c r="I1479" t="s">
        <v>2228</v>
      </c>
      <c r="J1479" t="s">
        <v>2165</v>
      </c>
      <c r="K1479" t="s">
        <v>8</v>
      </c>
      <c r="L1479" t="s">
        <v>8</v>
      </c>
      <c r="M1479" t="s">
        <v>8</v>
      </c>
      <c r="N1479" t="s">
        <v>69</v>
      </c>
      <c r="O1479" t="s">
        <v>57</v>
      </c>
      <c r="P1479" t="s">
        <v>562</v>
      </c>
    </row>
    <row r="1480" spans="1:16" x14ac:dyDescent="0.25">
      <c r="A1480" t="s">
        <v>0</v>
      </c>
      <c r="B1480" s="2">
        <v>44862</v>
      </c>
      <c r="C1480" s="5" t="s">
        <v>30</v>
      </c>
      <c r="D1480" t="s">
        <v>108</v>
      </c>
      <c r="E1480" t="s">
        <v>109</v>
      </c>
      <c r="F1480" t="s">
        <v>4</v>
      </c>
      <c r="G1480" t="s">
        <v>5</v>
      </c>
      <c r="H1480" s="3">
        <v>-659.54</v>
      </c>
      <c r="I1480" t="s">
        <v>2233</v>
      </c>
      <c r="J1480" t="s">
        <v>2165</v>
      </c>
      <c r="K1480" t="s">
        <v>8</v>
      </c>
      <c r="L1480" t="s">
        <v>8</v>
      </c>
      <c r="M1480" t="s">
        <v>8</v>
      </c>
      <c r="N1480" t="s">
        <v>69</v>
      </c>
      <c r="O1480" t="s">
        <v>57</v>
      </c>
      <c r="P1480" t="s">
        <v>2234</v>
      </c>
    </row>
    <row r="1481" spans="1:16" x14ac:dyDescent="0.25">
      <c r="A1481" t="s">
        <v>0</v>
      </c>
      <c r="B1481" s="2">
        <v>44862</v>
      </c>
      <c r="C1481" s="5" t="s">
        <v>30</v>
      </c>
      <c r="D1481" t="s">
        <v>2191</v>
      </c>
      <c r="E1481" t="s">
        <v>2192</v>
      </c>
      <c r="F1481" t="s">
        <v>4</v>
      </c>
      <c r="G1481" t="s">
        <v>5</v>
      </c>
      <c r="H1481" s="3">
        <v>-813.92</v>
      </c>
      <c r="I1481" t="s">
        <v>2217</v>
      </c>
      <c r="J1481" t="s">
        <v>2165</v>
      </c>
      <c r="K1481" t="s">
        <v>8</v>
      </c>
      <c r="L1481" t="s">
        <v>8</v>
      </c>
      <c r="M1481" t="s">
        <v>8</v>
      </c>
      <c r="N1481" t="s">
        <v>69</v>
      </c>
      <c r="O1481" t="s">
        <v>57</v>
      </c>
      <c r="P1481" t="s">
        <v>598</v>
      </c>
    </row>
    <row r="1482" spans="1:16" x14ac:dyDescent="0.25">
      <c r="A1482" t="s">
        <v>0</v>
      </c>
      <c r="B1482" s="2">
        <v>44862</v>
      </c>
      <c r="C1482" s="5" t="s">
        <v>30</v>
      </c>
      <c r="D1482" t="s">
        <v>1207</v>
      </c>
      <c r="E1482" t="s">
        <v>1208</v>
      </c>
      <c r="F1482" t="s">
        <v>4</v>
      </c>
      <c r="G1482" t="s">
        <v>5</v>
      </c>
      <c r="H1482" s="3">
        <v>-1232.77</v>
      </c>
      <c r="I1482" t="s">
        <v>2244</v>
      </c>
      <c r="J1482" t="s">
        <v>2165</v>
      </c>
      <c r="K1482" t="s">
        <v>8</v>
      </c>
      <c r="L1482" t="s">
        <v>8</v>
      </c>
      <c r="M1482" t="s">
        <v>8</v>
      </c>
      <c r="N1482" t="s">
        <v>69</v>
      </c>
      <c r="O1482" t="s">
        <v>57</v>
      </c>
      <c r="P1482" t="s">
        <v>147</v>
      </c>
    </row>
    <row r="1483" spans="1:16" x14ac:dyDescent="0.25">
      <c r="A1483" t="s">
        <v>0</v>
      </c>
      <c r="B1483" s="2">
        <v>44865</v>
      </c>
      <c r="C1483" t="s">
        <v>30</v>
      </c>
      <c r="D1483" t="s">
        <v>90</v>
      </c>
      <c r="E1483" t="s">
        <v>91</v>
      </c>
      <c r="F1483" t="s">
        <v>4</v>
      </c>
      <c r="G1483" t="s">
        <v>5</v>
      </c>
      <c r="H1483" s="3">
        <v>97364.79</v>
      </c>
      <c r="I1483" t="s">
        <v>102</v>
      </c>
      <c r="J1483" t="s">
        <v>93</v>
      </c>
      <c r="K1483" t="s">
        <v>8</v>
      </c>
      <c r="L1483" t="s">
        <v>8</v>
      </c>
      <c r="M1483" t="s">
        <v>8</v>
      </c>
      <c r="N1483" t="s">
        <v>103</v>
      </c>
      <c r="O1483" t="s">
        <v>95</v>
      </c>
      <c r="P1483" t="s">
        <v>87</v>
      </c>
    </row>
    <row r="1484" spans="1:16" x14ac:dyDescent="0.25">
      <c r="A1484" t="s">
        <v>0</v>
      </c>
      <c r="B1484" s="2">
        <v>44865</v>
      </c>
      <c r="C1484" t="s">
        <v>30</v>
      </c>
      <c r="D1484" t="s">
        <v>185</v>
      </c>
      <c r="E1484" t="s">
        <v>186</v>
      </c>
      <c r="F1484" t="s">
        <v>4</v>
      </c>
      <c r="G1484" t="s">
        <v>5</v>
      </c>
      <c r="H1484" s="3">
        <v>28230.48</v>
      </c>
      <c r="I1484" t="s">
        <v>203</v>
      </c>
      <c r="J1484" t="s">
        <v>188</v>
      </c>
      <c r="K1484" t="s">
        <v>8</v>
      </c>
      <c r="L1484" t="s">
        <v>8</v>
      </c>
      <c r="M1484" t="s">
        <v>8</v>
      </c>
      <c r="N1484" t="s">
        <v>204</v>
      </c>
      <c r="O1484" t="s">
        <v>95</v>
      </c>
      <c r="P1484" t="s">
        <v>198</v>
      </c>
    </row>
    <row r="1485" spans="1:16" x14ac:dyDescent="0.25">
      <c r="A1485" t="s">
        <v>0</v>
      </c>
      <c r="B1485" s="2">
        <v>44865</v>
      </c>
      <c r="C1485" t="s">
        <v>30</v>
      </c>
      <c r="D1485" t="s">
        <v>241</v>
      </c>
      <c r="E1485" t="s">
        <v>242</v>
      </c>
      <c r="F1485" t="s">
        <v>4</v>
      </c>
      <c r="G1485" t="s">
        <v>5</v>
      </c>
      <c r="H1485" s="3">
        <v>23411.97</v>
      </c>
      <c r="I1485" t="s">
        <v>247</v>
      </c>
      <c r="J1485" t="s">
        <v>248</v>
      </c>
      <c r="K1485" t="s">
        <v>8</v>
      </c>
      <c r="L1485" t="s">
        <v>8</v>
      </c>
      <c r="M1485" t="s">
        <v>8</v>
      </c>
      <c r="N1485" t="s">
        <v>249</v>
      </c>
      <c r="O1485" t="s">
        <v>95</v>
      </c>
      <c r="P1485" t="s">
        <v>250</v>
      </c>
    </row>
    <row r="1486" spans="1:16" x14ac:dyDescent="0.25">
      <c r="A1486" t="s">
        <v>0</v>
      </c>
      <c r="B1486" s="2">
        <v>44865</v>
      </c>
      <c r="C1486" t="s">
        <v>30</v>
      </c>
      <c r="D1486" t="s">
        <v>229</v>
      </c>
      <c r="E1486" t="s">
        <v>230</v>
      </c>
      <c r="F1486" t="s">
        <v>4</v>
      </c>
      <c r="G1486" t="s">
        <v>5</v>
      </c>
      <c r="H1486" s="3">
        <v>23185.22</v>
      </c>
      <c r="I1486" t="s">
        <v>251</v>
      </c>
      <c r="J1486" t="s">
        <v>232</v>
      </c>
      <c r="K1486" t="s">
        <v>8</v>
      </c>
      <c r="L1486" t="s">
        <v>8</v>
      </c>
      <c r="M1486" t="s">
        <v>8</v>
      </c>
      <c r="N1486" t="s">
        <v>254</v>
      </c>
      <c r="O1486" t="s">
        <v>234</v>
      </c>
      <c r="P1486" t="s">
        <v>255</v>
      </c>
    </row>
    <row r="1487" spans="1:16" x14ac:dyDescent="0.25">
      <c r="A1487" t="s">
        <v>0</v>
      </c>
      <c r="B1487" s="2">
        <v>44865</v>
      </c>
      <c r="C1487" t="s">
        <v>30</v>
      </c>
      <c r="D1487" t="s">
        <v>333</v>
      </c>
      <c r="E1487" t="s">
        <v>334</v>
      </c>
      <c r="F1487" t="s">
        <v>4</v>
      </c>
      <c r="G1487" t="s">
        <v>5</v>
      </c>
      <c r="H1487" s="3">
        <v>14459.14</v>
      </c>
      <c r="I1487" t="s">
        <v>247</v>
      </c>
      <c r="J1487" t="s">
        <v>248</v>
      </c>
      <c r="K1487" t="s">
        <v>8</v>
      </c>
      <c r="L1487" t="s">
        <v>8</v>
      </c>
      <c r="M1487" t="s">
        <v>8</v>
      </c>
      <c r="N1487" t="s">
        <v>249</v>
      </c>
      <c r="O1487" t="s">
        <v>95</v>
      </c>
      <c r="P1487" t="s">
        <v>343</v>
      </c>
    </row>
    <row r="1488" spans="1:16" x14ac:dyDescent="0.25">
      <c r="A1488" t="s">
        <v>0</v>
      </c>
      <c r="B1488" s="2">
        <v>44865</v>
      </c>
      <c r="C1488" s="5" t="s">
        <v>30</v>
      </c>
      <c r="D1488" t="s">
        <v>398</v>
      </c>
      <c r="E1488" t="s">
        <v>399</v>
      </c>
      <c r="F1488" t="s">
        <v>4</v>
      </c>
      <c r="G1488" t="s">
        <v>5</v>
      </c>
      <c r="H1488" s="3">
        <v>5774.59</v>
      </c>
      <c r="I1488" t="s">
        <v>639</v>
      </c>
      <c r="J1488" t="s">
        <v>217</v>
      </c>
      <c r="K1488" t="s">
        <v>8</v>
      </c>
      <c r="L1488" t="s">
        <v>8</v>
      </c>
      <c r="M1488" t="s">
        <v>8</v>
      </c>
      <c r="N1488" t="s">
        <v>640</v>
      </c>
      <c r="O1488" t="s">
        <v>641</v>
      </c>
      <c r="P1488" t="s">
        <v>642</v>
      </c>
    </row>
    <row r="1489" spans="1:16" x14ac:dyDescent="0.25">
      <c r="A1489" t="s">
        <v>0</v>
      </c>
      <c r="B1489" s="2">
        <v>44865</v>
      </c>
      <c r="C1489" s="5" t="s">
        <v>30</v>
      </c>
      <c r="D1489" t="s">
        <v>2</v>
      </c>
      <c r="E1489" t="s">
        <v>3</v>
      </c>
      <c r="F1489" t="s">
        <v>4</v>
      </c>
      <c r="G1489" t="s">
        <v>5</v>
      </c>
      <c r="H1489" s="3">
        <v>3885.83</v>
      </c>
      <c r="I1489" t="s">
        <v>757</v>
      </c>
      <c r="J1489" t="s">
        <v>460</v>
      </c>
      <c r="K1489" t="s">
        <v>8</v>
      </c>
      <c r="L1489" t="s">
        <v>8</v>
      </c>
      <c r="M1489" t="s">
        <v>8</v>
      </c>
      <c r="N1489" t="s">
        <v>758</v>
      </c>
      <c r="O1489" t="s">
        <v>16</v>
      </c>
      <c r="P1489" t="s">
        <v>1</v>
      </c>
    </row>
    <row r="1490" spans="1:16" x14ac:dyDescent="0.25">
      <c r="A1490" t="s">
        <v>0</v>
      </c>
      <c r="B1490" s="2">
        <v>44865</v>
      </c>
      <c r="C1490" s="5" t="s">
        <v>30</v>
      </c>
      <c r="D1490" t="s">
        <v>794</v>
      </c>
      <c r="E1490" t="s">
        <v>795</v>
      </c>
      <c r="F1490" t="s">
        <v>4</v>
      </c>
      <c r="G1490" t="s">
        <v>5</v>
      </c>
      <c r="H1490" s="3">
        <v>3396.12</v>
      </c>
      <c r="I1490" t="s">
        <v>251</v>
      </c>
      <c r="J1490" t="s">
        <v>232</v>
      </c>
      <c r="K1490" t="s">
        <v>8</v>
      </c>
      <c r="L1490" t="s">
        <v>8</v>
      </c>
      <c r="M1490" t="s">
        <v>8</v>
      </c>
      <c r="N1490" t="s">
        <v>254</v>
      </c>
      <c r="O1490" t="s">
        <v>234</v>
      </c>
      <c r="P1490" t="s">
        <v>801</v>
      </c>
    </row>
    <row r="1491" spans="1:16" x14ac:dyDescent="0.25">
      <c r="A1491" t="s">
        <v>0</v>
      </c>
      <c r="B1491" s="2">
        <v>44865</v>
      </c>
      <c r="C1491" s="5" t="s">
        <v>30</v>
      </c>
      <c r="D1491" t="s">
        <v>1003</v>
      </c>
      <c r="E1491" t="s">
        <v>1004</v>
      </c>
      <c r="F1491" t="s">
        <v>4</v>
      </c>
      <c r="G1491" t="s">
        <v>5</v>
      </c>
      <c r="H1491" s="3">
        <v>1793.56</v>
      </c>
      <c r="I1491" t="s">
        <v>102</v>
      </c>
      <c r="J1491" t="s">
        <v>93</v>
      </c>
      <c r="K1491" t="s">
        <v>8</v>
      </c>
      <c r="L1491" t="s">
        <v>8</v>
      </c>
      <c r="M1491" t="s">
        <v>8</v>
      </c>
      <c r="N1491" t="s">
        <v>103</v>
      </c>
      <c r="O1491" t="s">
        <v>95</v>
      </c>
      <c r="P1491" t="s">
        <v>843</v>
      </c>
    </row>
    <row r="1492" spans="1:16" x14ac:dyDescent="0.25">
      <c r="A1492" t="s">
        <v>0</v>
      </c>
      <c r="B1492" s="2">
        <v>44865</v>
      </c>
      <c r="C1492" s="5" t="s">
        <v>30</v>
      </c>
      <c r="D1492" t="s">
        <v>1061</v>
      </c>
      <c r="E1492" t="s">
        <v>1062</v>
      </c>
      <c r="F1492" t="s">
        <v>4</v>
      </c>
      <c r="G1492" t="s">
        <v>5</v>
      </c>
      <c r="H1492" s="3">
        <v>1585.88</v>
      </c>
      <c r="I1492" t="s">
        <v>1063</v>
      </c>
      <c r="J1492" t="s">
        <v>322</v>
      </c>
      <c r="K1492" t="s">
        <v>8</v>
      </c>
      <c r="L1492" t="s">
        <v>8</v>
      </c>
      <c r="M1492" t="s">
        <v>8</v>
      </c>
      <c r="N1492" t="s">
        <v>1064</v>
      </c>
      <c r="O1492" t="s">
        <v>121</v>
      </c>
      <c r="P1492" t="s">
        <v>289</v>
      </c>
    </row>
    <row r="1493" spans="1:16" x14ac:dyDescent="0.25">
      <c r="A1493" t="s">
        <v>0</v>
      </c>
      <c r="B1493" s="2">
        <v>44865</v>
      </c>
      <c r="C1493" s="5" t="s">
        <v>30</v>
      </c>
      <c r="D1493" t="s">
        <v>152</v>
      </c>
      <c r="E1493" t="s">
        <v>153</v>
      </c>
      <c r="F1493" t="s">
        <v>4</v>
      </c>
      <c r="G1493" t="s">
        <v>5</v>
      </c>
      <c r="H1493" s="3">
        <v>840.86</v>
      </c>
      <c r="I1493" t="s">
        <v>1296</v>
      </c>
      <c r="J1493" t="s">
        <v>153</v>
      </c>
      <c r="K1493" t="s">
        <v>8</v>
      </c>
      <c r="L1493" t="s">
        <v>8</v>
      </c>
      <c r="M1493" t="s">
        <v>8</v>
      </c>
      <c r="N1493" t="s">
        <v>1297</v>
      </c>
      <c r="O1493" t="s">
        <v>641</v>
      </c>
      <c r="P1493" t="s">
        <v>1113</v>
      </c>
    </row>
    <row r="1494" spans="1:16" x14ac:dyDescent="0.25">
      <c r="A1494" t="s">
        <v>0</v>
      </c>
      <c r="B1494" s="2">
        <v>44865</v>
      </c>
      <c r="C1494" s="5" t="s">
        <v>30</v>
      </c>
      <c r="D1494" t="s">
        <v>152</v>
      </c>
      <c r="E1494" t="s">
        <v>153</v>
      </c>
      <c r="F1494" t="s">
        <v>4</v>
      </c>
      <c r="G1494" t="s">
        <v>5</v>
      </c>
      <c r="H1494" s="3">
        <v>651.39</v>
      </c>
      <c r="I1494" t="s">
        <v>1400</v>
      </c>
      <c r="J1494" t="s">
        <v>153</v>
      </c>
      <c r="K1494" t="s">
        <v>8</v>
      </c>
      <c r="L1494" t="s">
        <v>8</v>
      </c>
      <c r="M1494" t="s">
        <v>8</v>
      </c>
      <c r="N1494" t="s">
        <v>1401</v>
      </c>
      <c r="O1494" t="s">
        <v>1054</v>
      </c>
      <c r="P1494" t="s">
        <v>800</v>
      </c>
    </row>
    <row r="1495" spans="1:16" x14ac:dyDescent="0.25">
      <c r="A1495" t="s">
        <v>0</v>
      </c>
      <c r="B1495" s="2">
        <v>44865</v>
      </c>
      <c r="C1495" s="5" t="s">
        <v>30</v>
      </c>
      <c r="D1495" t="s">
        <v>1207</v>
      </c>
      <c r="E1495" t="s">
        <v>1208</v>
      </c>
      <c r="F1495" t="s">
        <v>4</v>
      </c>
      <c r="G1495" t="s">
        <v>5</v>
      </c>
      <c r="H1495" s="3">
        <v>583.58000000000004</v>
      </c>
      <c r="I1495" t="s">
        <v>1419</v>
      </c>
      <c r="J1495" t="s">
        <v>153</v>
      </c>
      <c r="K1495" t="s">
        <v>8</v>
      </c>
      <c r="L1495" t="s">
        <v>8</v>
      </c>
      <c r="M1495" t="s">
        <v>8</v>
      </c>
      <c r="N1495" t="s">
        <v>1297</v>
      </c>
      <c r="O1495" t="s">
        <v>641</v>
      </c>
      <c r="P1495" t="s">
        <v>579</v>
      </c>
    </row>
    <row r="1496" spans="1:16" x14ac:dyDescent="0.25">
      <c r="A1496" t="s">
        <v>0</v>
      </c>
      <c r="B1496" s="2">
        <v>44865</v>
      </c>
      <c r="C1496" s="5" t="s">
        <v>30</v>
      </c>
      <c r="D1496" t="s">
        <v>1050</v>
      </c>
      <c r="E1496" t="s">
        <v>1051</v>
      </c>
      <c r="F1496" t="s">
        <v>4</v>
      </c>
      <c r="G1496" t="s">
        <v>5</v>
      </c>
      <c r="H1496" s="3">
        <v>569.25</v>
      </c>
      <c r="I1496" t="s">
        <v>1429</v>
      </c>
      <c r="J1496" t="s">
        <v>1051</v>
      </c>
      <c r="K1496" t="s">
        <v>8</v>
      </c>
      <c r="L1496" t="s">
        <v>8</v>
      </c>
      <c r="M1496" t="s">
        <v>8</v>
      </c>
      <c r="N1496" t="s">
        <v>1430</v>
      </c>
      <c r="O1496" t="s">
        <v>641</v>
      </c>
      <c r="P1496" t="s">
        <v>1431</v>
      </c>
    </row>
    <row r="1497" spans="1:16" x14ac:dyDescent="0.25">
      <c r="A1497" t="s">
        <v>0</v>
      </c>
      <c r="B1497" s="2">
        <v>44865</v>
      </c>
      <c r="C1497" s="5" t="s">
        <v>30</v>
      </c>
      <c r="D1497" t="s">
        <v>1050</v>
      </c>
      <c r="E1497" t="s">
        <v>1051</v>
      </c>
      <c r="F1497" t="s">
        <v>4</v>
      </c>
      <c r="G1497" t="s">
        <v>5</v>
      </c>
      <c r="H1497" s="3">
        <v>549.25</v>
      </c>
      <c r="I1497" t="s">
        <v>1442</v>
      </c>
      <c r="J1497" t="s">
        <v>1051</v>
      </c>
      <c r="K1497" t="s">
        <v>8</v>
      </c>
      <c r="L1497" t="s">
        <v>8</v>
      </c>
      <c r="M1497" t="s">
        <v>8</v>
      </c>
      <c r="N1497" t="s">
        <v>1443</v>
      </c>
      <c r="O1497" t="s">
        <v>641</v>
      </c>
      <c r="P1497" t="s">
        <v>367</v>
      </c>
    </row>
    <row r="1498" spans="1:16" x14ac:dyDescent="0.25">
      <c r="A1498" t="s">
        <v>0</v>
      </c>
      <c r="B1498" s="2">
        <v>44865</v>
      </c>
      <c r="C1498" s="5" t="s">
        <v>30</v>
      </c>
      <c r="D1498" t="s">
        <v>152</v>
      </c>
      <c r="E1498" t="s">
        <v>153</v>
      </c>
      <c r="F1498" t="s">
        <v>4</v>
      </c>
      <c r="G1498" t="s">
        <v>5</v>
      </c>
      <c r="H1498" s="3">
        <v>155.52000000000001</v>
      </c>
      <c r="I1498" t="s">
        <v>1837</v>
      </c>
      <c r="J1498" t="s">
        <v>153</v>
      </c>
      <c r="K1498" t="s">
        <v>8</v>
      </c>
      <c r="L1498" t="s">
        <v>8</v>
      </c>
      <c r="M1498" t="s">
        <v>8</v>
      </c>
      <c r="N1498" t="s">
        <v>1401</v>
      </c>
      <c r="O1498" t="s">
        <v>1054</v>
      </c>
      <c r="P1498" t="s">
        <v>198</v>
      </c>
    </row>
    <row r="1499" spans="1:16" x14ac:dyDescent="0.25">
      <c r="A1499" t="s">
        <v>0</v>
      </c>
      <c r="B1499" s="2">
        <v>44865</v>
      </c>
      <c r="C1499" s="5" t="s">
        <v>30</v>
      </c>
      <c r="D1499" t="s">
        <v>1839</v>
      </c>
      <c r="E1499" t="s">
        <v>1840</v>
      </c>
      <c r="F1499" t="s">
        <v>4</v>
      </c>
      <c r="G1499" t="s">
        <v>5</v>
      </c>
      <c r="H1499" s="3">
        <v>152.9</v>
      </c>
      <c r="I1499" t="s">
        <v>247</v>
      </c>
      <c r="J1499" t="s">
        <v>248</v>
      </c>
      <c r="K1499" t="s">
        <v>8</v>
      </c>
      <c r="L1499" t="s">
        <v>8</v>
      </c>
      <c r="M1499" t="s">
        <v>8</v>
      </c>
      <c r="N1499" t="s">
        <v>249</v>
      </c>
      <c r="O1499" t="s">
        <v>95</v>
      </c>
      <c r="P1499" t="s">
        <v>72</v>
      </c>
    </row>
    <row r="1500" spans="1:16" x14ac:dyDescent="0.25">
      <c r="A1500" t="s">
        <v>0</v>
      </c>
      <c r="B1500" s="2">
        <v>44865</v>
      </c>
      <c r="C1500" s="5" t="s">
        <v>30</v>
      </c>
      <c r="D1500" t="s">
        <v>403</v>
      </c>
      <c r="E1500" t="s">
        <v>404</v>
      </c>
      <c r="F1500" t="s">
        <v>4</v>
      </c>
      <c r="G1500" t="s">
        <v>5</v>
      </c>
      <c r="H1500" s="3">
        <v>-10242.73</v>
      </c>
      <c r="I1500" t="s">
        <v>2276</v>
      </c>
      <c r="J1500" t="s">
        <v>406</v>
      </c>
      <c r="K1500" t="s">
        <v>8</v>
      </c>
      <c r="L1500" t="s">
        <v>8</v>
      </c>
      <c r="M1500" t="s">
        <v>8</v>
      </c>
      <c r="N1500" t="s">
        <v>2277</v>
      </c>
      <c r="O1500" t="s">
        <v>408</v>
      </c>
      <c r="P1500" t="s">
        <v>579</v>
      </c>
    </row>
    <row r="1501" spans="1:16" x14ac:dyDescent="0.25">
      <c r="A1501" t="s">
        <v>0</v>
      </c>
      <c r="B1501" s="2">
        <v>44865</v>
      </c>
      <c r="C1501" s="5" t="s">
        <v>30</v>
      </c>
      <c r="D1501" t="s">
        <v>216</v>
      </c>
      <c r="E1501" t="s">
        <v>217</v>
      </c>
      <c r="F1501" t="s">
        <v>4</v>
      </c>
      <c r="G1501" t="s">
        <v>5</v>
      </c>
      <c r="H1501" s="3">
        <v>-79654.66</v>
      </c>
      <c r="I1501" t="s">
        <v>2285</v>
      </c>
      <c r="J1501" t="s">
        <v>2170</v>
      </c>
      <c r="K1501" t="s">
        <v>8</v>
      </c>
      <c r="L1501" t="s">
        <v>8</v>
      </c>
      <c r="M1501" t="s">
        <v>8</v>
      </c>
      <c r="N1501" t="s">
        <v>640</v>
      </c>
      <c r="O1501" t="s">
        <v>641</v>
      </c>
      <c r="P1501" t="s">
        <v>257</v>
      </c>
    </row>
    <row r="1502" spans="1:16" x14ac:dyDescent="0.25">
      <c r="A1502" t="s">
        <v>0</v>
      </c>
      <c r="B1502" s="2">
        <v>44866</v>
      </c>
      <c r="C1502" t="s">
        <v>30</v>
      </c>
      <c r="D1502" t="s">
        <v>108</v>
      </c>
      <c r="E1502" t="s">
        <v>109</v>
      </c>
      <c r="F1502" t="s">
        <v>4</v>
      </c>
      <c r="G1502" t="s">
        <v>5</v>
      </c>
      <c r="H1502" s="3">
        <v>86128.46</v>
      </c>
      <c r="I1502" t="s">
        <v>116</v>
      </c>
      <c r="J1502" t="s">
        <v>109</v>
      </c>
      <c r="K1502" t="s">
        <v>8</v>
      </c>
      <c r="L1502" t="s">
        <v>8</v>
      </c>
      <c r="M1502" t="s">
        <v>8</v>
      </c>
      <c r="N1502" t="s">
        <v>117</v>
      </c>
      <c r="O1502" t="s">
        <v>112</v>
      </c>
      <c r="P1502" t="s">
        <v>118</v>
      </c>
    </row>
    <row r="1503" spans="1:16" x14ac:dyDescent="0.25">
      <c r="A1503" t="s">
        <v>0</v>
      </c>
      <c r="B1503" s="2">
        <v>44866</v>
      </c>
      <c r="C1503" t="s">
        <v>30</v>
      </c>
      <c r="D1503" t="s">
        <v>152</v>
      </c>
      <c r="E1503" t="s">
        <v>153</v>
      </c>
      <c r="F1503" t="s">
        <v>4</v>
      </c>
      <c r="G1503" t="s">
        <v>5</v>
      </c>
      <c r="H1503" s="3">
        <v>16878.86</v>
      </c>
      <c r="I1503" t="s">
        <v>321</v>
      </c>
      <c r="J1503" t="s">
        <v>322</v>
      </c>
      <c r="K1503" t="s">
        <v>8</v>
      </c>
      <c r="L1503" t="s">
        <v>8</v>
      </c>
      <c r="M1503" t="s">
        <v>8</v>
      </c>
      <c r="N1503" t="s">
        <v>323</v>
      </c>
      <c r="O1503" t="s">
        <v>112</v>
      </c>
      <c r="P1503" t="s">
        <v>324</v>
      </c>
    </row>
    <row r="1504" spans="1:16" x14ac:dyDescent="0.25">
      <c r="A1504" t="s">
        <v>0</v>
      </c>
      <c r="B1504" s="2">
        <v>44866</v>
      </c>
      <c r="C1504" s="5" t="s">
        <v>30</v>
      </c>
      <c r="D1504" t="s">
        <v>881</v>
      </c>
      <c r="E1504" t="s">
        <v>882</v>
      </c>
      <c r="F1504" t="s">
        <v>4</v>
      </c>
      <c r="G1504" t="s">
        <v>5</v>
      </c>
      <c r="H1504" s="3">
        <v>1855.06</v>
      </c>
      <c r="I1504" t="s">
        <v>999</v>
      </c>
      <c r="J1504" t="s">
        <v>109</v>
      </c>
      <c r="K1504" t="s">
        <v>8</v>
      </c>
      <c r="L1504" t="s">
        <v>8</v>
      </c>
      <c r="M1504" t="s">
        <v>8</v>
      </c>
      <c r="N1504" t="s">
        <v>117</v>
      </c>
      <c r="O1504" t="s">
        <v>112</v>
      </c>
      <c r="P1504" t="s">
        <v>911</v>
      </c>
    </row>
    <row r="1505" spans="1:16" x14ac:dyDescent="0.25">
      <c r="A1505" t="s">
        <v>0</v>
      </c>
      <c r="B1505" s="2">
        <v>44866</v>
      </c>
      <c r="C1505" s="5" t="s">
        <v>30</v>
      </c>
      <c r="D1505" t="s">
        <v>108</v>
      </c>
      <c r="E1505" t="s">
        <v>109</v>
      </c>
      <c r="F1505" t="s">
        <v>4</v>
      </c>
      <c r="G1505" t="s">
        <v>5</v>
      </c>
      <c r="H1505" s="3">
        <v>1329.57</v>
      </c>
      <c r="I1505" t="s">
        <v>1121</v>
      </c>
      <c r="J1505" t="s">
        <v>109</v>
      </c>
      <c r="K1505" t="s">
        <v>8</v>
      </c>
      <c r="L1505" t="s">
        <v>8</v>
      </c>
      <c r="M1505" t="s">
        <v>8</v>
      </c>
      <c r="N1505" t="s">
        <v>117</v>
      </c>
      <c r="O1505" t="s">
        <v>112</v>
      </c>
      <c r="P1505" t="s">
        <v>1122</v>
      </c>
    </row>
    <row r="1506" spans="1:16" x14ac:dyDescent="0.25">
      <c r="A1506" t="s">
        <v>0</v>
      </c>
      <c r="B1506" s="2">
        <v>44866</v>
      </c>
      <c r="C1506" s="5" t="s">
        <v>30</v>
      </c>
      <c r="D1506" t="s">
        <v>644</v>
      </c>
      <c r="E1506" t="s">
        <v>645</v>
      </c>
      <c r="F1506" t="s">
        <v>4</v>
      </c>
      <c r="G1506" t="s">
        <v>5</v>
      </c>
      <c r="H1506" s="3">
        <v>1072.8499999999999</v>
      </c>
      <c r="I1506" t="s">
        <v>1193</v>
      </c>
      <c r="J1506" t="s">
        <v>109</v>
      </c>
      <c r="K1506" t="s">
        <v>8</v>
      </c>
      <c r="L1506" t="s">
        <v>8</v>
      </c>
      <c r="M1506" t="s">
        <v>8</v>
      </c>
      <c r="N1506" t="s">
        <v>117</v>
      </c>
      <c r="O1506" t="s">
        <v>112</v>
      </c>
      <c r="P1506" t="s">
        <v>1194</v>
      </c>
    </row>
    <row r="1507" spans="1:16" x14ac:dyDescent="0.25">
      <c r="A1507" t="s">
        <v>0</v>
      </c>
      <c r="B1507" s="2">
        <v>44867</v>
      </c>
      <c r="C1507" s="5" t="s">
        <v>30</v>
      </c>
      <c r="D1507" t="s">
        <v>216</v>
      </c>
      <c r="E1507" t="s">
        <v>217</v>
      </c>
      <c r="F1507" t="s">
        <v>4</v>
      </c>
      <c r="G1507" t="s">
        <v>5</v>
      </c>
      <c r="H1507" s="3">
        <v>7794.45</v>
      </c>
      <c r="I1507" t="s">
        <v>218</v>
      </c>
      <c r="J1507" t="s">
        <v>8</v>
      </c>
      <c r="K1507" t="s">
        <v>219</v>
      </c>
      <c r="L1507" t="s">
        <v>8</v>
      </c>
      <c r="M1507" t="s">
        <v>220</v>
      </c>
      <c r="N1507" t="s">
        <v>569</v>
      </c>
      <c r="O1507" t="s">
        <v>95</v>
      </c>
      <c r="P1507" t="s">
        <v>306</v>
      </c>
    </row>
    <row r="1508" spans="1:16" x14ac:dyDescent="0.25">
      <c r="A1508" t="s">
        <v>0</v>
      </c>
      <c r="B1508" s="2">
        <v>44867</v>
      </c>
      <c r="C1508" s="5" t="s">
        <v>30</v>
      </c>
      <c r="D1508" t="s">
        <v>398</v>
      </c>
      <c r="E1508" t="s">
        <v>399</v>
      </c>
      <c r="F1508" t="s">
        <v>4</v>
      </c>
      <c r="G1508" t="s">
        <v>5</v>
      </c>
      <c r="H1508" s="3">
        <v>7047.66</v>
      </c>
      <c r="I1508" t="s">
        <v>400</v>
      </c>
      <c r="J1508" t="s">
        <v>8</v>
      </c>
      <c r="K1508" t="s">
        <v>219</v>
      </c>
      <c r="L1508" t="s">
        <v>8</v>
      </c>
      <c r="M1508" t="s">
        <v>220</v>
      </c>
      <c r="N1508" t="s">
        <v>569</v>
      </c>
      <c r="O1508" t="s">
        <v>95</v>
      </c>
      <c r="P1508" t="s">
        <v>402</v>
      </c>
    </row>
    <row r="1509" spans="1:16" x14ac:dyDescent="0.25">
      <c r="A1509" t="s">
        <v>0</v>
      </c>
      <c r="B1509" s="2">
        <v>44867</v>
      </c>
      <c r="C1509" s="5" t="s">
        <v>30</v>
      </c>
      <c r="D1509" t="s">
        <v>651</v>
      </c>
      <c r="E1509" t="s">
        <v>652</v>
      </c>
      <c r="F1509" t="s">
        <v>4</v>
      </c>
      <c r="G1509" t="s">
        <v>5</v>
      </c>
      <c r="H1509" s="3">
        <v>2880.56</v>
      </c>
      <c r="I1509" t="s">
        <v>653</v>
      </c>
      <c r="J1509" t="s">
        <v>8</v>
      </c>
      <c r="K1509" t="s">
        <v>219</v>
      </c>
      <c r="L1509" t="s">
        <v>8</v>
      </c>
      <c r="M1509" t="s">
        <v>220</v>
      </c>
      <c r="N1509" t="s">
        <v>569</v>
      </c>
      <c r="O1509" t="s">
        <v>95</v>
      </c>
      <c r="P1509" t="s">
        <v>747</v>
      </c>
    </row>
    <row r="1510" spans="1:16" x14ac:dyDescent="0.25">
      <c r="A1510" t="s">
        <v>0</v>
      </c>
      <c r="B1510" s="2">
        <v>44867</v>
      </c>
      <c r="C1510" s="5" t="s">
        <v>30</v>
      </c>
      <c r="D1510" t="s">
        <v>885</v>
      </c>
      <c r="E1510" t="s">
        <v>886</v>
      </c>
      <c r="F1510" t="s">
        <v>4</v>
      </c>
      <c r="G1510" t="s">
        <v>5</v>
      </c>
      <c r="H1510" s="3">
        <v>1899.82</v>
      </c>
      <c r="I1510" t="s">
        <v>887</v>
      </c>
      <c r="J1510" t="s">
        <v>8</v>
      </c>
      <c r="K1510" t="s">
        <v>219</v>
      </c>
      <c r="L1510" t="s">
        <v>8</v>
      </c>
      <c r="M1510" t="s">
        <v>220</v>
      </c>
      <c r="N1510" t="s">
        <v>569</v>
      </c>
      <c r="O1510" t="s">
        <v>95</v>
      </c>
      <c r="P1510" t="s">
        <v>977</v>
      </c>
    </row>
    <row r="1511" spans="1:16" x14ac:dyDescent="0.25">
      <c r="A1511" t="s">
        <v>0</v>
      </c>
      <c r="B1511" s="2">
        <v>44867</v>
      </c>
      <c r="C1511" s="5" t="s">
        <v>30</v>
      </c>
      <c r="D1511" t="s">
        <v>753</v>
      </c>
      <c r="E1511" t="s">
        <v>754</v>
      </c>
      <c r="F1511" t="s">
        <v>4</v>
      </c>
      <c r="G1511" t="s">
        <v>5</v>
      </c>
      <c r="H1511" s="3">
        <v>901.26</v>
      </c>
      <c r="I1511" t="s">
        <v>755</v>
      </c>
      <c r="J1511" t="s">
        <v>8</v>
      </c>
      <c r="K1511" t="s">
        <v>219</v>
      </c>
      <c r="L1511" t="s">
        <v>8</v>
      </c>
      <c r="M1511" t="s">
        <v>220</v>
      </c>
      <c r="N1511" t="s">
        <v>569</v>
      </c>
      <c r="O1511" t="s">
        <v>95</v>
      </c>
      <c r="P1511" t="s">
        <v>756</v>
      </c>
    </row>
    <row r="1512" spans="1:16" x14ac:dyDescent="0.25">
      <c r="A1512" t="s">
        <v>0</v>
      </c>
      <c r="B1512" s="2">
        <v>44867</v>
      </c>
      <c r="C1512" s="5" t="s">
        <v>30</v>
      </c>
      <c r="D1512" t="s">
        <v>885</v>
      </c>
      <c r="E1512" t="s">
        <v>886</v>
      </c>
      <c r="F1512" t="s">
        <v>4</v>
      </c>
      <c r="G1512" t="s">
        <v>5</v>
      </c>
      <c r="H1512" s="3">
        <v>-1899.82</v>
      </c>
      <c r="I1512" t="s">
        <v>887</v>
      </c>
      <c r="J1512" t="s">
        <v>8</v>
      </c>
      <c r="K1512" t="s">
        <v>219</v>
      </c>
      <c r="L1512" t="s">
        <v>8</v>
      </c>
      <c r="M1512" t="s">
        <v>220</v>
      </c>
      <c r="N1512" t="s">
        <v>2250</v>
      </c>
      <c r="O1512" t="s">
        <v>95</v>
      </c>
      <c r="P1512" t="s">
        <v>253</v>
      </c>
    </row>
    <row r="1513" spans="1:16" x14ac:dyDescent="0.25">
      <c r="A1513" t="s">
        <v>0</v>
      </c>
      <c r="B1513" s="2">
        <v>44867</v>
      </c>
      <c r="C1513" s="5" t="s">
        <v>30</v>
      </c>
      <c r="D1513" t="s">
        <v>216</v>
      </c>
      <c r="E1513" t="s">
        <v>217</v>
      </c>
      <c r="F1513" t="s">
        <v>4</v>
      </c>
      <c r="G1513" t="s">
        <v>5</v>
      </c>
      <c r="H1513" s="3">
        <v>-7794.45</v>
      </c>
      <c r="I1513" t="s">
        <v>218</v>
      </c>
      <c r="J1513" t="s">
        <v>8</v>
      </c>
      <c r="K1513" t="s">
        <v>219</v>
      </c>
      <c r="L1513" t="s">
        <v>8</v>
      </c>
      <c r="M1513" t="s">
        <v>220</v>
      </c>
      <c r="N1513" t="s">
        <v>2250</v>
      </c>
      <c r="O1513" t="s">
        <v>95</v>
      </c>
      <c r="P1513" t="s">
        <v>568</v>
      </c>
    </row>
    <row r="1514" spans="1:16" x14ac:dyDescent="0.25">
      <c r="A1514" t="s">
        <v>0</v>
      </c>
      <c r="B1514" s="2">
        <v>44867</v>
      </c>
      <c r="C1514" s="5" t="s">
        <v>30</v>
      </c>
      <c r="D1514" t="s">
        <v>2289</v>
      </c>
      <c r="E1514" t="s">
        <v>2290</v>
      </c>
      <c r="F1514" t="s">
        <v>4</v>
      </c>
      <c r="G1514" t="s">
        <v>5</v>
      </c>
      <c r="H1514" s="3">
        <v>-2034124.15</v>
      </c>
      <c r="I1514" t="s">
        <v>2291</v>
      </c>
      <c r="J1514" t="s">
        <v>8</v>
      </c>
      <c r="K1514" t="s">
        <v>2292</v>
      </c>
      <c r="L1514" t="s">
        <v>8</v>
      </c>
      <c r="M1514" t="s">
        <v>220</v>
      </c>
      <c r="N1514" t="s">
        <v>2303</v>
      </c>
      <c r="O1514" t="s">
        <v>95</v>
      </c>
      <c r="P1514" t="s">
        <v>2294</v>
      </c>
    </row>
    <row r="1515" spans="1:16" x14ac:dyDescent="0.25">
      <c r="A1515" t="s">
        <v>0</v>
      </c>
      <c r="B1515" s="2">
        <v>44872</v>
      </c>
      <c r="C1515" s="5" t="s">
        <v>289</v>
      </c>
      <c r="D1515" t="s">
        <v>697</v>
      </c>
      <c r="E1515" t="s">
        <v>698</v>
      </c>
      <c r="F1515" t="s">
        <v>4</v>
      </c>
      <c r="G1515" t="s">
        <v>5</v>
      </c>
      <c r="H1515" s="3">
        <v>4780.07</v>
      </c>
      <c r="I1515" t="s">
        <v>727</v>
      </c>
      <c r="J1515" t="s">
        <v>700</v>
      </c>
      <c r="K1515" t="s">
        <v>8</v>
      </c>
      <c r="L1515" t="s">
        <v>728</v>
      </c>
      <c r="M1515" t="s">
        <v>8</v>
      </c>
      <c r="N1515" t="s">
        <v>729</v>
      </c>
      <c r="O1515" t="s">
        <v>29</v>
      </c>
      <c r="P1515" t="s">
        <v>1</v>
      </c>
    </row>
    <row r="1516" spans="1:16" x14ac:dyDescent="0.25">
      <c r="A1516" t="s">
        <v>0</v>
      </c>
      <c r="B1516" s="2">
        <v>44872</v>
      </c>
      <c r="C1516" s="5" t="s">
        <v>289</v>
      </c>
      <c r="D1516" t="s">
        <v>861</v>
      </c>
      <c r="E1516" t="s">
        <v>862</v>
      </c>
      <c r="F1516" t="s">
        <v>4</v>
      </c>
      <c r="G1516" t="s">
        <v>5</v>
      </c>
      <c r="H1516" s="3">
        <v>2633</v>
      </c>
      <c r="I1516" t="s">
        <v>863</v>
      </c>
      <c r="J1516" t="s">
        <v>864</v>
      </c>
      <c r="K1516" t="s">
        <v>8</v>
      </c>
      <c r="L1516" t="s">
        <v>865</v>
      </c>
      <c r="M1516" t="s">
        <v>8</v>
      </c>
      <c r="N1516" t="s">
        <v>866</v>
      </c>
      <c r="O1516" t="s">
        <v>29</v>
      </c>
      <c r="P1516" t="s">
        <v>1</v>
      </c>
    </row>
    <row r="1517" spans="1:16" x14ac:dyDescent="0.25">
      <c r="A1517" t="s">
        <v>0</v>
      </c>
      <c r="B1517" s="2">
        <v>44872</v>
      </c>
      <c r="C1517" s="5" t="s">
        <v>289</v>
      </c>
      <c r="D1517" t="s">
        <v>47</v>
      </c>
      <c r="E1517" t="s">
        <v>48</v>
      </c>
      <c r="F1517" t="s">
        <v>4</v>
      </c>
      <c r="G1517" t="s">
        <v>5</v>
      </c>
      <c r="H1517" s="3">
        <v>1784.7</v>
      </c>
      <c r="I1517" t="s">
        <v>1041</v>
      </c>
      <c r="J1517" t="s">
        <v>1011</v>
      </c>
      <c r="K1517" t="s">
        <v>8</v>
      </c>
      <c r="L1517" t="s">
        <v>1042</v>
      </c>
      <c r="M1517" t="s">
        <v>8</v>
      </c>
      <c r="N1517" t="s">
        <v>1043</v>
      </c>
      <c r="O1517" t="s">
        <v>29</v>
      </c>
      <c r="P1517" t="s">
        <v>1</v>
      </c>
    </row>
    <row r="1518" spans="1:16" x14ac:dyDescent="0.25">
      <c r="A1518" t="s">
        <v>0</v>
      </c>
      <c r="B1518" s="2">
        <v>44873</v>
      </c>
      <c r="C1518" s="5" t="s">
        <v>289</v>
      </c>
      <c r="D1518" t="s">
        <v>410</v>
      </c>
      <c r="E1518" t="s">
        <v>411</v>
      </c>
      <c r="F1518" t="s">
        <v>4</v>
      </c>
      <c r="G1518" t="s">
        <v>5</v>
      </c>
      <c r="H1518" s="3">
        <v>10193.99</v>
      </c>
      <c r="I1518" t="s">
        <v>441</v>
      </c>
      <c r="J1518" t="s">
        <v>413</v>
      </c>
      <c r="K1518" t="s">
        <v>8</v>
      </c>
      <c r="L1518" t="s">
        <v>442</v>
      </c>
      <c r="M1518" t="s">
        <v>8</v>
      </c>
      <c r="N1518" t="s">
        <v>443</v>
      </c>
      <c r="O1518" t="s">
        <v>29</v>
      </c>
      <c r="P1518" t="s">
        <v>1</v>
      </c>
    </row>
    <row r="1519" spans="1:16" x14ac:dyDescent="0.25">
      <c r="A1519" t="s">
        <v>0</v>
      </c>
      <c r="B1519" s="2">
        <v>44876</v>
      </c>
      <c r="C1519" s="5" t="s">
        <v>289</v>
      </c>
      <c r="D1519" t="s">
        <v>2</v>
      </c>
      <c r="E1519" t="s">
        <v>3</v>
      </c>
      <c r="F1519" t="s">
        <v>4</v>
      </c>
      <c r="G1519" t="s">
        <v>5</v>
      </c>
      <c r="H1519" s="3">
        <v>9557.0499999999993</v>
      </c>
      <c r="I1519" t="s">
        <v>481</v>
      </c>
      <c r="J1519" t="s">
        <v>460</v>
      </c>
      <c r="K1519" t="s">
        <v>8</v>
      </c>
      <c r="L1519" t="s">
        <v>482</v>
      </c>
      <c r="M1519" t="s">
        <v>8</v>
      </c>
      <c r="N1519" t="s">
        <v>483</v>
      </c>
      <c r="O1519" t="s">
        <v>21</v>
      </c>
      <c r="P1519" t="s">
        <v>1</v>
      </c>
    </row>
    <row r="1520" spans="1:16" x14ac:dyDescent="0.25">
      <c r="A1520" t="s">
        <v>0</v>
      </c>
      <c r="B1520" s="2">
        <v>44876</v>
      </c>
      <c r="C1520" s="5" t="s">
        <v>289</v>
      </c>
      <c r="D1520" t="s">
        <v>1244</v>
      </c>
      <c r="E1520" t="s">
        <v>1245</v>
      </c>
      <c r="F1520" t="s">
        <v>4</v>
      </c>
      <c r="G1520" t="s">
        <v>5</v>
      </c>
      <c r="H1520" s="3">
        <v>900</v>
      </c>
      <c r="I1520" t="s">
        <v>1275</v>
      </c>
      <c r="J1520" t="s">
        <v>1257</v>
      </c>
      <c r="K1520" t="s">
        <v>8</v>
      </c>
      <c r="L1520" t="s">
        <v>8</v>
      </c>
      <c r="M1520" t="s">
        <v>8</v>
      </c>
      <c r="N1520" t="s">
        <v>1276</v>
      </c>
      <c r="O1520" t="s">
        <v>29</v>
      </c>
      <c r="P1520" t="s">
        <v>1</v>
      </c>
    </row>
    <row r="1521" spans="1:16" x14ac:dyDescent="0.25">
      <c r="A1521" t="s">
        <v>0</v>
      </c>
      <c r="B1521" s="2">
        <v>44877</v>
      </c>
      <c r="C1521" s="5" t="s">
        <v>289</v>
      </c>
      <c r="D1521" t="s">
        <v>609</v>
      </c>
      <c r="E1521" t="s">
        <v>610</v>
      </c>
      <c r="F1521" t="s">
        <v>4</v>
      </c>
      <c r="G1521" t="s">
        <v>5</v>
      </c>
      <c r="H1521" s="3">
        <v>74.7</v>
      </c>
      <c r="I1521" t="s">
        <v>1974</v>
      </c>
      <c r="J1521" t="s">
        <v>735</v>
      </c>
      <c r="K1521" t="s">
        <v>8</v>
      </c>
      <c r="L1521" t="s">
        <v>8</v>
      </c>
      <c r="M1521" t="s">
        <v>8</v>
      </c>
      <c r="N1521" t="s">
        <v>1975</v>
      </c>
      <c r="O1521" t="s">
        <v>389</v>
      </c>
      <c r="P1521" t="s">
        <v>1</v>
      </c>
    </row>
    <row r="1522" spans="1:16" x14ac:dyDescent="0.25">
      <c r="A1522" t="s">
        <v>0</v>
      </c>
      <c r="B1522" s="2">
        <v>44877</v>
      </c>
      <c r="C1522" s="5" t="s">
        <v>289</v>
      </c>
      <c r="D1522" t="s">
        <v>609</v>
      </c>
      <c r="E1522" t="s">
        <v>610</v>
      </c>
      <c r="F1522" t="s">
        <v>4</v>
      </c>
      <c r="G1522" t="s">
        <v>5</v>
      </c>
      <c r="H1522" s="3">
        <v>36</v>
      </c>
      <c r="I1522" t="s">
        <v>2076</v>
      </c>
      <c r="J1522" t="s">
        <v>735</v>
      </c>
      <c r="K1522" t="s">
        <v>8</v>
      </c>
      <c r="L1522" t="s">
        <v>8</v>
      </c>
      <c r="M1522" t="s">
        <v>8</v>
      </c>
      <c r="N1522" t="s">
        <v>1975</v>
      </c>
      <c r="O1522" t="s">
        <v>389</v>
      </c>
      <c r="P1522" t="s">
        <v>12</v>
      </c>
    </row>
    <row r="1523" spans="1:16" x14ac:dyDescent="0.25">
      <c r="A1523" t="s">
        <v>0</v>
      </c>
      <c r="B1523" s="2">
        <v>44880</v>
      </c>
      <c r="C1523" s="5" t="s">
        <v>289</v>
      </c>
      <c r="D1523" t="s">
        <v>969</v>
      </c>
      <c r="E1523" t="s">
        <v>970</v>
      </c>
      <c r="F1523" t="s">
        <v>4</v>
      </c>
      <c r="G1523" t="s">
        <v>5</v>
      </c>
      <c r="H1523" s="3">
        <v>1882.92</v>
      </c>
      <c r="I1523" t="s">
        <v>986</v>
      </c>
      <c r="J1523" t="s">
        <v>972</v>
      </c>
      <c r="K1523" t="s">
        <v>8</v>
      </c>
      <c r="L1523" t="s">
        <v>8</v>
      </c>
      <c r="M1523" t="s">
        <v>8</v>
      </c>
      <c r="N1523" t="s">
        <v>996</v>
      </c>
      <c r="O1523" t="s">
        <v>997</v>
      </c>
      <c r="P1523" t="s">
        <v>342</v>
      </c>
    </row>
    <row r="1524" spans="1:16" x14ac:dyDescent="0.25">
      <c r="A1524" t="s">
        <v>0</v>
      </c>
      <c r="B1524" s="2">
        <v>44880</v>
      </c>
      <c r="C1524" s="5" t="s">
        <v>289</v>
      </c>
      <c r="D1524" t="s">
        <v>373</v>
      </c>
      <c r="E1524" t="s">
        <v>374</v>
      </c>
      <c r="F1524" t="s">
        <v>4</v>
      </c>
      <c r="G1524" t="s">
        <v>5</v>
      </c>
      <c r="H1524" s="3">
        <v>833.94</v>
      </c>
      <c r="I1524" t="s">
        <v>1301</v>
      </c>
      <c r="J1524" t="s">
        <v>1302</v>
      </c>
      <c r="K1524" t="s">
        <v>8</v>
      </c>
      <c r="L1524" t="s">
        <v>8</v>
      </c>
      <c r="M1524" t="s">
        <v>8</v>
      </c>
      <c r="N1524" t="s">
        <v>1313</v>
      </c>
      <c r="O1524" t="s">
        <v>997</v>
      </c>
      <c r="P1524" t="s">
        <v>1304</v>
      </c>
    </row>
    <row r="1525" spans="1:16" x14ac:dyDescent="0.25">
      <c r="A1525" t="s">
        <v>0</v>
      </c>
      <c r="B1525" s="2">
        <v>44880</v>
      </c>
      <c r="C1525" s="5" t="s">
        <v>289</v>
      </c>
      <c r="D1525" t="s">
        <v>384</v>
      </c>
      <c r="E1525" t="s">
        <v>385</v>
      </c>
      <c r="F1525" t="s">
        <v>4</v>
      </c>
      <c r="G1525" t="s">
        <v>5</v>
      </c>
      <c r="H1525" s="3">
        <v>546.85</v>
      </c>
      <c r="I1525" t="s">
        <v>871</v>
      </c>
      <c r="J1525" t="s">
        <v>912</v>
      </c>
      <c r="K1525" t="s">
        <v>8</v>
      </c>
      <c r="L1525" t="s">
        <v>8</v>
      </c>
      <c r="M1525" t="s">
        <v>8</v>
      </c>
      <c r="N1525" t="s">
        <v>1450</v>
      </c>
      <c r="O1525" t="s">
        <v>389</v>
      </c>
      <c r="P1525" t="s">
        <v>1</v>
      </c>
    </row>
    <row r="1526" spans="1:16" x14ac:dyDescent="0.25">
      <c r="A1526" t="s">
        <v>0</v>
      </c>
      <c r="B1526" s="2">
        <v>44880</v>
      </c>
      <c r="C1526" s="5" t="s">
        <v>289</v>
      </c>
      <c r="D1526" t="s">
        <v>969</v>
      </c>
      <c r="E1526" t="s">
        <v>970</v>
      </c>
      <c r="F1526" t="s">
        <v>4</v>
      </c>
      <c r="G1526" t="s">
        <v>5</v>
      </c>
      <c r="H1526" s="3">
        <v>420.36</v>
      </c>
      <c r="I1526" t="s">
        <v>1579</v>
      </c>
      <c r="J1526" t="s">
        <v>1483</v>
      </c>
      <c r="K1526" t="s">
        <v>8</v>
      </c>
      <c r="L1526" t="s">
        <v>8</v>
      </c>
      <c r="M1526" t="s">
        <v>8</v>
      </c>
      <c r="N1526" t="s">
        <v>1586</v>
      </c>
      <c r="O1526" t="s">
        <v>997</v>
      </c>
      <c r="P1526" t="s">
        <v>1</v>
      </c>
    </row>
    <row r="1527" spans="1:16" x14ac:dyDescent="0.25">
      <c r="A1527" t="s">
        <v>0</v>
      </c>
      <c r="B1527" s="2">
        <v>44880</v>
      </c>
      <c r="C1527" s="5" t="s">
        <v>289</v>
      </c>
      <c r="D1527" t="s">
        <v>384</v>
      </c>
      <c r="E1527" t="s">
        <v>385</v>
      </c>
      <c r="F1527" t="s">
        <v>4</v>
      </c>
      <c r="G1527" t="s">
        <v>5</v>
      </c>
      <c r="H1527" s="3">
        <v>268.3</v>
      </c>
      <c r="I1527" t="s">
        <v>871</v>
      </c>
      <c r="J1527" t="s">
        <v>1104</v>
      </c>
      <c r="K1527" t="s">
        <v>8</v>
      </c>
      <c r="L1527" t="s">
        <v>8</v>
      </c>
      <c r="M1527" t="s">
        <v>8</v>
      </c>
      <c r="N1527" t="s">
        <v>1725</v>
      </c>
      <c r="O1527" t="s">
        <v>389</v>
      </c>
      <c r="P1527" t="s">
        <v>1</v>
      </c>
    </row>
    <row r="1528" spans="1:16" x14ac:dyDescent="0.25">
      <c r="A1528" t="s">
        <v>0</v>
      </c>
      <c r="B1528" s="2">
        <v>44880</v>
      </c>
      <c r="C1528" s="5" t="s">
        <v>289</v>
      </c>
      <c r="D1528" t="s">
        <v>384</v>
      </c>
      <c r="E1528" t="s">
        <v>385</v>
      </c>
      <c r="F1528" t="s">
        <v>4</v>
      </c>
      <c r="G1528" t="s">
        <v>5</v>
      </c>
      <c r="H1528" s="3">
        <v>207.4</v>
      </c>
      <c r="I1528" t="s">
        <v>1772</v>
      </c>
      <c r="J1528" t="s">
        <v>912</v>
      </c>
      <c r="K1528" t="s">
        <v>8</v>
      </c>
      <c r="L1528" t="s">
        <v>8</v>
      </c>
      <c r="M1528" t="s">
        <v>8</v>
      </c>
      <c r="N1528" t="s">
        <v>1450</v>
      </c>
      <c r="O1528" t="s">
        <v>389</v>
      </c>
      <c r="P1528" t="s">
        <v>43</v>
      </c>
    </row>
    <row r="1529" spans="1:16" x14ac:dyDescent="0.25">
      <c r="A1529" t="s">
        <v>0</v>
      </c>
      <c r="B1529" s="2">
        <v>44880</v>
      </c>
      <c r="C1529" s="5" t="s">
        <v>289</v>
      </c>
      <c r="D1529" t="s">
        <v>384</v>
      </c>
      <c r="E1529" t="s">
        <v>385</v>
      </c>
      <c r="F1529" t="s">
        <v>4</v>
      </c>
      <c r="G1529" t="s">
        <v>5</v>
      </c>
      <c r="H1529" s="3">
        <v>179</v>
      </c>
      <c r="I1529" t="s">
        <v>1142</v>
      </c>
      <c r="J1529" t="s">
        <v>1104</v>
      </c>
      <c r="K1529" t="s">
        <v>8</v>
      </c>
      <c r="L1529" t="s">
        <v>8</v>
      </c>
      <c r="M1529" t="s">
        <v>8</v>
      </c>
      <c r="N1529" t="s">
        <v>1725</v>
      </c>
      <c r="O1529" t="s">
        <v>389</v>
      </c>
      <c r="P1529" t="s">
        <v>12</v>
      </c>
    </row>
    <row r="1530" spans="1:16" x14ac:dyDescent="0.25">
      <c r="A1530" t="s">
        <v>0</v>
      </c>
      <c r="B1530" s="2">
        <v>44880</v>
      </c>
      <c r="C1530" s="5" t="s">
        <v>289</v>
      </c>
      <c r="D1530" t="s">
        <v>384</v>
      </c>
      <c r="E1530" t="s">
        <v>385</v>
      </c>
      <c r="F1530" t="s">
        <v>4</v>
      </c>
      <c r="G1530" t="s">
        <v>5</v>
      </c>
      <c r="H1530" s="3">
        <v>115.8</v>
      </c>
      <c r="I1530" t="s">
        <v>1904</v>
      </c>
      <c r="J1530" t="s">
        <v>912</v>
      </c>
      <c r="K1530" t="s">
        <v>8</v>
      </c>
      <c r="L1530" t="s">
        <v>8</v>
      </c>
      <c r="M1530" t="s">
        <v>8</v>
      </c>
      <c r="N1530" t="s">
        <v>1450</v>
      </c>
      <c r="O1530" t="s">
        <v>389</v>
      </c>
      <c r="P1530" t="s">
        <v>12</v>
      </c>
    </row>
    <row r="1531" spans="1:16" x14ac:dyDescent="0.25">
      <c r="A1531" t="s">
        <v>0</v>
      </c>
      <c r="B1531" s="2">
        <v>44880</v>
      </c>
      <c r="C1531" s="5" t="s">
        <v>289</v>
      </c>
      <c r="D1531" t="s">
        <v>384</v>
      </c>
      <c r="E1531" t="s">
        <v>385</v>
      </c>
      <c r="F1531" t="s">
        <v>4</v>
      </c>
      <c r="G1531" t="s">
        <v>5</v>
      </c>
      <c r="H1531" s="3">
        <v>106.96</v>
      </c>
      <c r="I1531" t="s">
        <v>1142</v>
      </c>
      <c r="J1531" t="s">
        <v>912</v>
      </c>
      <c r="K1531" t="s">
        <v>8</v>
      </c>
      <c r="L1531" t="s">
        <v>8</v>
      </c>
      <c r="M1531" t="s">
        <v>8</v>
      </c>
      <c r="N1531" t="s">
        <v>1450</v>
      </c>
      <c r="O1531" t="s">
        <v>389</v>
      </c>
      <c r="P1531" t="s">
        <v>77</v>
      </c>
    </row>
    <row r="1532" spans="1:16" x14ac:dyDescent="0.25">
      <c r="A1532" t="s">
        <v>0</v>
      </c>
      <c r="B1532" s="2">
        <v>44880</v>
      </c>
      <c r="C1532" s="5" t="s">
        <v>289</v>
      </c>
      <c r="D1532" t="s">
        <v>384</v>
      </c>
      <c r="E1532" t="s">
        <v>385</v>
      </c>
      <c r="F1532" t="s">
        <v>4</v>
      </c>
      <c r="G1532" t="s">
        <v>5</v>
      </c>
      <c r="H1532" s="3">
        <v>91.9</v>
      </c>
      <c r="I1532" t="s">
        <v>1949</v>
      </c>
      <c r="J1532" t="s">
        <v>912</v>
      </c>
      <c r="K1532" t="s">
        <v>8</v>
      </c>
      <c r="L1532" t="s">
        <v>8</v>
      </c>
      <c r="M1532" t="s">
        <v>8</v>
      </c>
      <c r="N1532" t="s">
        <v>1450</v>
      </c>
      <c r="O1532" t="s">
        <v>389</v>
      </c>
      <c r="P1532" t="s">
        <v>72</v>
      </c>
    </row>
    <row r="1533" spans="1:16" x14ac:dyDescent="0.25">
      <c r="A1533" t="s">
        <v>0</v>
      </c>
      <c r="B1533" s="2">
        <v>44880</v>
      </c>
      <c r="C1533" s="5" t="s">
        <v>289</v>
      </c>
      <c r="D1533" t="s">
        <v>384</v>
      </c>
      <c r="E1533" t="s">
        <v>385</v>
      </c>
      <c r="F1533" t="s">
        <v>4</v>
      </c>
      <c r="G1533" t="s">
        <v>5</v>
      </c>
      <c r="H1533" s="3">
        <v>72.900000000000006</v>
      </c>
      <c r="I1533" t="s">
        <v>1979</v>
      </c>
      <c r="J1533" t="s">
        <v>912</v>
      </c>
      <c r="K1533" t="s">
        <v>8</v>
      </c>
      <c r="L1533" t="s">
        <v>8</v>
      </c>
      <c r="M1533" t="s">
        <v>8</v>
      </c>
      <c r="N1533" t="s">
        <v>1450</v>
      </c>
      <c r="O1533" t="s">
        <v>389</v>
      </c>
      <c r="P1533" t="s">
        <v>17</v>
      </c>
    </row>
    <row r="1534" spans="1:16" x14ac:dyDescent="0.25">
      <c r="A1534" t="s">
        <v>0</v>
      </c>
      <c r="B1534" s="2">
        <v>44880</v>
      </c>
      <c r="C1534" s="5" t="s">
        <v>289</v>
      </c>
      <c r="D1534" t="s">
        <v>384</v>
      </c>
      <c r="E1534" t="s">
        <v>385</v>
      </c>
      <c r="F1534" t="s">
        <v>4</v>
      </c>
      <c r="G1534" t="s">
        <v>5</v>
      </c>
      <c r="H1534" s="3">
        <v>37.86</v>
      </c>
      <c r="I1534" t="s">
        <v>1757</v>
      </c>
      <c r="J1534" t="s">
        <v>1104</v>
      </c>
      <c r="K1534" t="s">
        <v>8</v>
      </c>
      <c r="L1534" t="s">
        <v>8</v>
      </c>
      <c r="M1534" t="s">
        <v>8</v>
      </c>
      <c r="N1534" t="s">
        <v>1725</v>
      </c>
      <c r="O1534" t="s">
        <v>389</v>
      </c>
      <c r="P1534" t="s">
        <v>17</v>
      </c>
    </row>
    <row r="1535" spans="1:16" x14ac:dyDescent="0.25">
      <c r="A1535" t="s">
        <v>0</v>
      </c>
      <c r="B1535" s="2">
        <v>44880</v>
      </c>
      <c r="C1535" s="5" t="s">
        <v>289</v>
      </c>
      <c r="D1535" t="s">
        <v>384</v>
      </c>
      <c r="E1535" t="s">
        <v>385</v>
      </c>
      <c r="F1535" t="s">
        <v>4</v>
      </c>
      <c r="G1535" t="s">
        <v>5</v>
      </c>
      <c r="H1535" s="3">
        <v>37.86</v>
      </c>
      <c r="I1535" t="s">
        <v>1757</v>
      </c>
      <c r="J1535" t="s">
        <v>912</v>
      </c>
      <c r="K1535" t="s">
        <v>8</v>
      </c>
      <c r="L1535" t="s">
        <v>8</v>
      </c>
      <c r="M1535" t="s">
        <v>8</v>
      </c>
      <c r="N1535" t="s">
        <v>1450</v>
      </c>
      <c r="O1535" t="s">
        <v>389</v>
      </c>
      <c r="P1535" t="s">
        <v>82</v>
      </c>
    </row>
    <row r="1536" spans="1:16" x14ac:dyDescent="0.25">
      <c r="A1536" t="s">
        <v>0</v>
      </c>
      <c r="B1536" s="2">
        <v>44880</v>
      </c>
      <c r="C1536" s="5" t="s">
        <v>289</v>
      </c>
      <c r="D1536" t="s">
        <v>384</v>
      </c>
      <c r="E1536" t="s">
        <v>385</v>
      </c>
      <c r="F1536" t="s">
        <v>4</v>
      </c>
      <c r="G1536" t="s">
        <v>5</v>
      </c>
      <c r="H1536" s="3">
        <v>37.5</v>
      </c>
      <c r="I1536" t="s">
        <v>2074</v>
      </c>
      <c r="J1536" t="s">
        <v>912</v>
      </c>
      <c r="K1536" t="s">
        <v>8</v>
      </c>
      <c r="L1536" t="s">
        <v>8</v>
      </c>
      <c r="M1536" t="s">
        <v>8</v>
      </c>
      <c r="N1536" t="s">
        <v>1450</v>
      </c>
      <c r="O1536" t="s">
        <v>389</v>
      </c>
      <c r="P1536" t="s">
        <v>22</v>
      </c>
    </row>
    <row r="1537" spans="1:18" x14ac:dyDescent="0.25">
      <c r="A1537" t="s">
        <v>0</v>
      </c>
      <c r="B1537" s="2">
        <v>44881</v>
      </c>
      <c r="C1537" s="5" t="s">
        <v>289</v>
      </c>
      <c r="D1537" t="s">
        <v>384</v>
      </c>
      <c r="E1537" t="s">
        <v>385</v>
      </c>
      <c r="F1537" t="s">
        <v>4</v>
      </c>
      <c r="G1537" t="s">
        <v>5</v>
      </c>
      <c r="H1537" s="3">
        <v>649.25</v>
      </c>
      <c r="I1537" t="s">
        <v>871</v>
      </c>
      <c r="J1537" t="s">
        <v>1242</v>
      </c>
      <c r="K1537" t="s">
        <v>8</v>
      </c>
      <c r="L1537" t="s">
        <v>8</v>
      </c>
      <c r="M1537" t="s">
        <v>8</v>
      </c>
      <c r="N1537" t="s">
        <v>1402</v>
      </c>
      <c r="O1537" t="s">
        <v>389</v>
      </c>
      <c r="P1537" t="s">
        <v>1</v>
      </c>
    </row>
    <row r="1538" spans="1:18" x14ac:dyDescent="0.25">
      <c r="A1538" t="s">
        <v>0</v>
      </c>
      <c r="B1538" s="2">
        <v>44881</v>
      </c>
      <c r="C1538" s="5" t="s">
        <v>289</v>
      </c>
      <c r="D1538" t="s">
        <v>384</v>
      </c>
      <c r="E1538" t="s">
        <v>385</v>
      </c>
      <c r="F1538" t="s">
        <v>4</v>
      </c>
      <c r="G1538" t="s">
        <v>5</v>
      </c>
      <c r="H1538" s="3">
        <v>513.64</v>
      </c>
      <c r="I1538" t="s">
        <v>871</v>
      </c>
      <c r="J1538" t="s">
        <v>1417</v>
      </c>
      <c r="K1538" t="s">
        <v>8</v>
      </c>
      <c r="L1538" t="s">
        <v>8</v>
      </c>
      <c r="M1538" t="s">
        <v>8</v>
      </c>
      <c r="N1538" t="s">
        <v>1472</v>
      </c>
      <c r="O1538" t="s">
        <v>389</v>
      </c>
      <c r="P1538" t="s">
        <v>1</v>
      </c>
    </row>
    <row r="1539" spans="1:18" x14ac:dyDescent="0.25">
      <c r="A1539" t="s">
        <v>0</v>
      </c>
      <c r="B1539" s="2">
        <v>44881</v>
      </c>
      <c r="C1539" s="5" t="s">
        <v>289</v>
      </c>
      <c r="D1539" t="s">
        <v>1201</v>
      </c>
      <c r="E1539" t="s">
        <v>1202</v>
      </c>
      <c r="F1539" t="s">
        <v>4</v>
      </c>
      <c r="G1539" t="s">
        <v>5</v>
      </c>
      <c r="H1539" s="3">
        <v>430</v>
      </c>
      <c r="I1539" t="s">
        <v>1554</v>
      </c>
      <c r="J1539" t="s">
        <v>1555</v>
      </c>
      <c r="K1539" t="s">
        <v>8</v>
      </c>
      <c r="L1539" t="s">
        <v>8</v>
      </c>
      <c r="M1539" t="s">
        <v>8</v>
      </c>
      <c r="N1539" t="s">
        <v>1556</v>
      </c>
      <c r="O1539" t="s">
        <v>389</v>
      </c>
      <c r="P1539" t="s">
        <v>1</v>
      </c>
    </row>
    <row r="1540" spans="1:18" x14ac:dyDescent="0.25">
      <c r="A1540" t="s">
        <v>0</v>
      </c>
      <c r="B1540" s="2">
        <v>44881</v>
      </c>
      <c r="C1540" s="5" t="s">
        <v>289</v>
      </c>
      <c r="D1540" t="s">
        <v>1045</v>
      </c>
      <c r="E1540" t="s">
        <v>1046</v>
      </c>
      <c r="F1540" t="s">
        <v>4</v>
      </c>
      <c r="G1540" t="s">
        <v>5</v>
      </c>
      <c r="H1540" s="3">
        <v>390</v>
      </c>
      <c r="I1540" t="s">
        <v>1616</v>
      </c>
      <c r="J1540" t="s">
        <v>1555</v>
      </c>
      <c r="K1540" t="s">
        <v>8</v>
      </c>
      <c r="L1540" t="s">
        <v>8</v>
      </c>
      <c r="M1540" t="s">
        <v>8</v>
      </c>
      <c r="N1540" t="s">
        <v>1556</v>
      </c>
      <c r="O1540" t="s">
        <v>389</v>
      </c>
      <c r="P1540" t="s">
        <v>12</v>
      </c>
    </row>
    <row r="1541" spans="1:18" x14ac:dyDescent="0.25">
      <c r="A1541" t="s">
        <v>0</v>
      </c>
      <c r="B1541" s="2">
        <v>44881</v>
      </c>
      <c r="C1541" s="5" t="s">
        <v>289</v>
      </c>
      <c r="D1541" t="s">
        <v>2</v>
      </c>
      <c r="E1541" t="s">
        <v>3</v>
      </c>
      <c r="F1541" t="s">
        <v>4</v>
      </c>
      <c r="G1541" t="s">
        <v>5</v>
      </c>
      <c r="H1541" s="3">
        <v>320</v>
      </c>
      <c r="I1541" t="s">
        <v>1643</v>
      </c>
      <c r="J1541" t="s">
        <v>1605</v>
      </c>
      <c r="K1541" t="s">
        <v>8</v>
      </c>
      <c r="L1541" t="s">
        <v>1683</v>
      </c>
      <c r="M1541" t="s">
        <v>8</v>
      </c>
      <c r="N1541" t="s">
        <v>1684</v>
      </c>
      <c r="O1541" t="s">
        <v>29</v>
      </c>
      <c r="P1541" t="s">
        <v>1</v>
      </c>
    </row>
    <row r="1542" spans="1:18" x14ac:dyDescent="0.25">
      <c r="A1542" t="s">
        <v>0</v>
      </c>
      <c r="B1542" s="2">
        <v>44881</v>
      </c>
      <c r="C1542" s="5" t="s">
        <v>289</v>
      </c>
      <c r="D1542" t="s">
        <v>384</v>
      </c>
      <c r="E1542" t="s">
        <v>385</v>
      </c>
      <c r="F1542" t="s">
        <v>4</v>
      </c>
      <c r="G1542" t="s">
        <v>5</v>
      </c>
      <c r="H1542" s="3">
        <v>250</v>
      </c>
      <c r="I1542" t="s">
        <v>1737</v>
      </c>
      <c r="J1542" t="s">
        <v>680</v>
      </c>
      <c r="K1542" t="s">
        <v>8</v>
      </c>
      <c r="L1542" t="s">
        <v>8</v>
      </c>
      <c r="M1542" t="s">
        <v>8</v>
      </c>
      <c r="N1542" t="s">
        <v>1738</v>
      </c>
      <c r="O1542" t="s">
        <v>389</v>
      </c>
      <c r="P1542" t="s">
        <v>12</v>
      </c>
    </row>
    <row r="1543" spans="1:18" x14ac:dyDescent="0.25">
      <c r="A1543" t="s">
        <v>0</v>
      </c>
      <c r="B1543" s="2">
        <v>44908</v>
      </c>
      <c r="C1543" s="5" t="s">
        <v>246</v>
      </c>
      <c r="D1543" t="s">
        <v>410</v>
      </c>
      <c r="E1543" t="s">
        <v>411</v>
      </c>
      <c r="F1543" t="s">
        <v>4</v>
      </c>
      <c r="G1543" t="s">
        <v>5</v>
      </c>
      <c r="H1543" s="3">
        <v>10193.99</v>
      </c>
      <c r="I1543" t="s">
        <v>2320</v>
      </c>
      <c r="J1543" t="s">
        <v>413</v>
      </c>
      <c r="K1543" t="s">
        <v>2321</v>
      </c>
      <c r="L1543" t="s">
        <v>2322</v>
      </c>
      <c r="M1543" t="s">
        <v>29</v>
      </c>
      <c r="N1543" t="s">
        <v>1</v>
      </c>
      <c r="O1543">
        <v>44900</v>
      </c>
      <c r="P1543" t="s">
        <v>2346</v>
      </c>
      <c r="Q1543">
        <v>44908</v>
      </c>
      <c r="R1543" t="s">
        <v>2347</v>
      </c>
    </row>
    <row r="1544" spans="1:18" x14ac:dyDescent="0.25">
      <c r="A1544" t="s">
        <v>0</v>
      </c>
      <c r="B1544" s="2">
        <v>44921</v>
      </c>
      <c r="C1544" s="5" t="s">
        <v>246</v>
      </c>
      <c r="D1544" t="s">
        <v>410</v>
      </c>
      <c r="E1544" t="s">
        <v>411</v>
      </c>
      <c r="F1544" t="s">
        <v>4</v>
      </c>
      <c r="G1544" t="s">
        <v>5</v>
      </c>
      <c r="H1544" s="3">
        <v>5976.06</v>
      </c>
      <c r="I1544" t="s">
        <v>2348</v>
      </c>
      <c r="J1544" t="s">
        <v>413</v>
      </c>
      <c r="K1544" t="s">
        <v>2349</v>
      </c>
      <c r="L1544" t="s">
        <v>2350</v>
      </c>
      <c r="M1544" t="s">
        <v>524</v>
      </c>
      <c r="N1544" t="s">
        <v>1</v>
      </c>
      <c r="O1544">
        <v>44915</v>
      </c>
      <c r="P1544" t="s">
        <v>2351</v>
      </c>
      <c r="Q1544">
        <v>44921</v>
      </c>
      <c r="R1544" t="s">
        <v>2352</v>
      </c>
    </row>
    <row r="1545" spans="1:18" x14ac:dyDescent="0.25">
      <c r="A1545" t="s">
        <v>0</v>
      </c>
      <c r="B1545" s="2">
        <v>44921</v>
      </c>
      <c r="C1545" s="5" t="s">
        <v>246</v>
      </c>
      <c r="D1545" t="s">
        <v>410</v>
      </c>
      <c r="E1545" t="s">
        <v>411</v>
      </c>
      <c r="F1545" t="s">
        <v>4</v>
      </c>
      <c r="G1545" t="s">
        <v>5</v>
      </c>
      <c r="H1545" s="3">
        <v>4516.32</v>
      </c>
      <c r="I1545" t="s">
        <v>2348</v>
      </c>
      <c r="J1545" t="s">
        <v>413</v>
      </c>
      <c r="K1545" t="s">
        <v>2349</v>
      </c>
      <c r="L1545" t="s">
        <v>2350</v>
      </c>
      <c r="M1545" t="s">
        <v>524</v>
      </c>
      <c r="N1545" t="s">
        <v>77</v>
      </c>
      <c r="O1545">
        <v>44915</v>
      </c>
      <c r="P1545" t="s">
        <v>2351</v>
      </c>
      <c r="Q1545">
        <v>44921</v>
      </c>
      <c r="R1545" t="s">
        <v>2352</v>
      </c>
    </row>
    <row r="1546" spans="1:18" x14ac:dyDescent="0.25">
      <c r="A1546" t="s">
        <v>0</v>
      </c>
      <c r="B1546" s="2">
        <v>44921</v>
      </c>
      <c r="C1546" s="5" t="s">
        <v>246</v>
      </c>
      <c r="D1546" t="s">
        <v>410</v>
      </c>
      <c r="E1546" t="s">
        <v>411</v>
      </c>
      <c r="F1546" t="s">
        <v>4</v>
      </c>
      <c r="G1546" t="s">
        <v>5</v>
      </c>
      <c r="H1546" s="3">
        <v>1411.5</v>
      </c>
      <c r="I1546" t="s">
        <v>2348</v>
      </c>
      <c r="J1546" t="s">
        <v>413</v>
      </c>
      <c r="K1546" t="s">
        <v>2349</v>
      </c>
      <c r="L1546" t="s">
        <v>2350</v>
      </c>
      <c r="M1546" t="s">
        <v>524</v>
      </c>
      <c r="N1546" t="s">
        <v>43</v>
      </c>
      <c r="O1546">
        <v>44915</v>
      </c>
      <c r="P1546" t="s">
        <v>2351</v>
      </c>
      <c r="Q1546">
        <v>44921</v>
      </c>
      <c r="R1546" t="s">
        <v>2352</v>
      </c>
    </row>
    <row r="1547" spans="1:18" x14ac:dyDescent="0.25">
      <c r="A1547" t="s">
        <v>0</v>
      </c>
      <c r="B1547" s="2">
        <v>44921</v>
      </c>
      <c r="C1547" s="5" t="s">
        <v>246</v>
      </c>
      <c r="D1547" t="s">
        <v>410</v>
      </c>
      <c r="E1547" t="s">
        <v>411</v>
      </c>
      <c r="F1547" t="s">
        <v>4</v>
      </c>
      <c r="G1547" t="s">
        <v>5</v>
      </c>
      <c r="H1547" s="3">
        <v>636.72</v>
      </c>
      <c r="I1547" t="s">
        <v>2348</v>
      </c>
      <c r="J1547" t="s">
        <v>413</v>
      </c>
      <c r="K1547" t="s">
        <v>2349</v>
      </c>
      <c r="L1547" t="s">
        <v>2350</v>
      </c>
      <c r="M1547" t="s">
        <v>524</v>
      </c>
      <c r="N1547" t="s">
        <v>12</v>
      </c>
      <c r="O1547">
        <v>44915</v>
      </c>
      <c r="P1547" t="s">
        <v>2351</v>
      </c>
      <c r="Q1547">
        <v>44921</v>
      </c>
      <c r="R1547" t="s">
        <v>2352</v>
      </c>
    </row>
    <row r="1548" spans="1:18" x14ac:dyDescent="0.25">
      <c r="A1548" t="s">
        <v>0</v>
      </c>
      <c r="B1548" s="2">
        <v>44921</v>
      </c>
      <c r="C1548" s="5" t="s">
        <v>246</v>
      </c>
      <c r="D1548" t="s">
        <v>410</v>
      </c>
      <c r="E1548" t="s">
        <v>411</v>
      </c>
      <c r="F1548" t="s">
        <v>4</v>
      </c>
      <c r="G1548" t="s">
        <v>5</v>
      </c>
      <c r="H1548" s="3">
        <v>423.44</v>
      </c>
      <c r="I1548" t="s">
        <v>2348</v>
      </c>
      <c r="J1548" t="s">
        <v>413</v>
      </c>
      <c r="K1548" t="s">
        <v>2349</v>
      </c>
      <c r="L1548" t="s">
        <v>2350</v>
      </c>
      <c r="M1548" t="s">
        <v>524</v>
      </c>
      <c r="N1548" t="s">
        <v>22</v>
      </c>
      <c r="O1548">
        <v>44915</v>
      </c>
      <c r="P1548" t="s">
        <v>2351</v>
      </c>
      <c r="Q1548">
        <v>44921</v>
      </c>
      <c r="R1548" t="s">
        <v>2352</v>
      </c>
    </row>
    <row r="1549" spans="1:18" x14ac:dyDescent="0.25">
      <c r="A1549" t="s">
        <v>0</v>
      </c>
      <c r="B1549" s="2">
        <v>44921</v>
      </c>
      <c r="C1549" s="5" t="s">
        <v>246</v>
      </c>
      <c r="D1549" t="s">
        <v>410</v>
      </c>
      <c r="E1549" t="s">
        <v>411</v>
      </c>
      <c r="F1549" t="s">
        <v>4</v>
      </c>
      <c r="G1549" t="s">
        <v>5</v>
      </c>
      <c r="H1549" s="3">
        <v>50.19</v>
      </c>
      <c r="I1549" t="s">
        <v>2348</v>
      </c>
      <c r="J1549" t="s">
        <v>413</v>
      </c>
      <c r="K1549" t="s">
        <v>2349</v>
      </c>
      <c r="L1549" t="s">
        <v>2350</v>
      </c>
      <c r="M1549" t="s">
        <v>524</v>
      </c>
      <c r="N1549" t="s">
        <v>17</v>
      </c>
      <c r="O1549">
        <v>44915</v>
      </c>
      <c r="P1549" t="s">
        <v>2351</v>
      </c>
      <c r="Q1549">
        <v>44921</v>
      </c>
      <c r="R1549" t="s">
        <v>2352</v>
      </c>
    </row>
    <row r="1550" spans="1:18" x14ac:dyDescent="0.25">
      <c r="A1550" t="s">
        <v>2375</v>
      </c>
      <c r="B1550" s="2">
        <v>44932</v>
      </c>
      <c r="C1550" s="5" t="s">
        <v>1</v>
      </c>
      <c r="D1550" t="s">
        <v>410</v>
      </c>
      <c r="E1550" t="s">
        <v>411</v>
      </c>
      <c r="F1550" t="s">
        <v>4</v>
      </c>
      <c r="G1550" t="s">
        <v>5</v>
      </c>
      <c r="H1550" s="3">
        <v>10193.99</v>
      </c>
      <c r="I1550" t="s">
        <v>2376</v>
      </c>
      <c r="J1550" t="s">
        <v>413</v>
      </c>
      <c r="K1550" t="s">
        <v>2377</v>
      </c>
      <c r="L1550" t="s">
        <v>2378</v>
      </c>
      <c r="M1550" t="s">
        <v>29</v>
      </c>
      <c r="N1550" t="s">
        <v>1</v>
      </c>
      <c r="O1550">
        <v>44930</v>
      </c>
      <c r="P1550" t="s">
        <v>2379</v>
      </c>
      <c r="Q1550">
        <v>44932</v>
      </c>
      <c r="R1550" t="s">
        <v>2380</v>
      </c>
    </row>
    <row r="1551" spans="1:18" x14ac:dyDescent="0.25">
      <c r="A1551" t="s">
        <v>2375</v>
      </c>
      <c r="B1551" s="2">
        <v>44932</v>
      </c>
      <c r="C1551" s="5" t="s">
        <v>1</v>
      </c>
      <c r="D1551" t="s">
        <v>1045</v>
      </c>
      <c r="E1551" t="s">
        <v>1046</v>
      </c>
      <c r="F1551" t="s">
        <v>4</v>
      </c>
      <c r="G1551" t="s">
        <v>5</v>
      </c>
      <c r="H1551" s="3">
        <v>1552.2</v>
      </c>
      <c r="I1551" t="s">
        <v>2381</v>
      </c>
      <c r="J1551" t="s">
        <v>413</v>
      </c>
      <c r="K1551" t="s">
        <v>8</v>
      </c>
      <c r="L1551" t="s">
        <v>2382</v>
      </c>
      <c r="M1551" t="s">
        <v>29</v>
      </c>
      <c r="N1551" t="s">
        <v>1</v>
      </c>
      <c r="O1551">
        <v>44930</v>
      </c>
      <c r="P1551" t="s">
        <v>2383</v>
      </c>
      <c r="Q1551">
        <v>44932</v>
      </c>
      <c r="R1551" t="s">
        <v>2384</v>
      </c>
    </row>
    <row r="1552" spans="1:18" x14ac:dyDescent="0.25">
      <c r="A1552" t="s">
        <v>2375</v>
      </c>
      <c r="B1552" s="2">
        <v>44963</v>
      </c>
      <c r="C1552" s="5" t="s">
        <v>12</v>
      </c>
      <c r="H1552" s="3">
        <v>0</v>
      </c>
      <c r="J1552" t="s">
        <v>413</v>
      </c>
    </row>
    <row r="1553" spans="1:19" x14ac:dyDescent="0.25">
      <c r="A1553" t="s">
        <v>2375</v>
      </c>
      <c r="B1553" s="2">
        <v>44999</v>
      </c>
      <c r="C1553" t="s">
        <v>17</v>
      </c>
      <c r="D1553" t="s">
        <v>410</v>
      </c>
      <c r="E1553" t="s">
        <v>411</v>
      </c>
      <c r="F1553" t="s">
        <v>4</v>
      </c>
      <c r="G1553" t="s">
        <v>5</v>
      </c>
      <c r="H1553" s="3">
        <v>10193.99</v>
      </c>
      <c r="I1553" t="s">
        <v>2436</v>
      </c>
      <c r="J1553" t="s">
        <v>413</v>
      </c>
      <c r="K1553" t="s">
        <v>2437</v>
      </c>
      <c r="L1553" t="s">
        <v>2438</v>
      </c>
      <c r="M1553" t="s">
        <v>524</v>
      </c>
      <c r="N1553" t="s">
        <v>1</v>
      </c>
      <c r="O1553" s="2">
        <v>44991</v>
      </c>
      <c r="P1553" t="s">
        <v>2439</v>
      </c>
      <c r="Q1553" s="2">
        <v>44999</v>
      </c>
      <c r="R1553" t="s">
        <v>2440</v>
      </c>
    </row>
    <row r="1554" spans="1:19" x14ac:dyDescent="0.25">
      <c r="A1554" t="s">
        <v>2375</v>
      </c>
      <c r="B1554" s="2">
        <v>45030</v>
      </c>
      <c r="C1554" t="s">
        <v>43</v>
      </c>
      <c r="D1554" t="s">
        <v>410</v>
      </c>
      <c r="E1554" t="s">
        <v>411</v>
      </c>
      <c r="F1554" t="s">
        <v>4</v>
      </c>
      <c r="G1554" t="s">
        <v>5</v>
      </c>
      <c r="H1554" s="3">
        <v>10193.99</v>
      </c>
      <c r="I1554" t="s">
        <v>2465</v>
      </c>
      <c r="J1554" t="s">
        <v>413</v>
      </c>
      <c r="K1554" t="s">
        <v>2466</v>
      </c>
      <c r="L1554" t="s">
        <v>2467</v>
      </c>
      <c r="M1554" t="s">
        <v>524</v>
      </c>
      <c r="N1554" t="s">
        <v>1</v>
      </c>
      <c r="O1554" s="2">
        <v>45022</v>
      </c>
      <c r="P1554" t="s">
        <v>2468</v>
      </c>
      <c r="Q1554" s="2">
        <v>45030</v>
      </c>
      <c r="R1554" t="s">
        <v>2469</v>
      </c>
    </row>
    <row r="1555" spans="1:19" x14ac:dyDescent="0.25">
      <c r="A1555" t="s">
        <v>2375</v>
      </c>
      <c r="B1555" s="2">
        <v>45065</v>
      </c>
      <c r="C1555" t="s">
        <v>77</v>
      </c>
      <c r="D1555" t="s">
        <v>410</v>
      </c>
      <c r="E1555" t="s">
        <v>411</v>
      </c>
      <c r="F1555" t="s">
        <v>4</v>
      </c>
      <c r="G1555" t="s">
        <v>5</v>
      </c>
      <c r="H1555" s="3">
        <v>11035</v>
      </c>
      <c r="I1555" t="s">
        <v>2490</v>
      </c>
      <c r="J1555" t="s">
        <v>413</v>
      </c>
      <c r="K1555" t="s">
        <v>2491</v>
      </c>
      <c r="L1555" t="s">
        <v>2492</v>
      </c>
      <c r="M1555" t="s">
        <v>2493</v>
      </c>
      <c r="N1555" t="s">
        <v>1</v>
      </c>
      <c r="O1555" s="2">
        <v>45057</v>
      </c>
      <c r="P1555" t="s">
        <v>2494</v>
      </c>
      <c r="Q1555" s="2">
        <v>45065</v>
      </c>
      <c r="R1555" t="s">
        <v>2495</v>
      </c>
      <c r="S1555" t="s">
        <v>2496</v>
      </c>
    </row>
    <row r="1556" spans="1:19" x14ac:dyDescent="0.25">
      <c r="A1556" t="s">
        <v>2375</v>
      </c>
      <c r="B1556" s="2">
        <v>45072</v>
      </c>
      <c r="C1556" t="s">
        <v>77</v>
      </c>
      <c r="D1556" t="s">
        <v>410</v>
      </c>
      <c r="E1556" t="s">
        <v>411</v>
      </c>
      <c r="F1556" t="s">
        <v>4</v>
      </c>
      <c r="G1556" t="s">
        <v>5</v>
      </c>
      <c r="H1556" s="3">
        <v>4710.75</v>
      </c>
      <c r="I1556" t="s">
        <v>2497</v>
      </c>
      <c r="J1556" t="s">
        <v>413</v>
      </c>
      <c r="K1556" t="s">
        <v>2498</v>
      </c>
      <c r="L1556" t="s">
        <v>2499</v>
      </c>
      <c r="M1556" t="s">
        <v>524</v>
      </c>
      <c r="N1556" t="s">
        <v>12</v>
      </c>
      <c r="O1556" s="2">
        <v>45065</v>
      </c>
      <c r="P1556" t="s">
        <v>2500</v>
      </c>
      <c r="Q1556" s="2">
        <v>45072</v>
      </c>
      <c r="R1556" t="s">
        <v>2501</v>
      </c>
      <c r="S1556" t="s">
        <v>2502</v>
      </c>
    </row>
    <row r="1557" spans="1:19" x14ac:dyDescent="0.25">
      <c r="A1557" t="s">
        <v>2375</v>
      </c>
      <c r="B1557" s="2">
        <v>45072</v>
      </c>
      <c r="C1557" t="s">
        <v>77</v>
      </c>
      <c r="D1557" t="s">
        <v>410</v>
      </c>
      <c r="E1557" t="s">
        <v>411</v>
      </c>
      <c r="F1557" t="s">
        <v>4</v>
      </c>
      <c r="G1557" t="s">
        <v>5</v>
      </c>
      <c r="H1557" s="3">
        <v>3565.1</v>
      </c>
      <c r="I1557" t="s">
        <v>2497</v>
      </c>
      <c r="J1557" t="s">
        <v>413</v>
      </c>
      <c r="K1557" t="s">
        <v>2498</v>
      </c>
      <c r="L1557" t="s">
        <v>2499</v>
      </c>
      <c r="M1557" t="s">
        <v>524</v>
      </c>
      <c r="N1557" t="s">
        <v>17</v>
      </c>
      <c r="O1557" s="2">
        <v>45065</v>
      </c>
      <c r="P1557" t="s">
        <v>2500</v>
      </c>
      <c r="Q1557" s="2">
        <v>45072</v>
      </c>
      <c r="R1557" t="s">
        <v>2501</v>
      </c>
      <c r="S1557" t="s">
        <v>2503</v>
      </c>
    </row>
    <row r="1558" spans="1:19" x14ac:dyDescent="0.25">
      <c r="A1558" t="s">
        <v>2375</v>
      </c>
      <c r="B1558" s="2">
        <v>45075</v>
      </c>
      <c r="C1558" t="s">
        <v>77</v>
      </c>
      <c r="D1558" t="s">
        <v>410</v>
      </c>
      <c r="E1558" t="s">
        <v>411</v>
      </c>
      <c r="F1558" t="s">
        <v>4</v>
      </c>
      <c r="G1558" t="s">
        <v>5</v>
      </c>
      <c r="H1558" s="3">
        <v>3140.5</v>
      </c>
      <c r="I1558" t="s">
        <v>2504</v>
      </c>
      <c r="J1558" t="s">
        <v>413</v>
      </c>
      <c r="K1558" t="s">
        <v>2505</v>
      </c>
      <c r="L1558" t="s">
        <v>2506</v>
      </c>
      <c r="M1558" t="s">
        <v>524</v>
      </c>
      <c r="N1558" t="s">
        <v>17</v>
      </c>
      <c r="O1558" s="2">
        <v>45069</v>
      </c>
      <c r="P1558" t="s">
        <v>2507</v>
      </c>
      <c r="Q1558" s="2">
        <v>45075</v>
      </c>
      <c r="R1558" t="s">
        <v>2508</v>
      </c>
      <c r="S1558" t="s">
        <v>2502</v>
      </c>
    </row>
    <row r="1559" spans="1:19" x14ac:dyDescent="0.25">
      <c r="A1559" t="s">
        <v>2375</v>
      </c>
      <c r="B1559" s="2">
        <v>45075</v>
      </c>
      <c r="C1559" t="s">
        <v>77</v>
      </c>
      <c r="D1559" t="s">
        <v>410</v>
      </c>
      <c r="E1559" t="s">
        <v>411</v>
      </c>
      <c r="F1559" t="s">
        <v>4</v>
      </c>
      <c r="G1559" t="s">
        <v>5</v>
      </c>
      <c r="H1559" s="3">
        <v>1018.6</v>
      </c>
      <c r="I1559" t="s">
        <v>2504</v>
      </c>
      <c r="J1559" t="s">
        <v>413</v>
      </c>
      <c r="K1559" t="s">
        <v>2505</v>
      </c>
      <c r="L1559" t="s">
        <v>2506</v>
      </c>
      <c r="M1559" t="s">
        <v>524</v>
      </c>
      <c r="N1559" t="s">
        <v>43</v>
      </c>
      <c r="O1559" s="2">
        <v>45069</v>
      </c>
      <c r="P1559" t="s">
        <v>2507</v>
      </c>
      <c r="Q1559" s="2">
        <v>45075</v>
      </c>
      <c r="R1559" t="s">
        <v>2508</v>
      </c>
      <c r="S1559" t="s">
        <v>2503</v>
      </c>
    </row>
    <row r="1560" spans="1:19" x14ac:dyDescent="0.25">
      <c r="A1560" t="s">
        <v>2375</v>
      </c>
      <c r="B1560" s="2">
        <v>45075</v>
      </c>
      <c r="C1560" t="s">
        <v>77</v>
      </c>
      <c r="D1560" t="s">
        <v>410</v>
      </c>
      <c r="E1560" t="s">
        <v>411</v>
      </c>
      <c r="F1560" t="s">
        <v>4</v>
      </c>
      <c r="G1560" t="s">
        <v>5</v>
      </c>
      <c r="H1560" s="3">
        <v>916.8</v>
      </c>
      <c r="I1560" t="s">
        <v>2504</v>
      </c>
      <c r="J1560" t="s">
        <v>413</v>
      </c>
      <c r="K1560" t="s">
        <v>2505</v>
      </c>
      <c r="L1560" t="s">
        <v>2506</v>
      </c>
      <c r="M1560" t="s">
        <v>524</v>
      </c>
      <c r="N1560" t="s">
        <v>77</v>
      </c>
      <c r="O1560" s="2">
        <v>45069</v>
      </c>
      <c r="P1560" t="s">
        <v>2507</v>
      </c>
      <c r="Q1560" s="2">
        <v>45075</v>
      </c>
      <c r="R1560" t="s">
        <v>2508</v>
      </c>
      <c r="S1560" t="s">
        <v>2509</v>
      </c>
    </row>
    <row r="1561" spans="1:19" x14ac:dyDescent="0.25">
      <c r="A1561" t="s">
        <v>2375</v>
      </c>
      <c r="B1561" s="2">
        <v>45075</v>
      </c>
      <c r="C1561" t="s">
        <v>77</v>
      </c>
      <c r="D1561" t="s">
        <v>410</v>
      </c>
      <c r="E1561" t="s">
        <v>411</v>
      </c>
      <c r="F1561" t="s">
        <v>4</v>
      </c>
      <c r="G1561" t="s">
        <v>5</v>
      </c>
      <c r="H1561" s="3">
        <v>492.3</v>
      </c>
      <c r="I1561" t="s">
        <v>2504</v>
      </c>
      <c r="J1561" t="s">
        <v>413</v>
      </c>
      <c r="K1561" t="s">
        <v>2505</v>
      </c>
      <c r="L1561" t="s">
        <v>2506</v>
      </c>
      <c r="M1561" t="s">
        <v>524</v>
      </c>
      <c r="N1561" t="s">
        <v>1</v>
      </c>
      <c r="O1561" s="2">
        <v>45069</v>
      </c>
      <c r="P1561" t="s">
        <v>2507</v>
      </c>
      <c r="Q1561" s="2">
        <v>45075</v>
      </c>
      <c r="R1561" t="s">
        <v>2508</v>
      </c>
      <c r="S1561" t="s">
        <v>2510</v>
      </c>
    </row>
    <row r="1562" spans="1:19" x14ac:dyDescent="0.25">
      <c r="A1562" t="s">
        <v>2375</v>
      </c>
      <c r="B1562" s="2">
        <v>45072</v>
      </c>
      <c r="C1562" t="s">
        <v>77</v>
      </c>
      <c r="D1562" t="s">
        <v>410</v>
      </c>
      <c r="E1562" t="s">
        <v>411</v>
      </c>
      <c r="F1562" t="s">
        <v>4</v>
      </c>
      <c r="G1562" t="s">
        <v>5</v>
      </c>
      <c r="H1562" s="3">
        <v>443.07</v>
      </c>
      <c r="I1562" t="s">
        <v>2497</v>
      </c>
      <c r="J1562" t="s">
        <v>413</v>
      </c>
      <c r="K1562" t="s">
        <v>2498</v>
      </c>
      <c r="L1562" t="s">
        <v>2499</v>
      </c>
      <c r="M1562" t="s">
        <v>524</v>
      </c>
      <c r="N1562" t="s">
        <v>1</v>
      </c>
      <c r="O1562" s="2">
        <v>45065</v>
      </c>
      <c r="P1562" t="s">
        <v>2500</v>
      </c>
      <c r="Q1562" s="2">
        <v>45072</v>
      </c>
      <c r="R1562" t="s">
        <v>2501</v>
      </c>
      <c r="S1562" t="s">
        <v>2510</v>
      </c>
    </row>
    <row r="1563" spans="1:19" x14ac:dyDescent="0.25">
      <c r="A1563" t="s">
        <v>2375</v>
      </c>
      <c r="B1563" s="2">
        <v>45075</v>
      </c>
      <c r="C1563" t="s">
        <v>77</v>
      </c>
      <c r="D1563" t="s">
        <v>410</v>
      </c>
      <c r="E1563" t="s">
        <v>411</v>
      </c>
      <c r="F1563" t="s">
        <v>4</v>
      </c>
      <c r="G1563" t="s">
        <v>5</v>
      </c>
      <c r="H1563" s="3">
        <v>59.41</v>
      </c>
      <c r="I1563" t="s">
        <v>2504</v>
      </c>
      <c r="J1563" t="s">
        <v>413</v>
      </c>
      <c r="K1563" t="s">
        <v>2505</v>
      </c>
      <c r="L1563" t="s">
        <v>2506</v>
      </c>
      <c r="M1563" t="s">
        <v>524</v>
      </c>
      <c r="N1563" t="s">
        <v>12</v>
      </c>
      <c r="O1563" s="2">
        <v>45069</v>
      </c>
      <c r="P1563" t="s">
        <v>2507</v>
      </c>
      <c r="Q1563" s="2">
        <v>45075</v>
      </c>
      <c r="R1563" t="s">
        <v>2508</v>
      </c>
      <c r="S1563" t="s">
        <v>2511</v>
      </c>
    </row>
    <row r="1564" spans="1:19" x14ac:dyDescent="0.25">
      <c r="A1564" s="12" t="s">
        <v>2375</v>
      </c>
      <c r="B1564" s="13">
        <v>45103</v>
      </c>
      <c r="C1564" s="12" t="s">
        <v>22</v>
      </c>
      <c r="D1564" s="12" t="s">
        <v>410</v>
      </c>
      <c r="E1564" s="12" t="s">
        <v>411</v>
      </c>
      <c r="F1564" s="12" t="s">
        <v>4</v>
      </c>
      <c r="G1564" s="12" t="s">
        <v>5</v>
      </c>
      <c r="H1564" s="14">
        <v>11035</v>
      </c>
      <c r="I1564" s="12" t="s">
        <v>2536</v>
      </c>
      <c r="J1564" s="12" t="s">
        <v>413</v>
      </c>
      <c r="K1564" s="12" t="s">
        <v>2537</v>
      </c>
      <c r="L1564" s="12" t="s">
        <v>2538</v>
      </c>
      <c r="M1564" s="12" t="s">
        <v>524</v>
      </c>
      <c r="N1564" s="12" t="s">
        <v>1</v>
      </c>
      <c r="O1564" s="13">
        <v>45096</v>
      </c>
      <c r="P1564" s="12" t="s">
        <v>2539</v>
      </c>
      <c r="Q1564" s="13">
        <v>45103</v>
      </c>
      <c r="R1564" s="12" t="s">
        <v>2540</v>
      </c>
      <c r="S1564" s="12" t="s">
        <v>2496</v>
      </c>
    </row>
    <row r="1565" spans="1:19" x14ac:dyDescent="0.25">
      <c r="A1565" s="12" t="s">
        <v>2375</v>
      </c>
      <c r="B1565" s="13">
        <v>45089</v>
      </c>
      <c r="C1565" s="12" t="s">
        <v>22</v>
      </c>
      <c r="D1565" s="12" t="s">
        <v>390</v>
      </c>
      <c r="E1565" s="12" t="s">
        <v>391</v>
      </c>
      <c r="F1565" s="12" t="s">
        <v>4</v>
      </c>
      <c r="G1565" s="12" t="s">
        <v>5</v>
      </c>
      <c r="H1565" s="14">
        <v>5046.0600000000004</v>
      </c>
      <c r="I1565" s="12" t="s">
        <v>2541</v>
      </c>
      <c r="J1565" s="12" t="s">
        <v>413</v>
      </c>
      <c r="K1565" s="12" t="s">
        <v>8</v>
      </c>
      <c r="L1565" s="12" t="s">
        <v>2542</v>
      </c>
      <c r="M1565" s="12" t="s">
        <v>524</v>
      </c>
      <c r="N1565" s="12" t="s">
        <v>1</v>
      </c>
      <c r="O1565" s="13">
        <v>45078</v>
      </c>
      <c r="P1565" s="12" t="s">
        <v>2543</v>
      </c>
      <c r="Q1565" s="13">
        <v>45089</v>
      </c>
      <c r="R1565" s="12" t="s">
        <v>2544</v>
      </c>
      <c r="S1565" s="12" t="s">
        <v>8</v>
      </c>
    </row>
    <row r="1566" spans="1:19" x14ac:dyDescent="0.25">
      <c r="A1566" s="12" t="s">
        <v>2375</v>
      </c>
      <c r="B1566" s="13">
        <v>45103</v>
      </c>
      <c r="C1566" s="12" t="s">
        <v>22</v>
      </c>
      <c r="D1566" s="12" t="s">
        <v>410</v>
      </c>
      <c r="E1566" s="12" t="s">
        <v>411</v>
      </c>
      <c r="F1566" s="12" t="s">
        <v>4</v>
      </c>
      <c r="G1566" s="12" t="s">
        <v>5</v>
      </c>
      <c r="H1566" s="14">
        <v>3259.52</v>
      </c>
      <c r="I1566" s="12" t="s">
        <v>2545</v>
      </c>
      <c r="J1566" s="12" t="s">
        <v>413</v>
      </c>
      <c r="K1566" s="12" t="s">
        <v>2546</v>
      </c>
      <c r="L1566" s="12" t="s">
        <v>2547</v>
      </c>
      <c r="M1566" s="12" t="s">
        <v>524</v>
      </c>
      <c r="N1566" s="12" t="s">
        <v>43</v>
      </c>
      <c r="O1566" s="13">
        <v>45096</v>
      </c>
      <c r="P1566" s="12" t="s">
        <v>2548</v>
      </c>
      <c r="Q1566" s="13">
        <v>45103</v>
      </c>
      <c r="R1566" s="12" t="s">
        <v>2549</v>
      </c>
      <c r="S1566" s="12" t="s">
        <v>2503</v>
      </c>
    </row>
    <row r="1567" spans="1:19" x14ac:dyDescent="0.25">
      <c r="A1567" s="12" t="s">
        <v>2375</v>
      </c>
      <c r="B1567" s="13">
        <v>45098</v>
      </c>
      <c r="C1567" s="12" t="s">
        <v>22</v>
      </c>
      <c r="D1567" s="12" t="s">
        <v>410</v>
      </c>
      <c r="E1567" s="12" t="s">
        <v>411</v>
      </c>
      <c r="F1567" s="12" t="s">
        <v>4</v>
      </c>
      <c r="G1567" s="12" t="s">
        <v>5</v>
      </c>
      <c r="H1567" s="14">
        <v>3055.8</v>
      </c>
      <c r="I1567" s="12" t="s">
        <v>2550</v>
      </c>
      <c r="J1567" s="12" t="s">
        <v>413</v>
      </c>
      <c r="K1567" s="12" t="s">
        <v>2551</v>
      </c>
      <c r="L1567" s="12" t="s">
        <v>2552</v>
      </c>
      <c r="M1567" s="12" t="s">
        <v>524</v>
      </c>
      <c r="N1567" s="12" t="s">
        <v>43</v>
      </c>
      <c r="O1567" s="13">
        <v>45090</v>
      </c>
      <c r="P1567" s="12" t="s">
        <v>2553</v>
      </c>
      <c r="Q1567" s="13">
        <v>45098</v>
      </c>
      <c r="R1567" s="12" t="s">
        <v>2554</v>
      </c>
      <c r="S1567" s="12" t="s">
        <v>2503</v>
      </c>
    </row>
    <row r="1568" spans="1:19" x14ac:dyDescent="0.25">
      <c r="A1568" s="12" t="s">
        <v>2375</v>
      </c>
      <c r="B1568" s="13">
        <v>45084</v>
      </c>
      <c r="C1568" s="12" t="s">
        <v>22</v>
      </c>
      <c r="D1568" s="12" t="s">
        <v>410</v>
      </c>
      <c r="E1568" s="12" t="s">
        <v>411</v>
      </c>
      <c r="F1568" s="12" t="s">
        <v>4</v>
      </c>
      <c r="G1568" s="12" t="s">
        <v>5</v>
      </c>
      <c r="H1568" s="14">
        <v>2916.79</v>
      </c>
      <c r="I1568" s="12" t="s">
        <v>2555</v>
      </c>
      <c r="J1568" s="12" t="s">
        <v>413</v>
      </c>
      <c r="K1568" s="12" t="s">
        <v>2556</v>
      </c>
      <c r="L1568" s="12" t="s">
        <v>2557</v>
      </c>
      <c r="M1568" s="12" t="s">
        <v>2429</v>
      </c>
      <c r="N1568" s="12" t="s">
        <v>12</v>
      </c>
      <c r="O1568" s="13">
        <v>44915</v>
      </c>
      <c r="P1568" s="12" t="s">
        <v>2558</v>
      </c>
      <c r="Q1568" s="13">
        <v>45084</v>
      </c>
      <c r="R1568" s="12" t="s">
        <v>2559</v>
      </c>
      <c r="S1568" s="12" t="s">
        <v>2560</v>
      </c>
    </row>
    <row r="1569" spans="1:19" x14ac:dyDescent="0.25">
      <c r="A1569" s="12" t="s">
        <v>2375</v>
      </c>
      <c r="B1569" s="13">
        <v>45084</v>
      </c>
      <c r="C1569" s="12" t="s">
        <v>22</v>
      </c>
      <c r="D1569" s="12" t="s">
        <v>410</v>
      </c>
      <c r="E1569" s="12" t="s">
        <v>411</v>
      </c>
      <c r="F1569" s="12" t="s">
        <v>4</v>
      </c>
      <c r="G1569" s="12" t="s">
        <v>5</v>
      </c>
      <c r="H1569" s="14">
        <v>2842.98</v>
      </c>
      <c r="I1569" s="12" t="s">
        <v>2555</v>
      </c>
      <c r="J1569" s="12" t="s">
        <v>413</v>
      </c>
      <c r="K1569" s="12" t="s">
        <v>2556</v>
      </c>
      <c r="L1569" s="12" t="s">
        <v>2557</v>
      </c>
      <c r="M1569" s="12" t="s">
        <v>2429</v>
      </c>
      <c r="N1569" s="12" t="s">
        <v>1</v>
      </c>
      <c r="O1569" s="13">
        <v>44915</v>
      </c>
      <c r="P1569" s="12" t="s">
        <v>2558</v>
      </c>
      <c r="Q1569" s="13">
        <v>45084</v>
      </c>
      <c r="R1569" s="12" t="s">
        <v>2559</v>
      </c>
      <c r="S1569" s="12" t="s">
        <v>1232</v>
      </c>
    </row>
    <row r="1570" spans="1:19" x14ac:dyDescent="0.25">
      <c r="A1570" s="12" t="s">
        <v>2375</v>
      </c>
      <c r="B1570" s="13">
        <v>45098</v>
      </c>
      <c r="C1570" s="12" t="s">
        <v>22</v>
      </c>
      <c r="D1570" s="12" t="s">
        <v>410</v>
      </c>
      <c r="E1570" s="12" t="s">
        <v>411</v>
      </c>
      <c r="F1570" s="12" t="s">
        <v>4</v>
      </c>
      <c r="G1570" s="12" t="s">
        <v>5</v>
      </c>
      <c r="H1570" s="14">
        <v>2700.83</v>
      </c>
      <c r="I1570" s="12" t="s">
        <v>2550</v>
      </c>
      <c r="J1570" s="12" t="s">
        <v>413</v>
      </c>
      <c r="K1570" s="12" t="s">
        <v>2551</v>
      </c>
      <c r="L1570" s="12" t="s">
        <v>2552</v>
      </c>
      <c r="M1570" s="12" t="s">
        <v>524</v>
      </c>
      <c r="N1570" s="12" t="s">
        <v>12</v>
      </c>
      <c r="O1570" s="13">
        <v>45090</v>
      </c>
      <c r="P1570" s="12" t="s">
        <v>2553</v>
      </c>
      <c r="Q1570" s="13">
        <v>45098</v>
      </c>
      <c r="R1570" s="12" t="s">
        <v>2554</v>
      </c>
      <c r="S1570" s="12" t="s">
        <v>2502</v>
      </c>
    </row>
    <row r="1571" spans="1:19" x14ac:dyDescent="0.25">
      <c r="A1571" s="12" t="s">
        <v>2375</v>
      </c>
      <c r="B1571" s="13">
        <v>45084</v>
      </c>
      <c r="C1571" s="12" t="s">
        <v>22</v>
      </c>
      <c r="D1571" s="12" t="s">
        <v>410</v>
      </c>
      <c r="E1571" s="12" t="s">
        <v>411</v>
      </c>
      <c r="F1571" s="12" t="s">
        <v>4</v>
      </c>
      <c r="G1571" s="12" t="s">
        <v>5</v>
      </c>
      <c r="H1571" s="14">
        <v>2391.81</v>
      </c>
      <c r="I1571" s="12" t="s">
        <v>2561</v>
      </c>
      <c r="J1571" s="12" t="s">
        <v>413</v>
      </c>
      <c r="K1571" s="12" t="s">
        <v>2562</v>
      </c>
      <c r="L1571" s="12" t="s">
        <v>2563</v>
      </c>
      <c r="M1571" s="12" t="s">
        <v>2429</v>
      </c>
      <c r="N1571" s="12" t="s">
        <v>1</v>
      </c>
      <c r="O1571" s="13">
        <v>44915</v>
      </c>
      <c r="P1571" s="12" t="s">
        <v>2564</v>
      </c>
      <c r="Q1571" s="13">
        <v>45084</v>
      </c>
      <c r="R1571" s="12" t="s">
        <v>2565</v>
      </c>
      <c r="S1571" s="12" t="s">
        <v>1612</v>
      </c>
    </row>
    <row r="1572" spans="1:19" x14ac:dyDescent="0.25">
      <c r="A1572" s="12" t="s">
        <v>2375</v>
      </c>
      <c r="B1572" s="13">
        <v>45084</v>
      </c>
      <c r="C1572" s="12" t="s">
        <v>22</v>
      </c>
      <c r="D1572" s="12" t="s">
        <v>410</v>
      </c>
      <c r="E1572" s="12" t="s">
        <v>411</v>
      </c>
      <c r="F1572" s="12" t="s">
        <v>4</v>
      </c>
      <c r="G1572" s="12" t="s">
        <v>5</v>
      </c>
      <c r="H1572" s="14">
        <v>2078.13</v>
      </c>
      <c r="I1572" s="12" t="s">
        <v>2566</v>
      </c>
      <c r="J1572" s="12" t="s">
        <v>413</v>
      </c>
      <c r="K1572" s="12" t="s">
        <v>2567</v>
      </c>
      <c r="L1572" s="12" t="s">
        <v>2568</v>
      </c>
      <c r="M1572" s="12" t="s">
        <v>2429</v>
      </c>
      <c r="N1572" s="12" t="s">
        <v>1</v>
      </c>
      <c r="O1572" s="13">
        <v>44915</v>
      </c>
      <c r="P1572" s="12" t="s">
        <v>2569</v>
      </c>
      <c r="Q1572" s="13">
        <v>45084</v>
      </c>
      <c r="R1572" s="12" t="s">
        <v>2570</v>
      </c>
      <c r="S1572" s="12" t="s">
        <v>1612</v>
      </c>
    </row>
    <row r="1573" spans="1:19" x14ac:dyDescent="0.25">
      <c r="A1573" s="12" t="s">
        <v>2375</v>
      </c>
      <c r="B1573" s="13">
        <v>45098</v>
      </c>
      <c r="C1573" s="12" t="s">
        <v>22</v>
      </c>
      <c r="D1573" s="12" t="s">
        <v>410</v>
      </c>
      <c r="E1573" s="12" t="s">
        <v>411</v>
      </c>
      <c r="F1573" s="12" t="s">
        <v>4</v>
      </c>
      <c r="G1573" s="12" t="s">
        <v>5</v>
      </c>
      <c r="H1573" s="14">
        <v>1995.15</v>
      </c>
      <c r="I1573" s="12" t="s">
        <v>2571</v>
      </c>
      <c r="J1573" s="12" t="s">
        <v>413</v>
      </c>
      <c r="K1573" s="12" t="s">
        <v>2572</v>
      </c>
      <c r="L1573" s="12" t="s">
        <v>2573</v>
      </c>
      <c r="M1573" s="12" t="s">
        <v>524</v>
      </c>
      <c r="N1573" s="12" t="s">
        <v>1</v>
      </c>
      <c r="O1573" s="13">
        <v>45090</v>
      </c>
      <c r="P1573" s="12" t="s">
        <v>2574</v>
      </c>
      <c r="Q1573" s="13">
        <v>45098</v>
      </c>
      <c r="R1573" s="12" t="s">
        <v>2575</v>
      </c>
      <c r="S1573" s="12" t="s">
        <v>2576</v>
      </c>
    </row>
    <row r="1574" spans="1:19" x14ac:dyDescent="0.25">
      <c r="A1574" s="12" t="s">
        <v>2375</v>
      </c>
      <c r="B1574" s="13">
        <v>45084</v>
      </c>
      <c r="C1574" s="12" t="s">
        <v>22</v>
      </c>
      <c r="D1574" s="12" t="s">
        <v>410</v>
      </c>
      <c r="E1574" s="12" t="s">
        <v>411</v>
      </c>
      <c r="F1574" s="12" t="s">
        <v>4</v>
      </c>
      <c r="G1574" s="12" t="s">
        <v>5</v>
      </c>
      <c r="H1574" s="14">
        <v>1270.32</v>
      </c>
      <c r="I1574" s="12" t="s">
        <v>2555</v>
      </c>
      <c r="J1574" s="12" t="s">
        <v>413</v>
      </c>
      <c r="K1574" s="12" t="s">
        <v>2556</v>
      </c>
      <c r="L1574" s="12" t="s">
        <v>2557</v>
      </c>
      <c r="M1574" s="12" t="s">
        <v>2429</v>
      </c>
      <c r="N1574" s="12" t="s">
        <v>17</v>
      </c>
      <c r="O1574" s="13">
        <v>44915</v>
      </c>
      <c r="P1574" s="12" t="s">
        <v>2558</v>
      </c>
      <c r="Q1574" s="13">
        <v>45084</v>
      </c>
      <c r="R1574" s="12" t="s">
        <v>2559</v>
      </c>
      <c r="S1574" s="12" t="s">
        <v>2577</v>
      </c>
    </row>
    <row r="1575" spans="1:19" x14ac:dyDescent="0.25">
      <c r="A1575" s="12" t="s">
        <v>2375</v>
      </c>
      <c r="B1575" s="13">
        <v>45098</v>
      </c>
      <c r="C1575" s="12" t="s">
        <v>22</v>
      </c>
      <c r="D1575" s="12" t="s">
        <v>410</v>
      </c>
      <c r="E1575" s="12" t="s">
        <v>411</v>
      </c>
      <c r="F1575" s="12" t="s">
        <v>4</v>
      </c>
      <c r="G1575" s="12" t="s">
        <v>5</v>
      </c>
      <c r="H1575" s="14">
        <v>916.8</v>
      </c>
      <c r="I1575" s="12" t="s">
        <v>2550</v>
      </c>
      <c r="J1575" s="12" t="s">
        <v>413</v>
      </c>
      <c r="K1575" s="12" t="s">
        <v>2551</v>
      </c>
      <c r="L1575" s="12" t="s">
        <v>2552</v>
      </c>
      <c r="M1575" s="12" t="s">
        <v>524</v>
      </c>
      <c r="N1575" s="12" t="s">
        <v>77</v>
      </c>
      <c r="O1575" s="13">
        <v>45090</v>
      </c>
      <c r="P1575" s="12" t="s">
        <v>2553</v>
      </c>
      <c r="Q1575" s="13">
        <v>45098</v>
      </c>
      <c r="R1575" s="12" t="s">
        <v>2554</v>
      </c>
      <c r="S1575" s="12" t="s">
        <v>2509</v>
      </c>
    </row>
    <row r="1576" spans="1:19" x14ac:dyDescent="0.25">
      <c r="A1576" s="12" t="s">
        <v>2375</v>
      </c>
      <c r="B1576" s="13">
        <v>45103</v>
      </c>
      <c r="C1576" s="12" t="s">
        <v>22</v>
      </c>
      <c r="D1576" s="12" t="s">
        <v>410</v>
      </c>
      <c r="E1576" s="12" t="s">
        <v>411</v>
      </c>
      <c r="F1576" s="12" t="s">
        <v>4</v>
      </c>
      <c r="G1576" s="12" t="s">
        <v>5</v>
      </c>
      <c r="H1576" s="14">
        <v>916.8</v>
      </c>
      <c r="I1576" s="12" t="s">
        <v>2545</v>
      </c>
      <c r="J1576" s="12" t="s">
        <v>413</v>
      </c>
      <c r="K1576" s="12" t="s">
        <v>2546</v>
      </c>
      <c r="L1576" s="12" t="s">
        <v>2547</v>
      </c>
      <c r="M1576" s="12" t="s">
        <v>524</v>
      </c>
      <c r="N1576" s="12" t="s">
        <v>77</v>
      </c>
      <c r="O1576" s="13">
        <v>45096</v>
      </c>
      <c r="P1576" s="12" t="s">
        <v>2548</v>
      </c>
      <c r="Q1576" s="13">
        <v>45103</v>
      </c>
      <c r="R1576" s="12" t="s">
        <v>2549</v>
      </c>
      <c r="S1576" s="12" t="s">
        <v>2509</v>
      </c>
    </row>
    <row r="1577" spans="1:19" x14ac:dyDescent="0.25">
      <c r="A1577" s="12" t="s">
        <v>2375</v>
      </c>
      <c r="B1577" s="13">
        <v>45098</v>
      </c>
      <c r="C1577" s="12" t="s">
        <v>22</v>
      </c>
      <c r="D1577" s="12" t="s">
        <v>410</v>
      </c>
      <c r="E1577" s="12" t="s">
        <v>411</v>
      </c>
      <c r="F1577" s="12" t="s">
        <v>4</v>
      </c>
      <c r="G1577" s="12" t="s">
        <v>5</v>
      </c>
      <c r="H1577" s="14">
        <v>492.3</v>
      </c>
      <c r="I1577" s="12" t="s">
        <v>2550</v>
      </c>
      <c r="J1577" s="12" t="s">
        <v>413</v>
      </c>
      <c r="K1577" s="12" t="s">
        <v>2551</v>
      </c>
      <c r="L1577" s="12" t="s">
        <v>2552</v>
      </c>
      <c r="M1577" s="12" t="s">
        <v>524</v>
      </c>
      <c r="N1577" s="12" t="s">
        <v>1</v>
      </c>
      <c r="O1577" s="13">
        <v>45090</v>
      </c>
      <c r="P1577" s="12" t="s">
        <v>2553</v>
      </c>
      <c r="Q1577" s="13">
        <v>45098</v>
      </c>
      <c r="R1577" s="12" t="s">
        <v>2554</v>
      </c>
      <c r="S1577" s="12" t="s">
        <v>2510</v>
      </c>
    </row>
    <row r="1578" spans="1:19" x14ac:dyDescent="0.25">
      <c r="A1578" s="12" t="s">
        <v>2375</v>
      </c>
      <c r="B1578" s="13">
        <v>45103</v>
      </c>
      <c r="C1578" s="12" t="s">
        <v>22</v>
      </c>
      <c r="D1578" s="12" t="s">
        <v>410</v>
      </c>
      <c r="E1578" s="12" t="s">
        <v>411</v>
      </c>
      <c r="F1578" s="12" t="s">
        <v>4</v>
      </c>
      <c r="G1578" s="12" t="s">
        <v>5</v>
      </c>
      <c r="H1578" s="14">
        <v>492.3</v>
      </c>
      <c r="I1578" s="12" t="s">
        <v>2545</v>
      </c>
      <c r="J1578" s="12" t="s">
        <v>413</v>
      </c>
      <c r="K1578" s="12" t="s">
        <v>2546</v>
      </c>
      <c r="L1578" s="12" t="s">
        <v>2547</v>
      </c>
      <c r="M1578" s="12" t="s">
        <v>524</v>
      </c>
      <c r="N1578" s="12" t="s">
        <v>1</v>
      </c>
      <c r="O1578" s="13">
        <v>45096</v>
      </c>
      <c r="P1578" s="12" t="s">
        <v>2548</v>
      </c>
      <c r="Q1578" s="13">
        <v>45103</v>
      </c>
      <c r="R1578" s="12" t="s">
        <v>2549</v>
      </c>
      <c r="S1578" s="12" t="s">
        <v>2510</v>
      </c>
    </row>
    <row r="1579" spans="1:19" x14ac:dyDescent="0.25">
      <c r="A1579" s="12" t="s">
        <v>2375</v>
      </c>
      <c r="B1579" s="13">
        <v>45098</v>
      </c>
      <c r="C1579" s="12" t="s">
        <v>22</v>
      </c>
      <c r="D1579" s="12" t="s">
        <v>410</v>
      </c>
      <c r="E1579" s="12" t="s">
        <v>411</v>
      </c>
      <c r="F1579" s="12" t="s">
        <v>4</v>
      </c>
      <c r="G1579" s="12" t="s">
        <v>5</v>
      </c>
      <c r="H1579" s="14">
        <v>458.38</v>
      </c>
      <c r="I1579" s="12" t="s">
        <v>2550</v>
      </c>
      <c r="J1579" s="12" t="s">
        <v>413</v>
      </c>
      <c r="K1579" s="12" t="s">
        <v>2551</v>
      </c>
      <c r="L1579" s="12" t="s">
        <v>2552</v>
      </c>
      <c r="M1579" s="12" t="s">
        <v>524</v>
      </c>
      <c r="N1579" s="12" t="s">
        <v>22</v>
      </c>
      <c r="O1579" s="13">
        <v>45090</v>
      </c>
      <c r="P1579" s="12" t="s">
        <v>2553</v>
      </c>
      <c r="Q1579" s="13">
        <v>45098</v>
      </c>
      <c r="R1579" s="12" t="s">
        <v>2554</v>
      </c>
      <c r="S1579" s="12" t="s">
        <v>2578</v>
      </c>
    </row>
    <row r="1580" spans="1:19" x14ac:dyDescent="0.25">
      <c r="A1580" s="12" t="s">
        <v>2375</v>
      </c>
      <c r="B1580" s="13">
        <v>45103</v>
      </c>
      <c r="C1580" s="12" t="s">
        <v>22</v>
      </c>
      <c r="D1580" s="12" t="s">
        <v>410</v>
      </c>
      <c r="E1580" s="12" t="s">
        <v>411</v>
      </c>
      <c r="F1580" s="12" t="s">
        <v>4</v>
      </c>
      <c r="G1580" s="12" t="s">
        <v>5</v>
      </c>
      <c r="H1580" s="14">
        <v>314.05</v>
      </c>
      <c r="I1580" s="12" t="s">
        <v>2545</v>
      </c>
      <c r="J1580" s="12" t="s">
        <v>413</v>
      </c>
      <c r="K1580" s="12" t="s">
        <v>2546</v>
      </c>
      <c r="L1580" s="12" t="s">
        <v>2547</v>
      </c>
      <c r="M1580" s="12" t="s">
        <v>524</v>
      </c>
      <c r="N1580" s="12" t="s">
        <v>17</v>
      </c>
      <c r="O1580" s="13">
        <v>45096</v>
      </c>
      <c r="P1580" s="12" t="s">
        <v>2548</v>
      </c>
      <c r="Q1580" s="13">
        <v>45103</v>
      </c>
      <c r="R1580" s="12" t="s">
        <v>2549</v>
      </c>
      <c r="S1580" s="12" t="s">
        <v>2502</v>
      </c>
    </row>
    <row r="1581" spans="1:19" x14ac:dyDescent="0.25">
      <c r="A1581" s="12" t="s">
        <v>2375</v>
      </c>
      <c r="B1581" s="13">
        <v>45084</v>
      </c>
      <c r="C1581" s="12" t="s">
        <v>22</v>
      </c>
      <c r="D1581" s="12" t="s">
        <v>410</v>
      </c>
      <c r="E1581" s="12" t="s">
        <v>411</v>
      </c>
      <c r="F1581" s="12" t="s">
        <v>4</v>
      </c>
      <c r="G1581" s="12" t="s">
        <v>5</v>
      </c>
      <c r="H1581" s="14">
        <v>156.80000000000001</v>
      </c>
      <c r="I1581" s="12" t="s">
        <v>2566</v>
      </c>
      <c r="J1581" s="12" t="s">
        <v>413</v>
      </c>
      <c r="K1581" s="12" t="s">
        <v>2567</v>
      </c>
      <c r="L1581" s="12" t="s">
        <v>2568</v>
      </c>
      <c r="M1581" s="12" t="s">
        <v>2429</v>
      </c>
      <c r="N1581" s="12" t="s">
        <v>12</v>
      </c>
      <c r="O1581" s="13">
        <v>44915</v>
      </c>
      <c r="P1581" s="12" t="s">
        <v>2569</v>
      </c>
      <c r="Q1581" s="13">
        <v>45084</v>
      </c>
      <c r="R1581" s="12" t="s">
        <v>2570</v>
      </c>
      <c r="S1581" s="12" t="s">
        <v>1899</v>
      </c>
    </row>
    <row r="1582" spans="1:19" x14ac:dyDescent="0.25">
      <c r="A1582" s="12" t="s">
        <v>2375</v>
      </c>
      <c r="B1582" s="13">
        <v>45084</v>
      </c>
      <c r="C1582" s="12" t="s">
        <v>22</v>
      </c>
      <c r="D1582" s="12" t="s">
        <v>410</v>
      </c>
      <c r="E1582" s="12" t="s">
        <v>411</v>
      </c>
      <c r="F1582" s="12" t="s">
        <v>4</v>
      </c>
      <c r="G1582" s="12" t="s">
        <v>5</v>
      </c>
      <c r="H1582" s="14">
        <v>125.44</v>
      </c>
      <c r="I1582" s="12" t="s">
        <v>2561</v>
      </c>
      <c r="J1582" s="12" t="s">
        <v>413</v>
      </c>
      <c r="K1582" s="12" t="s">
        <v>2562</v>
      </c>
      <c r="L1582" s="12" t="s">
        <v>2563</v>
      </c>
      <c r="M1582" s="12" t="s">
        <v>2429</v>
      </c>
      <c r="N1582" s="12" t="s">
        <v>12</v>
      </c>
      <c r="O1582" s="13">
        <v>44915</v>
      </c>
      <c r="P1582" s="12" t="s">
        <v>2564</v>
      </c>
      <c r="Q1582" s="13">
        <v>45084</v>
      </c>
      <c r="R1582" s="12" t="s">
        <v>2565</v>
      </c>
      <c r="S1582" s="12" t="s">
        <v>1899</v>
      </c>
    </row>
    <row r="1583" spans="1:19" x14ac:dyDescent="0.25">
      <c r="A1583" s="12" t="s">
        <v>2375</v>
      </c>
      <c r="B1583" s="13">
        <v>45103</v>
      </c>
      <c r="C1583" s="12" t="s">
        <v>22</v>
      </c>
      <c r="D1583" s="12" t="s">
        <v>410</v>
      </c>
      <c r="E1583" s="12" t="s">
        <v>411</v>
      </c>
      <c r="F1583" s="12" t="s">
        <v>4</v>
      </c>
      <c r="G1583" s="12" t="s">
        <v>5</v>
      </c>
      <c r="H1583" s="14">
        <v>59.41</v>
      </c>
      <c r="I1583" s="12" t="s">
        <v>2545</v>
      </c>
      <c r="J1583" s="12" t="s">
        <v>413</v>
      </c>
      <c r="K1583" s="12" t="s">
        <v>2546</v>
      </c>
      <c r="L1583" s="12" t="s">
        <v>2547</v>
      </c>
      <c r="M1583" s="12" t="s">
        <v>524</v>
      </c>
      <c r="N1583" s="12" t="s">
        <v>12</v>
      </c>
      <c r="O1583" s="13">
        <v>45096</v>
      </c>
      <c r="P1583" s="12" t="s">
        <v>2548</v>
      </c>
      <c r="Q1583" s="13">
        <v>45103</v>
      </c>
      <c r="R1583" s="12" t="s">
        <v>2549</v>
      </c>
      <c r="S1583" s="12" t="s">
        <v>2511</v>
      </c>
    </row>
    <row r="1584" spans="1:19" x14ac:dyDescent="0.25">
      <c r="A1584" s="12" t="s">
        <v>2375</v>
      </c>
      <c r="B1584" s="13">
        <v>45098</v>
      </c>
      <c r="C1584" s="12" t="s">
        <v>22</v>
      </c>
      <c r="D1584" s="12" t="s">
        <v>410</v>
      </c>
      <c r="E1584" s="12" t="s">
        <v>411</v>
      </c>
      <c r="F1584" s="12" t="s">
        <v>4</v>
      </c>
      <c r="G1584" s="12" t="s">
        <v>5</v>
      </c>
      <c r="H1584" s="14">
        <v>54.33</v>
      </c>
      <c r="I1584" s="12" t="s">
        <v>2550</v>
      </c>
      <c r="J1584" s="12" t="s">
        <v>413</v>
      </c>
      <c r="K1584" s="12" t="s">
        <v>2551</v>
      </c>
      <c r="L1584" s="12" t="s">
        <v>2552</v>
      </c>
      <c r="M1584" s="12" t="s">
        <v>524</v>
      </c>
      <c r="N1584" s="12" t="s">
        <v>17</v>
      </c>
      <c r="O1584" s="13">
        <v>45090</v>
      </c>
      <c r="P1584" s="12" t="s">
        <v>2553</v>
      </c>
      <c r="Q1584" s="13">
        <v>45098</v>
      </c>
      <c r="R1584" s="12" t="s">
        <v>2554</v>
      </c>
      <c r="S1584" s="12" t="s">
        <v>2579</v>
      </c>
    </row>
    <row r="1585" spans="1:22" x14ac:dyDescent="0.25">
      <c r="A1585" t="s">
        <v>2375</v>
      </c>
      <c r="B1585" s="2">
        <v>45125</v>
      </c>
      <c r="C1585" t="s">
        <v>72</v>
      </c>
      <c r="D1585" t="s">
        <v>410</v>
      </c>
      <c r="E1585" t="s">
        <v>411</v>
      </c>
      <c r="F1585" t="s">
        <v>4</v>
      </c>
      <c r="G1585" t="s">
        <v>5</v>
      </c>
      <c r="H1585" s="3">
        <v>11035</v>
      </c>
      <c r="I1585" t="s">
        <v>2621</v>
      </c>
      <c r="J1585" t="s">
        <v>413</v>
      </c>
      <c r="K1585" t="s">
        <v>2622</v>
      </c>
      <c r="L1585" t="s">
        <v>2623</v>
      </c>
      <c r="M1585" t="s">
        <v>524</v>
      </c>
      <c r="N1585" t="s">
        <v>1</v>
      </c>
      <c r="O1585" s="2">
        <v>45117</v>
      </c>
      <c r="P1585" t="s">
        <v>2624</v>
      </c>
      <c r="Q1585" s="2">
        <v>45125</v>
      </c>
      <c r="R1585" t="s">
        <v>2625</v>
      </c>
      <c r="S1585" t="s">
        <v>2496</v>
      </c>
    </row>
    <row r="1586" spans="1:22" x14ac:dyDescent="0.25">
      <c r="A1586" t="s">
        <v>2375</v>
      </c>
      <c r="B1586" s="2">
        <v>45128</v>
      </c>
      <c r="C1586" t="s">
        <v>72</v>
      </c>
      <c r="D1586" t="s">
        <v>410</v>
      </c>
      <c r="E1586" t="s">
        <v>411</v>
      </c>
      <c r="F1586" t="s">
        <v>4</v>
      </c>
      <c r="G1586" t="s">
        <v>5</v>
      </c>
      <c r="H1586" s="3">
        <v>2826.45</v>
      </c>
      <c r="I1586" t="s">
        <v>2626</v>
      </c>
      <c r="J1586" t="s">
        <v>413</v>
      </c>
      <c r="K1586" t="s">
        <v>2627</v>
      </c>
      <c r="L1586" t="s">
        <v>2628</v>
      </c>
      <c r="M1586" t="s">
        <v>2429</v>
      </c>
      <c r="N1586" t="s">
        <v>12</v>
      </c>
      <c r="O1586" s="2">
        <v>45125</v>
      </c>
      <c r="P1586" t="s">
        <v>2629</v>
      </c>
      <c r="Q1586" s="2">
        <v>45128</v>
      </c>
      <c r="R1586" t="s">
        <v>2630</v>
      </c>
      <c r="S1586" t="s">
        <v>2502</v>
      </c>
    </row>
    <row r="1587" spans="1:22" x14ac:dyDescent="0.25">
      <c r="A1587" t="s">
        <v>2375</v>
      </c>
      <c r="B1587" s="2">
        <v>45128</v>
      </c>
      <c r="C1587" t="s">
        <v>72</v>
      </c>
      <c r="D1587" t="s">
        <v>410</v>
      </c>
      <c r="E1587" t="s">
        <v>411</v>
      </c>
      <c r="F1587" t="s">
        <v>4</v>
      </c>
      <c r="G1587" t="s">
        <v>5</v>
      </c>
      <c r="H1587" s="3">
        <v>2547</v>
      </c>
      <c r="I1587" t="s">
        <v>2631</v>
      </c>
      <c r="J1587" t="s">
        <v>413</v>
      </c>
      <c r="K1587" t="s">
        <v>2632</v>
      </c>
      <c r="L1587" t="s">
        <v>2633</v>
      </c>
      <c r="M1587" t="s">
        <v>2429</v>
      </c>
      <c r="N1587" t="s">
        <v>1</v>
      </c>
      <c r="O1587" s="2">
        <v>45125</v>
      </c>
      <c r="P1587" t="s">
        <v>2634</v>
      </c>
      <c r="Q1587" s="2">
        <v>45128</v>
      </c>
      <c r="R1587" t="s">
        <v>2635</v>
      </c>
      <c r="S1587" t="s">
        <v>2576</v>
      </c>
    </row>
    <row r="1588" spans="1:22" x14ac:dyDescent="0.25">
      <c r="A1588" t="s">
        <v>2375</v>
      </c>
      <c r="B1588" s="2">
        <v>45128</v>
      </c>
      <c r="C1588" t="s">
        <v>72</v>
      </c>
      <c r="D1588" t="s">
        <v>410</v>
      </c>
      <c r="E1588" t="s">
        <v>411</v>
      </c>
      <c r="F1588" t="s">
        <v>4</v>
      </c>
      <c r="G1588" t="s">
        <v>5</v>
      </c>
      <c r="H1588" s="3">
        <v>1018.6</v>
      </c>
      <c r="I1588" t="s">
        <v>2626</v>
      </c>
      <c r="J1588" t="s">
        <v>413</v>
      </c>
      <c r="K1588" t="s">
        <v>2627</v>
      </c>
      <c r="L1588" t="s">
        <v>2628</v>
      </c>
      <c r="M1588" t="s">
        <v>2429</v>
      </c>
      <c r="N1588" t="s">
        <v>17</v>
      </c>
      <c r="O1588" s="2">
        <v>45125</v>
      </c>
      <c r="P1588" t="s">
        <v>2629</v>
      </c>
      <c r="Q1588" s="2">
        <v>45128</v>
      </c>
      <c r="R1588" t="s">
        <v>2630</v>
      </c>
      <c r="S1588" t="s">
        <v>2503</v>
      </c>
    </row>
    <row r="1589" spans="1:22" x14ac:dyDescent="0.25">
      <c r="A1589" t="s">
        <v>2375</v>
      </c>
      <c r="B1589" s="2">
        <v>45128</v>
      </c>
      <c r="C1589" t="s">
        <v>72</v>
      </c>
      <c r="D1589" t="s">
        <v>410</v>
      </c>
      <c r="E1589" t="s">
        <v>411</v>
      </c>
      <c r="F1589" t="s">
        <v>4</v>
      </c>
      <c r="G1589" t="s">
        <v>5</v>
      </c>
      <c r="H1589" s="3">
        <v>916.8</v>
      </c>
      <c r="I1589" t="s">
        <v>2626</v>
      </c>
      <c r="J1589" t="s">
        <v>413</v>
      </c>
      <c r="K1589" t="s">
        <v>2627</v>
      </c>
      <c r="L1589" t="s">
        <v>2628</v>
      </c>
      <c r="M1589" t="s">
        <v>2429</v>
      </c>
      <c r="N1589" t="s">
        <v>43</v>
      </c>
      <c r="O1589" s="2">
        <v>45125</v>
      </c>
      <c r="P1589" t="s">
        <v>2629</v>
      </c>
      <c r="Q1589" s="2">
        <v>45128</v>
      </c>
      <c r="R1589" t="s">
        <v>2630</v>
      </c>
      <c r="S1589" t="s">
        <v>2509</v>
      </c>
    </row>
    <row r="1590" spans="1:22" x14ac:dyDescent="0.25">
      <c r="A1590" t="s">
        <v>2375</v>
      </c>
      <c r="B1590" s="2">
        <v>45128</v>
      </c>
      <c r="C1590" t="s">
        <v>72</v>
      </c>
      <c r="D1590" t="s">
        <v>410</v>
      </c>
      <c r="E1590" t="s">
        <v>411</v>
      </c>
      <c r="F1590" t="s">
        <v>4</v>
      </c>
      <c r="G1590" t="s">
        <v>5</v>
      </c>
      <c r="H1590" s="3">
        <v>492.3</v>
      </c>
      <c r="I1590" t="s">
        <v>2626</v>
      </c>
      <c r="J1590" t="s">
        <v>413</v>
      </c>
      <c r="K1590" t="s">
        <v>2627</v>
      </c>
      <c r="L1590" t="s">
        <v>2628</v>
      </c>
      <c r="M1590" t="s">
        <v>2429</v>
      </c>
      <c r="N1590" t="s">
        <v>1</v>
      </c>
      <c r="O1590" s="2">
        <v>45125</v>
      </c>
      <c r="P1590" t="s">
        <v>2629</v>
      </c>
      <c r="Q1590" s="2">
        <v>45128</v>
      </c>
      <c r="R1590" t="s">
        <v>2630</v>
      </c>
      <c r="S1590" t="s">
        <v>2510</v>
      </c>
    </row>
    <row r="1591" spans="1:22" x14ac:dyDescent="0.25">
      <c r="A1591" t="s">
        <v>2375</v>
      </c>
      <c r="B1591" s="2">
        <v>45128</v>
      </c>
      <c r="C1591" t="s">
        <v>72</v>
      </c>
      <c r="D1591" t="s">
        <v>410</v>
      </c>
      <c r="E1591" t="s">
        <v>411</v>
      </c>
      <c r="F1591" t="s">
        <v>4</v>
      </c>
      <c r="G1591" t="s">
        <v>5</v>
      </c>
      <c r="H1591" s="3">
        <v>458.38</v>
      </c>
      <c r="I1591" t="s">
        <v>2626</v>
      </c>
      <c r="J1591" t="s">
        <v>413</v>
      </c>
      <c r="K1591" t="s">
        <v>2627</v>
      </c>
      <c r="L1591" t="s">
        <v>2628</v>
      </c>
      <c r="M1591" t="s">
        <v>2429</v>
      </c>
      <c r="N1591" t="s">
        <v>77</v>
      </c>
      <c r="O1591" s="2">
        <v>45125</v>
      </c>
      <c r="P1591" t="s">
        <v>2629</v>
      </c>
      <c r="Q1591" s="2">
        <v>45128</v>
      </c>
      <c r="R1591" t="s">
        <v>2630</v>
      </c>
      <c r="S1591" t="s">
        <v>2578</v>
      </c>
    </row>
    <row r="1592" spans="1:22" x14ac:dyDescent="0.25">
      <c r="A1592" t="s">
        <v>2375</v>
      </c>
      <c r="B1592" s="2">
        <v>45133</v>
      </c>
      <c r="C1592" t="s">
        <v>72</v>
      </c>
      <c r="D1592" t="s">
        <v>410</v>
      </c>
      <c r="E1592" t="s">
        <v>411</v>
      </c>
      <c r="F1592" t="s">
        <v>4</v>
      </c>
      <c r="G1592" t="s">
        <v>5</v>
      </c>
      <c r="H1592" s="3">
        <v>2547</v>
      </c>
      <c r="I1592" t="s">
        <v>2636</v>
      </c>
      <c r="J1592" t="s">
        <v>413</v>
      </c>
      <c r="K1592" t="s">
        <v>2632</v>
      </c>
      <c r="L1592" t="s">
        <v>2637</v>
      </c>
      <c r="M1592" t="s">
        <v>2429</v>
      </c>
      <c r="N1592" t="s">
        <v>1</v>
      </c>
      <c r="O1592" s="2">
        <v>45125</v>
      </c>
      <c r="P1592" t="s">
        <v>2638</v>
      </c>
      <c r="Q1592" s="2">
        <v>45133</v>
      </c>
      <c r="R1592" t="s">
        <v>2635</v>
      </c>
      <c r="S1592" t="s">
        <v>2576</v>
      </c>
    </row>
    <row r="1593" spans="1:22" x14ac:dyDescent="0.25">
      <c r="A1593" t="s">
        <v>2375</v>
      </c>
      <c r="B1593" s="2">
        <v>45133</v>
      </c>
      <c r="C1593" t="s">
        <v>72</v>
      </c>
      <c r="D1593" t="s">
        <v>410</v>
      </c>
      <c r="E1593" t="s">
        <v>411</v>
      </c>
      <c r="F1593" t="s">
        <v>4</v>
      </c>
      <c r="G1593" t="s">
        <v>5</v>
      </c>
      <c r="H1593" s="3">
        <v>-2547</v>
      </c>
      <c r="I1593" t="s">
        <v>2576</v>
      </c>
      <c r="J1593" t="s">
        <v>413</v>
      </c>
      <c r="K1593" t="s">
        <v>2632</v>
      </c>
      <c r="L1593" t="s">
        <v>2639</v>
      </c>
      <c r="M1593" t="s">
        <v>2429</v>
      </c>
      <c r="N1593" t="s">
        <v>1</v>
      </c>
      <c r="O1593" s="2">
        <v>45125</v>
      </c>
      <c r="P1593" t="s">
        <v>2640</v>
      </c>
      <c r="Q1593" s="2">
        <v>45128</v>
      </c>
      <c r="R1593" t="s">
        <v>2635</v>
      </c>
      <c r="S1593" t="s">
        <v>2576</v>
      </c>
    </row>
    <row r="1594" spans="1:22" x14ac:dyDescent="0.25">
      <c r="A1594" t="s">
        <v>2375</v>
      </c>
      <c r="B1594" s="2">
        <v>45154</v>
      </c>
      <c r="C1594" t="s">
        <v>82</v>
      </c>
      <c r="D1594" t="s">
        <v>410</v>
      </c>
      <c r="E1594" t="s">
        <v>411</v>
      </c>
      <c r="F1594" t="s">
        <v>4</v>
      </c>
      <c r="G1594" t="s">
        <v>5</v>
      </c>
      <c r="H1594" s="3">
        <v>11035</v>
      </c>
      <c r="I1594" t="s">
        <v>2664</v>
      </c>
      <c r="J1594" t="s">
        <v>413</v>
      </c>
      <c r="K1594" t="s">
        <v>2665</v>
      </c>
      <c r="L1594" t="s">
        <v>2666</v>
      </c>
      <c r="M1594" t="s">
        <v>524</v>
      </c>
      <c r="N1594" t="s">
        <v>1</v>
      </c>
      <c r="O1594" s="2">
        <v>45142</v>
      </c>
      <c r="P1594" t="s">
        <v>2667</v>
      </c>
      <c r="Q1594" s="2">
        <v>45154</v>
      </c>
      <c r="R1594" t="s">
        <v>2668</v>
      </c>
      <c r="S1594" t="s">
        <v>2496</v>
      </c>
      <c r="T1594" s="17">
        <v>1</v>
      </c>
      <c r="U1594" t="s">
        <v>8</v>
      </c>
      <c r="V1594" t="s">
        <v>8</v>
      </c>
    </row>
    <row r="1595" spans="1:22" x14ac:dyDescent="0.25">
      <c r="A1595" t="s">
        <v>2375</v>
      </c>
      <c r="B1595" s="2">
        <v>45156</v>
      </c>
      <c r="C1595" t="s">
        <v>82</v>
      </c>
      <c r="D1595" t="s">
        <v>1045</v>
      </c>
      <c r="E1595" t="s">
        <v>1046</v>
      </c>
      <c r="F1595" t="s">
        <v>4</v>
      </c>
      <c r="G1595" t="s">
        <v>5</v>
      </c>
      <c r="H1595" s="3">
        <v>1620.8</v>
      </c>
      <c r="I1595" t="s">
        <v>2669</v>
      </c>
      <c r="J1595" t="s">
        <v>413</v>
      </c>
      <c r="K1595" t="s">
        <v>8</v>
      </c>
      <c r="L1595" t="s">
        <v>2670</v>
      </c>
      <c r="M1595" t="s">
        <v>524</v>
      </c>
      <c r="N1595" t="s">
        <v>1</v>
      </c>
      <c r="O1595" s="2">
        <v>45149</v>
      </c>
      <c r="P1595" t="s">
        <v>2671</v>
      </c>
      <c r="Q1595" s="2">
        <v>45156</v>
      </c>
      <c r="R1595" t="s">
        <v>2672</v>
      </c>
      <c r="S1595" t="s">
        <v>8</v>
      </c>
      <c r="T1595" s="17">
        <v>0</v>
      </c>
      <c r="U1595" t="s">
        <v>8</v>
      </c>
      <c r="V1595" t="s">
        <v>8</v>
      </c>
    </row>
    <row r="1596" spans="1:22" x14ac:dyDescent="0.25">
      <c r="A1596" t="s">
        <v>2375</v>
      </c>
      <c r="B1596" s="2">
        <v>45181</v>
      </c>
      <c r="C1596" t="s">
        <v>87</v>
      </c>
      <c r="D1596" t="s">
        <v>410</v>
      </c>
      <c r="E1596" t="s">
        <v>411</v>
      </c>
      <c r="F1596" t="s">
        <v>4</v>
      </c>
      <c r="G1596" t="s">
        <v>5</v>
      </c>
      <c r="H1596" s="3">
        <v>11035</v>
      </c>
      <c r="I1596" t="s">
        <v>2723</v>
      </c>
      <c r="J1596" t="s">
        <v>413</v>
      </c>
      <c r="K1596" t="s">
        <v>2724</v>
      </c>
      <c r="L1596" t="s">
        <v>2725</v>
      </c>
      <c r="M1596" t="s">
        <v>524</v>
      </c>
      <c r="N1596" t="s">
        <v>1</v>
      </c>
      <c r="O1596" s="2">
        <v>45174</v>
      </c>
      <c r="P1596" t="s">
        <v>2726</v>
      </c>
      <c r="Q1596" s="2">
        <v>45181</v>
      </c>
      <c r="R1596" t="s">
        <v>2727</v>
      </c>
      <c r="S1596" t="s">
        <v>2496</v>
      </c>
      <c r="T1596" s="17">
        <v>1</v>
      </c>
      <c r="U1596" t="s">
        <v>8</v>
      </c>
      <c r="V1596" t="s">
        <v>8</v>
      </c>
    </row>
    <row r="1597" spans="1:22" x14ac:dyDescent="0.25">
      <c r="A1597" t="s">
        <v>2375</v>
      </c>
      <c r="B1597" s="2">
        <v>45181</v>
      </c>
      <c r="C1597" t="s">
        <v>87</v>
      </c>
      <c r="D1597" t="s">
        <v>410</v>
      </c>
      <c r="E1597" t="s">
        <v>411</v>
      </c>
      <c r="F1597" t="s">
        <v>4</v>
      </c>
      <c r="G1597" t="s">
        <v>5</v>
      </c>
      <c r="H1597" s="3">
        <v>5907.88</v>
      </c>
      <c r="I1597" t="s">
        <v>2728</v>
      </c>
      <c r="J1597" t="s">
        <v>413</v>
      </c>
      <c r="K1597" t="s">
        <v>2729</v>
      </c>
      <c r="L1597" t="s">
        <v>2730</v>
      </c>
      <c r="M1597" t="s">
        <v>524</v>
      </c>
      <c r="N1597" t="s">
        <v>17</v>
      </c>
      <c r="O1597" s="2">
        <v>45174</v>
      </c>
      <c r="P1597" t="s">
        <v>2731</v>
      </c>
      <c r="Q1597" s="2">
        <v>45181</v>
      </c>
      <c r="R1597" t="s">
        <v>2732</v>
      </c>
      <c r="S1597" t="s">
        <v>2503</v>
      </c>
      <c r="T1597" s="18">
        <v>58</v>
      </c>
      <c r="U1597" t="s">
        <v>8</v>
      </c>
      <c r="V1597" t="s">
        <v>8</v>
      </c>
    </row>
    <row r="1598" spans="1:22" x14ac:dyDescent="0.25">
      <c r="A1598" t="s">
        <v>2375</v>
      </c>
      <c r="B1598" s="2">
        <v>45181</v>
      </c>
      <c r="C1598" t="s">
        <v>87</v>
      </c>
      <c r="D1598" t="s">
        <v>410</v>
      </c>
      <c r="E1598" t="s">
        <v>411</v>
      </c>
      <c r="F1598" t="s">
        <v>4</v>
      </c>
      <c r="G1598" t="s">
        <v>5</v>
      </c>
      <c r="H1598" s="3">
        <v>3077.69</v>
      </c>
      <c r="I1598" t="s">
        <v>2728</v>
      </c>
      <c r="J1598" t="s">
        <v>413</v>
      </c>
      <c r="K1598" t="s">
        <v>2729</v>
      </c>
      <c r="L1598" t="s">
        <v>2730</v>
      </c>
      <c r="M1598" t="s">
        <v>524</v>
      </c>
      <c r="N1598" t="s">
        <v>43</v>
      </c>
      <c r="O1598" s="2">
        <v>45174</v>
      </c>
      <c r="P1598" t="s">
        <v>2731</v>
      </c>
      <c r="Q1598" s="2">
        <v>45181</v>
      </c>
      <c r="R1598" t="s">
        <v>2732</v>
      </c>
      <c r="S1598" t="s">
        <v>2502</v>
      </c>
      <c r="T1598" s="18">
        <v>49</v>
      </c>
      <c r="U1598" t="s">
        <v>8</v>
      </c>
      <c r="V1598" t="s">
        <v>8</v>
      </c>
    </row>
    <row r="1599" spans="1:22" x14ac:dyDescent="0.25">
      <c r="A1599" t="s">
        <v>2375</v>
      </c>
      <c r="B1599" s="2">
        <v>45181</v>
      </c>
      <c r="C1599" t="s">
        <v>87</v>
      </c>
      <c r="D1599" t="s">
        <v>410</v>
      </c>
      <c r="E1599" t="s">
        <v>411</v>
      </c>
      <c r="F1599" t="s">
        <v>4</v>
      </c>
      <c r="G1599" t="s">
        <v>5</v>
      </c>
      <c r="H1599" s="3">
        <v>916.8</v>
      </c>
      <c r="I1599" t="s">
        <v>2728</v>
      </c>
      <c r="J1599" t="s">
        <v>413</v>
      </c>
      <c r="K1599" t="s">
        <v>2729</v>
      </c>
      <c r="L1599" t="s">
        <v>2730</v>
      </c>
      <c r="M1599" t="s">
        <v>524</v>
      </c>
      <c r="N1599" t="s">
        <v>12</v>
      </c>
      <c r="O1599" s="2">
        <v>45174</v>
      </c>
      <c r="P1599" t="s">
        <v>2731</v>
      </c>
      <c r="Q1599" s="2">
        <v>45181</v>
      </c>
      <c r="R1599" t="s">
        <v>2732</v>
      </c>
      <c r="S1599" t="s">
        <v>2509</v>
      </c>
      <c r="T1599" s="18">
        <v>15</v>
      </c>
      <c r="U1599" t="s">
        <v>8</v>
      </c>
      <c r="V1599" t="s">
        <v>8</v>
      </c>
    </row>
    <row r="1600" spans="1:22" x14ac:dyDescent="0.25">
      <c r="A1600" t="s">
        <v>2375</v>
      </c>
      <c r="B1600" s="2">
        <v>45181</v>
      </c>
      <c r="C1600" t="s">
        <v>87</v>
      </c>
      <c r="D1600" t="s">
        <v>410</v>
      </c>
      <c r="E1600" t="s">
        <v>411</v>
      </c>
      <c r="F1600" t="s">
        <v>4</v>
      </c>
      <c r="G1600" t="s">
        <v>5</v>
      </c>
      <c r="H1600" s="3">
        <v>492.3</v>
      </c>
      <c r="I1600" t="s">
        <v>2728</v>
      </c>
      <c r="J1600" t="s">
        <v>413</v>
      </c>
      <c r="K1600" t="s">
        <v>2729</v>
      </c>
      <c r="L1600" t="s">
        <v>2730</v>
      </c>
      <c r="M1600" t="s">
        <v>524</v>
      </c>
      <c r="N1600" t="s">
        <v>1</v>
      </c>
      <c r="O1600" s="2">
        <v>45174</v>
      </c>
      <c r="P1600" t="s">
        <v>2731</v>
      </c>
      <c r="Q1600" s="2">
        <v>45181</v>
      </c>
      <c r="R1600" t="s">
        <v>2732</v>
      </c>
      <c r="S1600" t="s">
        <v>2510</v>
      </c>
      <c r="T1600" s="18">
        <v>10</v>
      </c>
      <c r="U1600" t="s">
        <v>8</v>
      </c>
      <c r="V1600" t="s">
        <v>8</v>
      </c>
    </row>
    <row r="1601" spans="1:23" x14ac:dyDescent="0.25">
      <c r="A1601" t="s">
        <v>2375</v>
      </c>
      <c r="B1601" s="2">
        <v>45181</v>
      </c>
      <c r="C1601" t="s">
        <v>87</v>
      </c>
      <c r="D1601" t="s">
        <v>410</v>
      </c>
      <c r="E1601" t="s">
        <v>411</v>
      </c>
      <c r="F1601" t="s">
        <v>4</v>
      </c>
      <c r="G1601" t="s">
        <v>5</v>
      </c>
      <c r="H1601" s="3">
        <v>458.38</v>
      </c>
      <c r="I1601" t="s">
        <v>2728</v>
      </c>
      <c r="J1601" t="s">
        <v>413</v>
      </c>
      <c r="K1601" t="s">
        <v>2729</v>
      </c>
      <c r="L1601" t="s">
        <v>2730</v>
      </c>
      <c r="M1601" t="s">
        <v>524</v>
      </c>
      <c r="N1601" t="s">
        <v>77</v>
      </c>
      <c r="O1601" s="2">
        <v>45174</v>
      </c>
      <c r="P1601" t="s">
        <v>2731</v>
      </c>
      <c r="Q1601" s="2">
        <v>45181</v>
      </c>
      <c r="R1601" t="s">
        <v>2732</v>
      </c>
      <c r="S1601" t="s">
        <v>2578</v>
      </c>
      <c r="T1601" s="18">
        <v>1</v>
      </c>
      <c r="U1601" t="s">
        <v>8</v>
      </c>
      <c r="V1601" t="s">
        <v>8</v>
      </c>
    </row>
    <row r="1602" spans="1:23" x14ac:dyDescent="0.25">
      <c r="A1602" t="s">
        <v>2375</v>
      </c>
      <c r="B1602" s="2">
        <v>45209</v>
      </c>
      <c r="C1602" t="s">
        <v>30</v>
      </c>
      <c r="D1602" t="s">
        <v>410</v>
      </c>
      <c r="E1602" t="s">
        <v>411</v>
      </c>
      <c r="F1602" t="s">
        <v>4</v>
      </c>
      <c r="G1602" t="s">
        <v>5</v>
      </c>
      <c r="H1602" s="3">
        <v>11035</v>
      </c>
      <c r="I1602" t="s">
        <v>2752</v>
      </c>
      <c r="J1602" t="s">
        <v>413</v>
      </c>
      <c r="K1602" t="s">
        <v>2753</v>
      </c>
      <c r="L1602" t="s">
        <v>2754</v>
      </c>
      <c r="M1602" t="s">
        <v>524</v>
      </c>
      <c r="N1602" t="s">
        <v>1</v>
      </c>
      <c r="O1602" s="2">
        <v>45204</v>
      </c>
      <c r="P1602" t="s">
        <v>2755</v>
      </c>
      <c r="Q1602" s="2">
        <v>45209</v>
      </c>
      <c r="R1602" t="s">
        <v>2756</v>
      </c>
      <c r="S1602" t="s">
        <v>2496</v>
      </c>
      <c r="T1602" s="17">
        <v>1</v>
      </c>
      <c r="U1602" t="s">
        <v>8</v>
      </c>
      <c r="V1602" t="s">
        <v>8</v>
      </c>
      <c r="W1602" t="s">
        <v>4</v>
      </c>
    </row>
    <row r="1603" spans="1:23" x14ac:dyDescent="0.25">
      <c r="A1603" t="s">
        <v>2375</v>
      </c>
      <c r="B1603" s="2">
        <v>45209</v>
      </c>
      <c r="C1603" t="s">
        <v>30</v>
      </c>
      <c r="D1603" t="s">
        <v>410</v>
      </c>
      <c r="E1603" t="s">
        <v>411</v>
      </c>
      <c r="F1603" t="s">
        <v>4</v>
      </c>
      <c r="G1603" t="s">
        <v>5</v>
      </c>
      <c r="H1603" s="3">
        <v>4583.7</v>
      </c>
      <c r="I1603" t="s">
        <v>2757</v>
      </c>
      <c r="J1603" t="s">
        <v>413</v>
      </c>
      <c r="K1603" t="s">
        <v>2758</v>
      </c>
      <c r="L1603" t="s">
        <v>2759</v>
      </c>
      <c r="M1603" t="s">
        <v>524</v>
      </c>
      <c r="N1603" t="s">
        <v>17</v>
      </c>
      <c r="O1603" s="2">
        <v>45205</v>
      </c>
      <c r="P1603" t="s">
        <v>2760</v>
      </c>
      <c r="Q1603" s="2">
        <v>45209</v>
      </c>
      <c r="R1603" t="s">
        <v>2761</v>
      </c>
      <c r="S1603" t="s">
        <v>2503</v>
      </c>
      <c r="T1603" s="18">
        <v>45</v>
      </c>
      <c r="U1603" t="s">
        <v>8</v>
      </c>
      <c r="V1603" t="s">
        <v>8</v>
      </c>
      <c r="W1603" t="s">
        <v>4</v>
      </c>
    </row>
    <row r="1604" spans="1:23" x14ac:dyDescent="0.25">
      <c r="A1604" t="s">
        <v>2375</v>
      </c>
      <c r="B1604" s="2">
        <v>45209</v>
      </c>
      <c r="C1604" t="s">
        <v>30</v>
      </c>
      <c r="D1604" t="s">
        <v>410</v>
      </c>
      <c r="E1604" t="s">
        <v>411</v>
      </c>
      <c r="F1604" t="s">
        <v>4</v>
      </c>
      <c r="G1604" t="s">
        <v>5</v>
      </c>
      <c r="H1604" s="3">
        <v>3328.93</v>
      </c>
      <c r="I1604" t="s">
        <v>2762</v>
      </c>
      <c r="J1604" t="s">
        <v>413</v>
      </c>
      <c r="K1604" t="s">
        <v>2763</v>
      </c>
      <c r="L1604" t="s">
        <v>2764</v>
      </c>
      <c r="M1604" t="s">
        <v>524</v>
      </c>
      <c r="N1604" t="s">
        <v>12</v>
      </c>
      <c r="O1604" s="2">
        <v>45204</v>
      </c>
      <c r="P1604" t="s">
        <v>2765</v>
      </c>
      <c r="Q1604" s="2">
        <v>45209</v>
      </c>
      <c r="R1604" t="s">
        <v>2766</v>
      </c>
      <c r="S1604" t="s">
        <v>2502</v>
      </c>
      <c r="T1604" s="18">
        <v>53</v>
      </c>
      <c r="U1604" t="s">
        <v>8</v>
      </c>
      <c r="V1604" t="s">
        <v>8</v>
      </c>
      <c r="W1604" t="s">
        <v>4</v>
      </c>
    </row>
    <row r="1605" spans="1:23" x14ac:dyDescent="0.25">
      <c r="A1605" t="s">
        <v>2375</v>
      </c>
      <c r="B1605" s="2">
        <v>45209</v>
      </c>
      <c r="C1605" t="s">
        <v>30</v>
      </c>
      <c r="D1605" t="s">
        <v>410</v>
      </c>
      <c r="E1605" t="s">
        <v>411</v>
      </c>
      <c r="F1605" t="s">
        <v>4</v>
      </c>
      <c r="G1605" t="s">
        <v>5</v>
      </c>
      <c r="H1605" s="3">
        <v>3203.31</v>
      </c>
      <c r="I1605" t="s">
        <v>2757</v>
      </c>
      <c r="J1605" t="s">
        <v>413</v>
      </c>
      <c r="K1605" t="s">
        <v>2758</v>
      </c>
      <c r="L1605" t="s">
        <v>2759</v>
      </c>
      <c r="M1605" t="s">
        <v>524</v>
      </c>
      <c r="N1605" t="s">
        <v>12</v>
      </c>
      <c r="O1605" s="2">
        <v>45205</v>
      </c>
      <c r="P1605" t="s">
        <v>2760</v>
      </c>
      <c r="Q1605" s="2">
        <v>45209</v>
      </c>
      <c r="R1605" t="s">
        <v>2761</v>
      </c>
      <c r="S1605" t="s">
        <v>2502</v>
      </c>
      <c r="T1605" s="18">
        <v>51</v>
      </c>
      <c r="U1605" t="s">
        <v>8</v>
      </c>
      <c r="V1605" t="s">
        <v>8</v>
      </c>
      <c r="W1605" t="s">
        <v>4</v>
      </c>
    </row>
    <row r="1606" spans="1:23" x14ac:dyDescent="0.25">
      <c r="A1606" t="s">
        <v>2375</v>
      </c>
      <c r="B1606" s="2">
        <v>45209</v>
      </c>
      <c r="C1606" t="s">
        <v>30</v>
      </c>
      <c r="D1606" t="s">
        <v>410</v>
      </c>
      <c r="E1606" t="s">
        <v>411</v>
      </c>
      <c r="F1606" t="s">
        <v>4</v>
      </c>
      <c r="G1606" t="s">
        <v>5</v>
      </c>
      <c r="H1606" s="3">
        <v>2826.45</v>
      </c>
      <c r="I1606" t="s">
        <v>2767</v>
      </c>
      <c r="J1606" t="s">
        <v>413</v>
      </c>
      <c r="K1606" t="s">
        <v>2768</v>
      </c>
      <c r="L1606" t="s">
        <v>2769</v>
      </c>
      <c r="M1606" t="s">
        <v>524</v>
      </c>
      <c r="N1606" t="s">
        <v>12</v>
      </c>
      <c r="O1606" s="2">
        <v>45204</v>
      </c>
      <c r="P1606" t="s">
        <v>2770</v>
      </c>
      <c r="Q1606" s="2">
        <v>45209</v>
      </c>
      <c r="R1606" t="s">
        <v>2771</v>
      </c>
      <c r="S1606" t="s">
        <v>2502</v>
      </c>
      <c r="T1606" s="18">
        <v>45</v>
      </c>
      <c r="U1606" t="s">
        <v>8</v>
      </c>
      <c r="V1606" t="s">
        <v>8</v>
      </c>
      <c r="W1606" t="s">
        <v>4</v>
      </c>
    </row>
    <row r="1607" spans="1:23" x14ac:dyDescent="0.25">
      <c r="A1607" t="s">
        <v>2375</v>
      </c>
      <c r="B1607" s="2">
        <v>45209</v>
      </c>
      <c r="C1607" t="s">
        <v>30</v>
      </c>
      <c r="D1607" t="s">
        <v>410</v>
      </c>
      <c r="E1607" t="s">
        <v>411</v>
      </c>
      <c r="F1607" t="s">
        <v>4</v>
      </c>
      <c r="G1607" t="s">
        <v>5</v>
      </c>
      <c r="H1607" s="3">
        <v>2546.5</v>
      </c>
      <c r="I1607" t="s">
        <v>2762</v>
      </c>
      <c r="J1607" t="s">
        <v>413</v>
      </c>
      <c r="K1607" t="s">
        <v>2763</v>
      </c>
      <c r="L1607" t="s">
        <v>2764</v>
      </c>
      <c r="M1607" t="s">
        <v>524</v>
      </c>
      <c r="N1607" t="s">
        <v>17</v>
      </c>
      <c r="O1607" s="2">
        <v>45204</v>
      </c>
      <c r="P1607" t="s">
        <v>2765</v>
      </c>
      <c r="Q1607" s="2">
        <v>45209</v>
      </c>
      <c r="R1607" t="s">
        <v>2766</v>
      </c>
      <c r="S1607" t="s">
        <v>2503</v>
      </c>
      <c r="T1607" s="18">
        <v>25</v>
      </c>
      <c r="U1607" t="s">
        <v>8</v>
      </c>
      <c r="V1607" t="s">
        <v>8</v>
      </c>
      <c r="W1607" t="s">
        <v>4</v>
      </c>
    </row>
    <row r="1608" spans="1:23" x14ac:dyDescent="0.25">
      <c r="A1608" t="s">
        <v>2375</v>
      </c>
      <c r="B1608" s="2">
        <v>45209</v>
      </c>
      <c r="C1608" t="s">
        <v>30</v>
      </c>
      <c r="D1608" t="s">
        <v>410</v>
      </c>
      <c r="E1608" t="s">
        <v>411</v>
      </c>
      <c r="F1608" t="s">
        <v>4</v>
      </c>
      <c r="G1608" t="s">
        <v>5</v>
      </c>
      <c r="H1608" s="3">
        <v>1018.6</v>
      </c>
      <c r="I1608" t="s">
        <v>2767</v>
      </c>
      <c r="J1608" t="s">
        <v>413</v>
      </c>
      <c r="K1608" t="s">
        <v>2768</v>
      </c>
      <c r="L1608" t="s">
        <v>2769</v>
      </c>
      <c r="M1608" t="s">
        <v>524</v>
      </c>
      <c r="N1608" t="s">
        <v>17</v>
      </c>
      <c r="O1608" s="2">
        <v>45204</v>
      </c>
      <c r="P1608" t="s">
        <v>2770</v>
      </c>
      <c r="Q1608" s="2">
        <v>45209</v>
      </c>
      <c r="R1608" t="s">
        <v>2771</v>
      </c>
      <c r="S1608" t="s">
        <v>2503</v>
      </c>
      <c r="T1608" s="18">
        <v>10</v>
      </c>
      <c r="U1608" t="s">
        <v>8</v>
      </c>
      <c r="V1608" t="s">
        <v>8</v>
      </c>
      <c r="W1608" t="s">
        <v>4</v>
      </c>
    </row>
    <row r="1609" spans="1:23" x14ac:dyDescent="0.25">
      <c r="A1609" t="s">
        <v>2375</v>
      </c>
      <c r="B1609" s="2">
        <v>45209</v>
      </c>
      <c r="C1609" t="s">
        <v>30</v>
      </c>
      <c r="D1609" t="s">
        <v>410</v>
      </c>
      <c r="E1609" t="s">
        <v>411</v>
      </c>
      <c r="F1609" t="s">
        <v>4</v>
      </c>
      <c r="G1609" t="s">
        <v>5</v>
      </c>
      <c r="H1609" s="3">
        <v>916.8</v>
      </c>
      <c r="I1609" t="s">
        <v>2767</v>
      </c>
      <c r="J1609" t="s">
        <v>413</v>
      </c>
      <c r="K1609" t="s">
        <v>2768</v>
      </c>
      <c r="L1609" t="s">
        <v>2769</v>
      </c>
      <c r="M1609" t="s">
        <v>524</v>
      </c>
      <c r="N1609" t="s">
        <v>43</v>
      </c>
      <c r="O1609" s="2">
        <v>45204</v>
      </c>
      <c r="P1609" t="s">
        <v>2770</v>
      </c>
      <c r="Q1609" s="2">
        <v>45209</v>
      </c>
      <c r="R1609" t="s">
        <v>2771</v>
      </c>
      <c r="S1609" t="s">
        <v>2509</v>
      </c>
      <c r="T1609" s="18">
        <v>15</v>
      </c>
      <c r="U1609" t="s">
        <v>8</v>
      </c>
      <c r="V1609" t="s">
        <v>8</v>
      </c>
      <c r="W1609" t="s">
        <v>4</v>
      </c>
    </row>
    <row r="1610" spans="1:23" x14ac:dyDescent="0.25">
      <c r="A1610" t="s">
        <v>2375</v>
      </c>
      <c r="B1610" s="2">
        <v>45209</v>
      </c>
      <c r="C1610" t="s">
        <v>30</v>
      </c>
      <c r="D1610" t="s">
        <v>410</v>
      </c>
      <c r="E1610" t="s">
        <v>411</v>
      </c>
      <c r="F1610" t="s">
        <v>4</v>
      </c>
      <c r="G1610" t="s">
        <v>5</v>
      </c>
      <c r="H1610" s="3">
        <v>492.3</v>
      </c>
      <c r="I1610" t="s">
        <v>2757</v>
      </c>
      <c r="J1610" t="s">
        <v>413</v>
      </c>
      <c r="K1610" t="s">
        <v>2758</v>
      </c>
      <c r="L1610" t="s">
        <v>2759</v>
      </c>
      <c r="M1610" t="s">
        <v>524</v>
      </c>
      <c r="N1610" t="s">
        <v>1</v>
      </c>
      <c r="O1610" s="2">
        <v>45205</v>
      </c>
      <c r="P1610" t="s">
        <v>2760</v>
      </c>
      <c r="Q1610" s="2">
        <v>45209</v>
      </c>
      <c r="R1610" t="s">
        <v>2761</v>
      </c>
      <c r="S1610" t="s">
        <v>2510</v>
      </c>
      <c r="T1610" s="18">
        <v>10</v>
      </c>
      <c r="U1610" t="s">
        <v>8</v>
      </c>
      <c r="V1610" t="s">
        <v>8</v>
      </c>
      <c r="W1610" t="s">
        <v>4</v>
      </c>
    </row>
    <row r="1611" spans="1:23" x14ac:dyDescent="0.25">
      <c r="A1611" t="s">
        <v>2375</v>
      </c>
      <c r="B1611" s="2">
        <v>45209</v>
      </c>
      <c r="C1611" t="s">
        <v>30</v>
      </c>
      <c r="D1611" t="s">
        <v>410</v>
      </c>
      <c r="E1611" t="s">
        <v>411</v>
      </c>
      <c r="F1611" t="s">
        <v>4</v>
      </c>
      <c r="G1611" t="s">
        <v>5</v>
      </c>
      <c r="H1611" s="3">
        <v>492.3</v>
      </c>
      <c r="I1611" t="s">
        <v>2767</v>
      </c>
      <c r="J1611" t="s">
        <v>413</v>
      </c>
      <c r="K1611" t="s">
        <v>2768</v>
      </c>
      <c r="L1611" t="s">
        <v>2769</v>
      </c>
      <c r="M1611" t="s">
        <v>524</v>
      </c>
      <c r="N1611" t="s">
        <v>1</v>
      </c>
      <c r="O1611" s="2">
        <v>45204</v>
      </c>
      <c r="P1611" t="s">
        <v>2770</v>
      </c>
      <c r="Q1611" s="2">
        <v>45209</v>
      </c>
      <c r="R1611" t="s">
        <v>2771</v>
      </c>
      <c r="S1611" t="s">
        <v>2510</v>
      </c>
      <c r="T1611" s="18">
        <v>10</v>
      </c>
      <c r="U1611" t="s">
        <v>8</v>
      </c>
      <c r="V1611" t="s">
        <v>8</v>
      </c>
      <c r="W1611" t="s">
        <v>4</v>
      </c>
    </row>
    <row r="1612" spans="1:23" x14ac:dyDescent="0.25">
      <c r="A1612" t="s">
        <v>2375</v>
      </c>
      <c r="B1612" s="2">
        <v>45209</v>
      </c>
      <c r="C1612" t="s">
        <v>30</v>
      </c>
      <c r="D1612" t="s">
        <v>410</v>
      </c>
      <c r="E1612" t="s">
        <v>411</v>
      </c>
      <c r="F1612" t="s">
        <v>4</v>
      </c>
      <c r="G1612" t="s">
        <v>5</v>
      </c>
      <c r="H1612" s="3">
        <v>492.3</v>
      </c>
      <c r="I1612" t="s">
        <v>2762</v>
      </c>
      <c r="J1612" t="s">
        <v>413</v>
      </c>
      <c r="K1612" t="s">
        <v>2763</v>
      </c>
      <c r="L1612" t="s">
        <v>2764</v>
      </c>
      <c r="M1612" t="s">
        <v>524</v>
      </c>
      <c r="N1612" t="s">
        <v>1</v>
      </c>
      <c r="O1612" s="2">
        <v>45204</v>
      </c>
      <c r="P1612" t="s">
        <v>2765</v>
      </c>
      <c r="Q1612" s="2">
        <v>45209</v>
      </c>
      <c r="R1612" t="s">
        <v>2766</v>
      </c>
      <c r="S1612" t="s">
        <v>2510</v>
      </c>
      <c r="T1612" s="18">
        <v>10</v>
      </c>
      <c r="U1612" t="s">
        <v>8</v>
      </c>
      <c r="V1612" t="s">
        <v>8</v>
      </c>
      <c r="W1612" t="s">
        <v>4</v>
      </c>
    </row>
    <row r="1613" spans="1:23" x14ac:dyDescent="0.25">
      <c r="A1613" t="s">
        <v>2375</v>
      </c>
      <c r="B1613" s="2">
        <v>45209</v>
      </c>
      <c r="C1613" t="s">
        <v>30</v>
      </c>
      <c r="D1613" t="s">
        <v>410</v>
      </c>
      <c r="E1613" t="s">
        <v>411</v>
      </c>
      <c r="F1613" t="s">
        <v>4</v>
      </c>
      <c r="G1613" t="s">
        <v>5</v>
      </c>
      <c r="H1613" s="3">
        <v>458.38</v>
      </c>
      <c r="I1613" t="s">
        <v>2757</v>
      </c>
      <c r="J1613" t="s">
        <v>413</v>
      </c>
      <c r="K1613" t="s">
        <v>2758</v>
      </c>
      <c r="L1613" t="s">
        <v>2759</v>
      </c>
      <c r="M1613" t="s">
        <v>524</v>
      </c>
      <c r="N1613" t="s">
        <v>43</v>
      </c>
      <c r="O1613" s="2">
        <v>45205</v>
      </c>
      <c r="P1613" t="s">
        <v>2760</v>
      </c>
      <c r="Q1613" s="2">
        <v>45209</v>
      </c>
      <c r="R1613" t="s">
        <v>2761</v>
      </c>
      <c r="S1613" t="s">
        <v>2578</v>
      </c>
      <c r="T1613" s="18">
        <v>1</v>
      </c>
      <c r="U1613" t="s">
        <v>8</v>
      </c>
      <c r="V1613" t="s">
        <v>8</v>
      </c>
      <c r="W1613" t="s">
        <v>4</v>
      </c>
    </row>
    <row r="1614" spans="1:23" x14ac:dyDescent="0.25">
      <c r="A1614" t="s">
        <v>2375</v>
      </c>
      <c r="B1614" s="2">
        <v>45209</v>
      </c>
      <c r="C1614" t="s">
        <v>30</v>
      </c>
      <c r="D1614" t="s">
        <v>410</v>
      </c>
      <c r="E1614" t="s">
        <v>411</v>
      </c>
      <c r="F1614" t="s">
        <v>4</v>
      </c>
      <c r="G1614" t="s">
        <v>5</v>
      </c>
      <c r="H1614" s="3">
        <v>458.38</v>
      </c>
      <c r="I1614" t="s">
        <v>2767</v>
      </c>
      <c r="J1614" t="s">
        <v>413</v>
      </c>
      <c r="K1614" t="s">
        <v>2768</v>
      </c>
      <c r="L1614" t="s">
        <v>2769</v>
      </c>
      <c r="M1614" t="s">
        <v>524</v>
      </c>
      <c r="N1614" t="s">
        <v>77</v>
      </c>
      <c r="O1614" s="2">
        <v>45204</v>
      </c>
      <c r="P1614" t="s">
        <v>2770</v>
      </c>
      <c r="Q1614" s="2">
        <v>45209</v>
      </c>
      <c r="R1614" t="s">
        <v>2771</v>
      </c>
      <c r="S1614" t="s">
        <v>2578</v>
      </c>
      <c r="T1614" s="18">
        <v>1</v>
      </c>
      <c r="U1614" t="s">
        <v>8</v>
      </c>
      <c r="V1614" t="s">
        <v>8</v>
      </c>
      <c r="W1614" t="s">
        <v>4</v>
      </c>
    </row>
    <row r="1615" spans="1:23" x14ac:dyDescent="0.25">
      <c r="A1615" t="s">
        <v>2375</v>
      </c>
      <c r="B1615" s="2">
        <v>45209</v>
      </c>
      <c r="C1615" t="s">
        <v>30</v>
      </c>
      <c r="D1615" t="s">
        <v>410</v>
      </c>
      <c r="E1615" t="s">
        <v>411</v>
      </c>
      <c r="F1615" t="s">
        <v>4</v>
      </c>
      <c r="G1615" t="s">
        <v>5</v>
      </c>
      <c r="H1615" s="3">
        <v>458.38</v>
      </c>
      <c r="I1615" t="s">
        <v>2762</v>
      </c>
      <c r="J1615" t="s">
        <v>413</v>
      </c>
      <c r="K1615" t="s">
        <v>2763</v>
      </c>
      <c r="L1615" t="s">
        <v>2764</v>
      </c>
      <c r="M1615" t="s">
        <v>524</v>
      </c>
      <c r="N1615" t="s">
        <v>43</v>
      </c>
      <c r="O1615" s="2">
        <v>45204</v>
      </c>
      <c r="P1615" t="s">
        <v>2765</v>
      </c>
      <c r="Q1615" s="2">
        <v>45209</v>
      </c>
      <c r="R1615" t="s">
        <v>2766</v>
      </c>
      <c r="S1615" t="s">
        <v>2578</v>
      </c>
      <c r="T1615" s="18">
        <v>1</v>
      </c>
      <c r="U1615" t="s">
        <v>8</v>
      </c>
      <c r="V1615" t="s">
        <v>8</v>
      </c>
      <c r="W1615" t="s">
        <v>4</v>
      </c>
    </row>
    <row r="1616" spans="1:23" x14ac:dyDescent="0.25">
      <c r="A1616" t="s">
        <v>2375</v>
      </c>
      <c r="B1616" s="2">
        <v>45217</v>
      </c>
      <c r="C1616" t="s">
        <v>30</v>
      </c>
      <c r="D1616" t="s">
        <v>410</v>
      </c>
      <c r="E1616" t="s">
        <v>411</v>
      </c>
      <c r="F1616" t="s">
        <v>4</v>
      </c>
      <c r="G1616" t="s">
        <v>5</v>
      </c>
      <c r="H1616" s="3">
        <v>6756.8</v>
      </c>
      <c r="I1616" t="s">
        <v>2772</v>
      </c>
      <c r="J1616" t="s">
        <v>413</v>
      </c>
      <c r="K1616" t="s">
        <v>2773</v>
      </c>
      <c r="L1616" t="s">
        <v>2774</v>
      </c>
      <c r="M1616" t="s">
        <v>29</v>
      </c>
      <c r="N1616" t="s">
        <v>12</v>
      </c>
      <c r="O1616" s="2">
        <v>45210</v>
      </c>
      <c r="P1616" t="s">
        <v>2775</v>
      </c>
      <c r="Q1616" s="2">
        <v>45217</v>
      </c>
      <c r="R1616" t="s">
        <v>2776</v>
      </c>
      <c r="S1616" t="s">
        <v>2777</v>
      </c>
      <c r="T1616" s="18">
        <v>20</v>
      </c>
      <c r="U1616" t="s">
        <v>8</v>
      </c>
      <c r="V1616" t="s">
        <v>8</v>
      </c>
      <c r="W1616" t="s">
        <v>4</v>
      </c>
    </row>
    <row r="1617" spans="1:23" x14ac:dyDescent="0.25">
      <c r="A1617" t="s">
        <v>2375</v>
      </c>
      <c r="B1617" s="2">
        <v>45217</v>
      </c>
      <c r="C1617" t="s">
        <v>30</v>
      </c>
      <c r="D1617" t="s">
        <v>410</v>
      </c>
      <c r="E1617" t="s">
        <v>411</v>
      </c>
      <c r="F1617" t="s">
        <v>4</v>
      </c>
      <c r="G1617" t="s">
        <v>5</v>
      </c>
      <c r="H1617" s="3">
        <v>407.4</v>
      </c>
      <c r="I1617" t="s">
        <v>2772</v>
      </c>
      <c r="J1617" t="s">
        <v>413</v>
      </c>
      <c r="K1617" t="s">
        <v>2773</v>
      </c>
      <c r="L1617" t="s">
        <v>2774</v>
      </c>
      <c r="M1617" t="s">
        <v>29</v>
      </c>
      <c r="N1617" t="s">
        <v>1</v>
      </c>
      <c r="O1617" s="2">
        <v>45210</v>
      </c>
      <c r="P1617" t="s">
        <v>2775</v>
      </c>
      <c r="Q1617" s="2">
        <v>45217</v>
      </c>
      <c r="R1617" t="s">
        <v>2776</v>
      </c>
      <c r="S1617" t="s">
        <v>2778</v>
      </c>
      <c r="T1617" s="18">
        <v>20</v>
      </c>
      <c r="U1617" t="s">
        <v>8</v>
      </c>
      <c r="V1617" t="s">
        <v>8</v>
      </c>
      <c r="W1617" t="s">
        <v>4</v>
      </c>
    </row>
    <row r="1618" spans="1:23" x14ac:dyDescent="0.25">
      <c r="A1618" t="s">
        <v>2375</v>
      </c>
      <c r="B1618" s="2">
        <v>45243</v>
      </c>
      <c r="C1618" t="s">
        <v>289</v>
      </c>
      <c r="D1618" t="s">
        <v>410</v>
      </c>
      <c r="E1618" t="s">
        <v>411</v>
      </c>
      <c r="F1618" t="s">
        <v>4</v>
      </c>
      <c r="G1618" t="s">
        <v>5</v>
      </c>
      <c r="H1618" s="3">
        <v>11035</v>
      </c>
      <c r="I1618" t="s">
        <v>2806</v>
      </c>
      <c r="J1618" t="s">
        <v>413</v>
      </c>
      <c r="K1618" t="s">
        <v>2807</v>
      </c>
      <c r="L1618" t="s">
        <v>2808</v>
      </c>
      <c r="M1618" t="s">
        <v>524</v>
      </c>
      <c r="N1618" t="s">
        <v>1</v>
      </c>
      <c r="O1618" s="2">
        <v>45236</v>
      </c>
      <c r="P1618" t="s">
        <v>2809</v>
      </c>
      <c r="Q1618" s="2">
        <v>45243</v>
      </c>
      <c r="R1618" t="s">
        <v>2810</v>
      </c>
      <c r="S1618" t="s">
        <v>2496</v>
      </c>
      <c r="T1618" s="17">
        <v>1</v>
      </c>
      <c r="U1618" t="s">
        <v>8</v>
      </c>
      <c r="V1618" t="s">
        <v>8</v>
      </c>
      <c r="W1618" t="s">
        <v>4</v>
      </c>
    </row>
    <row r="1619" spans="1:23" x14ac:dyDescent="0.25">
      <c r="A1619" t="s">
        <v>2375</v>
      </c>
      <c r="B1619" s="2">
        <v>45246</v>
      </c>
      <c r="C1619" t="s">
        <v>289</v>
      </c>
      <c r="D1619" t="s">
        <v>410</v>
      </c>
      <c r="E1619" t="s">
        <v>411</v>
      </c>
      <c r="F1619" t="s">
        <v>4</v>
      </c>
      <c r="G1619" t="s">
        <v>5</v>
      </c>
      <c r="H1619" s="3">
        <v>3140.5</v>
      </c>
      <c r="I1619" t="s">
        <v>2811</v>
      </c>
      <c r="J1619" t="s">
        <v>413</v>
      </c>
      <c r="K1619" t="s">
        <v>2812</v>
      </c>
      <c r="L1619" t="s">
        <v>2813</v>
      </c>
      <c r="M1619" t="s">
        <v>21</v>
      </c>
      <c r="N1619" t="s">
        <v>1</v>
      </c>
      <c r="O1619" s="2">
        <v>45239</v>
      </c>
      <c r="P1619" t="s">
        <v>2814</v>
      </c>
      <c r="Q1619" s="2">
        <v>45246</v>
      </c>
      <c r="R1619" t="s">
        <v>2815</v>
      </c>
      <c r="S1619" t="s">
        <v>2502</v>
      </c>
      <c r="T1619" s="18">
        <v>50</v>
      </c>
      <c r="U1619" t="s">
        <v>8</v>
      </c>
      <c r="V1619" t="s">
        <v>8</v>
      </c>
      <c r="W1619" t="s">
        <v>4</v>
      </c>
    </row>
    <row r="1620" spans="1:23" x14ac:dyDescent="0.25">
      <c r="A1620" t="s">
        <v>2375</v>
      </c>
      <c r="B1620" s="2">
        <v>45246</v>
      </c>
      <c r="C1620" t="s">
        <v>289</v>
      </c>
      <c r="D1620" t="s">
        <v>410</v>
      </c>
      <c r="E1620" t="s">
        <v>411</v>
      </c>
      <c r="F1620" t="s">
        <v>4</v>
      </c>
      <c r="G1620" t="s">
        <v>5</v>
      </c>
      <c r="H1620" s="3">
        <v>2037.2</v>
      </c>
      <c r="I1620" t="s">
        <v>2811</v>
      </c>
      <c r="J1620" t="s">
        <v>413</v>
      </c>
      <c r="K1620" t="s">
        <v>2812</v>
      </c>
      <c r="L1620" t="s">
        <v>2813</v>
      </c>
      <c r="M1620" t="s">
        <v>21</v>
      </c>
      <c r="N1620" t="s">
        <v>12</v>
      </c>
      <c r="O1620" s="2">
        <v>45239</v>
      </c>
      <c r="P1620" t="s">
        <v>2814</v>
      </c>
      <c r="Q1620" s="2">
        <v>45246</v>
      </c>
      <c r="R1620" t="s">
        <v>2815</v>
      </c>
      <c r="S1620" t="s">
        <v>2503</v>
      </c>
      <c r="T1620" s="18">
        <v>20</v>
      </c>
      <c r="U1620" t="s">
        <v>8</v>
      </c>
      <c r="V1620" t="s">
        <v>8</v>
      </c>
      <c r="W1620" t="s">
        <v>4</v>
      </c>
    </row>
    <row r="1621" spans="1:23" x14ac:dyDescent="0.25">
      <c r="A1621" t="s">
        <v>2375</v>
      </c>
      <c r="B1621" s="2">
        <v>45247</v>
      </c>
      <c r="C1621" t="s">
        <v>289</v>
      </c>
      <c r="D1621" t="s">
        <v>410</v>
      </c>
      <c r="E1621" t="s">
        <v>411</v>
      </c>
      <c r="F1621" t="s">
        <v>4</v>
      </c>
      <c r="G1621" t="s">
        <v>5</v>
      </c>
      <c r="H1621" s="3">
        <v>8702.25</v>
      </c>
      <c r="I1621" t="s">
        <v>2816</v>
      </c>
      <c r="J1621" t="s">
        <v>413</v>
      </c>
      <c r="K1621" t="s">
        <v>2817</v>
      </c>
      <c r="L1621" t="s">
        <v>2818</v>
      </c>
      <c r="M1621" t="s">
        <v>524</v>
      </c>
      <c r="N1621" t="s">
        <v>1</v>
      </c>
      <c r="O1621" s="2">
        <v>45239</v>
      </c>
      <c r="P1621" t="s">
        <v>2819</v>
      </c>
      <c r="Q1621" s="2">
        <v>45247</v>
      </c>
      <c r="R1621" t="s">
        <v>2820</v>
      </c>
      <c r="S1621" t="s">
        <v>2576</v>
      </c>
      <c r="T1621" s="18">
        <v>205</v>
      </c>
      <c r="U1621" t="s">
        <v>8</v>
      </c>
      <c r="V1621" t="s">
        <v>8</v>
      </c>
      <c r="W1621" t="s">
        <v>4</v>
      </c>
    </row>
    <row r="1622" spans="1:23" x14ac:dyDescent="0.25">
      <c r="A1622" t="s">
        <v>2375</v>
      </c>
      <c r="B1622" s="2">
        <v>45271</v>
      </c>
      <c r="C1622" t="s">
        <v>246</v>
      </c>
      <c r="D1622" t="s">
        <v>410</v>
      </c>
      <c r="E1622" t="s">
        <v>411</v>
      </c>
      <c r="F1622" t="s">
        <v>4</v>
      </c>
      <c r="G1622" t="s">
        <v>5</v>
      </c>
      <c r="H1622" s="3">
        <v>11035</v>
      </c>
      <c r="I1622" t="s">
        <v>2840</v>
      </c>
      <c r="J1622" t="s">
        <v>413</v>
      </c>
      <c r="K1622" t="s">
        <v>2841</v>
      </c>
      <c r="L1622" t="s">
        <v>2842</v>
      </c>
      <c r="M1622" t="s">
        <v>524</v>
      </c>
      <c r="N1622" t="s">
        <v>1</v>
      </c>
      <c r="O1622" s="2">
        <v>45264</v>
      </c>
      <c r="P1622" t="s">
        <v>2843</v>
      </c>
      <c r="Q1622" s="2">
        <v>45271</v>
      </c>
      <c r="R1622" t="s">
        <v>2844</v>
      </c>
      <c r="S1622" t="s">
        <v>2496</v>
      </c>
      <c r="T1622" s="18">
        <v>1</v>
      </c>
      <c r="U1622" t="s">
        <v>8</v>
      </c>
      <c r="V1622" t="s">
        <v>8</v>
      </c>
      <c r="W1622" t="s">
        <v>4</v>
      </c>
    </row>
    <row r="1623" spans="1:23" x14ac:dyDescent="0.25">
      <c r="A1623" t="s">
        <v>2880</v>
      </c>
      <c r="B1623" s="2">
        <v>45303</v>
      </c>
      <c r="C1623" t="s">
        <v>1</v>
      </c>
      <c r="D1623" t="s">
        <v>410</v>
      </c>
      <c r="E1623" t="s">
        <v>411</v>
      </c>
      <c r="F1623" t="s">
        <v>4</v>
      </c>
      <c r="G1623" t="s">
        <v>5</v>
      </c>
      <c r="H1623" s="3">
        <v>11035</v>
      </c>
      <c r="I1623" t="s">
        <v>2915</v>
      </c>
      <c r="J1623" t="s">
        <v>413</v>
      </c>
      <c r="K1623" t="s">
        <v>2916</v>
      </c>
      <c r="L1623" t="s">
        <v>2917</v>
      </c>
      <c r="M1623" t="s">
        <v>524</v>
      </c>
      <c r="N1623" t="s">
        <v>1</v>
      </c>
      <c r="O1623" s="2">
        <v>45301</v>
      </c>
      <c r="P1623" t="s">
        <v>2918</v>
      </c>
      <c r="Q1623" s="2">
        <v>45303</v>
      </c>
      <c r="R1623" t="s">
        <v>2919</v>
      </c>
      <c r="S1623" t="s">
        <v>2496</v>
      </c>
      <c r="T1623" s="17">
        <v>1</v>
      </c>
      <c r="U1623" t="s">
        <v>8</v>
      </c>
      <c r="V1623" t="s">
        <v>8</v>
      </c>
      <c r="W1623" t="s">
        <v>4</v>
      </c>
    </row>
    <row r="1624" spans="1:23" x14ac:dyDescent="0.25">
      <c r="A1624" t="s">
        <v>2880</v>
      </c>
      <c r="B1624" s="2">
        <v>45294</v>
      </c>
      <c r="C1624" t="s">
        <v>1</v>
      </c>
      <c r="D1624" t="s">
        <v>410</v>
      </c>
      <c r="E1624" t="s">
        <v>411</v>
      </c>
      <c r="F1624" t="s">
        <v>4</v>
      </c>
      <c r="G1624" t="s">
        <v>5</v>
      </c>
      <c r="H1624" s="3">
        <v>3203.31</v>
      </c>
      <c r="I1624" t="s">
        <v>2920</v>
      </c>
      <c r="J1624" t="s">
        <v>413</v>
      </c>
      <c r="K1624" t="s">
        <v>2921</v>
      </c>
      <c r="L1624" t="s">
        <v>2922</v>
      </c>
      <c r="M1624" t="s">
        <v>524</v>
      </c>
      <c r="N1624" t="s">
        <v>12</v>
      </c>
      <c r="O1624" s="2">
        <v>45279</v>
      </c>
      <c r="P1624" t="s">
        <v>2923</v>
      </c>
      <c r="Q1624" s="2">
        <v>45294</v>
      </c>
      <c r="R1624" t="s">
        <v>2924</v>
      </c>
      <c r="S1624" t="s">
        <v>2502</v>
      </c>
      <c r="T1624" s="18">
        <v>51</v>
      </c>
      <c r="U1624" t="s">
        <v>8</v>
      </c>
      <c r="V1624" t="s">
        <v>8</v>
      </c>
      <c r="W1624" t="s">
        <v>4</v>
      </c>
    </row>
    <row r="1625" spans="1:23" x14ac:dyDescent="0.25">
      <c r="A1625" t="s">
        <v>2880</v>
      </c>
      <c r="B1625" s="2">
        <v>45294</v>
      </c>
      <c r="C1625" t="s">
        <v>1</v>
      </c>
      <c r="D1625" t="s">
        <v>410</v>
      </c>
      <c r="E1625" t="s">
        <v>411</v>
      </c>
      <c r="F1625" t="s">
        <v>4</v>
      </c>
      <c r="G1625" t="s">
        <v>5</v>
      </c>
      <c r="H1625" s="3">
        <v>2037.2</v>
      </c>
      <c r="I1625" t="s">
        <v>2920</v>
      </c>
      <c r="J1625" t="s">
        <v>413</v>
      </c>
      <c r="K1625" t="s">
        <v>2921</v>
      </c>
      <c r="L1625" t="s">
        <v>2922</v>
      </c>
      <c r="M1625" t="s">
        <v>524</v>
      </c>
      <c r="N1625" t="s">
        <v>43</v>
      </c>
      <c r="O1625" s="2">
        <v>45279</v>
      </c>
      <c r="P1625" t="s">
        <v>2923</v>
      </c>
      <c r="Q1625" s="2">
        <v>45294</v>
      </c>
      <c r="R1625" t="s">
        <v>2924</v>
      </c>
      <c r="S1625" t="s">
        <v>2503</v>
      </c>
      <c r="T1625" s="18">
        <v>20</v>
      </c>
      <c r="U1625" t="s">
        <v>8</v>
      </c>
      <c r="V1625" t="s">
        <v>8</v>
      </c>
      <c r="W1625" t="s">
        <v>4</v>
      </c>
    </row>
    <row r="1626" spans="1:23" x14ac:dyDescent="0.25">
      <c r="A1626" t="s">
        <v>2880</v>
      </c>
      <c r="B1626" s="2">
        <v>45294</v>
      </c>
      <c r="C1626" t="s">
        <v>1</v>
      </c>
      <c r="D1626" t="s">
        <v>410</v>
      </c>
      <c r="E1626" t="s">
        <v>411</v>
      </c>
      <c r="F1626" t="s">
        <v>4</v>
      </c>
      <c r="G1626" t="s">
        <v>5</v>
      </c>
      <c r="H1626" s="3">
        <v>594.29999999999995</v>
      </c>
      <c r="I1626" t="s">
        <v>2925</v>
      </c>
      <c r="J1626" t="s">
        <v>413</v>
      </c>
      <c r="K1626" t="s">
        <v>2926</v>
      </c>
      <c r="L1626" t="s">
        <v>2927</v>
      </c>
      <c r="M1626" t="s">
        <v>524</v>
      </c>
      <c r="N1626" t="s">
        <v>1</v>
      </c>
      <c r="O1626" s="2">
        <v>45278</v>
      </c>
      <c r="P1626" t="s">
        <v>2928</v>
      </c>
      <c r="Q1626" s="2">
        <v>45294</v>
      </c>
      <c r="R1626" t="s">
        <v>2929</v>
      </c>
      <c r="S1626" t="s">
        <v>2576</v>
      </c>
      <c r="T1626" s="18">
        <v>14</v>
      </c>
      <c r="U1626" t="s">
        <v>8</v>
      </c>
      <c r="V1626" t="s">
        <v>8</v>
      </c>
      <c r="W1626" t="s">
        <v>4</v>
      </c>
    </row>
    <row r="1627" spans="1:23" x14ac:dyDescent="0.25">
      <c r="A1627" t="s">
        <v>2880</v>
      </c>
      <c r="B1627" s="2">
        <v>45294</v>
      </c>
      <c r="C1627" t="s">
        <v>1</v>
      </c>
      <c r="D1627" t="s">
        <v>410</v>
      </c>
      <c r="E1627" t="s">
        <v>411</v>
      </c>
      <c r="F1627" t="s">
        <v>4</v>
      </c>
      <c r="G1627" t="s">
        <v>5</v>
      </c>
      <c r="H1627" s="3">
        <v>537</v>
      </c>
      <c r="I1627" t="s">
        <v>2920</v>
      </c>
      <c r="J1627" t="s">
        <v>413</v>
      </c>
      <c r="K1627" t="s">
        <v>2921</v>
      </c>
      <c r="L1627" t="s">
        <v>2922</v>
      </c>
      <c r="M1627" t="s">
        <v>524</v>
      </c>
      <c r="N1627" t="s">
        <v>22</v>
      </c>
      <c r="O1627" s="2">
        <v>45279</v>
      </c>
      <c r="P1627" t="s">
        <v>2923</v>
      </c>
      <c r="Q1627" s="2">
        <v>45294</v>
      </c>
      <c r="R1627" t="s">
        <v>2924</v>
      </c>
      <c r="S1627" t="s">
        <v>2930</v>
      </c>
      <c r="T1627" s="18">
        <v>3</v>
      </c>
      <c r="U1627" t="s">
        <v>8</v>
      </c>
      <c r="V1627" t="s">
        <v>8</v>
      </c>
      <c r="W1627" t="s">
        <v>4</v>
      </c>
    </row>
    <row r="1628" spans="1:23" x14ac:dyDescent="0.25">
      <c r="A1628" t="s">
        <v>2880</v>
      </c>
      <c r="B1628" s="2">
        <v>45294</v>
      </c>
      <c r="C1628" t="s">
        <v>1</v>
      </c>
      <c r="D1628" t="s">
        <v>410</v>
      </c>
      <c r="E1628" t="s">
        <v>411</v>
      </c>
      <c r="F1628" t="s">
        <v>4</v>
      </c>
      <c r="G1628" t="s">
        <v>5</v>
      </c>
      <c r="H1628" s="3">
        <v>458.38</v>
      </c>
      <c r="I1628" t="s">
        <v>2920</v>
      </c>
      <c r="J1628" t="s">
        <v>413</v>
      </c>
      <c r="K1628" t="s">
        <v>2921</v>
      </c>
      <c r="L1628" t="s">
        <v>2922</v>
      </c>
      <c r="M1628" t="s">
        <v>524</v>
      </c>
      <c r="N1628" t="s">
        <v>77</v>
      </c>
      <c r="O1628" s="2">
        <v>45279</v>
      </c>
      <c r="P1628" t="s">
        <v>2923</v>
      </c>
      <c r="Q1628" s="2">
        <v>45294</v>
      </c>
      <c r="R1628" t="s">
        <v>2924</v>
      </c>
      <c r="S1628" t="s">
        <v>2578</v>
      </c>
      <c r="T1628" s="18">
        <v>1</v>
      </c>
      <c r="U1628" t="s">
        <v>8</v>
      </c>
      <c r="V1628" t="s">
        <v>8</v>
      </c>
      <c r="W1628" t="s">
        <v>4</v>
      </c>
    </row>
    <row r="1629" spans="1:23" x14ac:dyDescent="0.25">
      <c r="A1629" t="s">
        <v>2880</v>
      </c>
      <c r="B1629" s="2">
        <v>45294</v>
      </c>
      <c r="C1629" t="s">
        <v>1</v>
      </c>
      <c r="D1629" t="s">
        <v>410</v>
      </c>
      <c r="E1629" t="s">
        <v>411</v>
      </c>
      <c r="F1629" t="s">
        <v>4</v>
      </c>
      <c r="G1629" t="s">
        <v>5</v>
      </c>
      <c r="H1629" s="3">
        <v>305.60000000000002</v>
      </c>
      <c r="I1629" t="s">
        <v>2920</v>
      </c>
      <c r="J1629" t="s">
        <v>413</v>
      </c>
      <c r="K1629" t="s">
        <v>2921</v>
      </c>
      <c r="L1629" t="s">
        <v>2922</v>
      </c>
      <c r="M1629" t="s">
        <v>524</v>
      </c>
      <c r="N1629" t="s">
        <v>17</v>
      </c>
      <c r="O1629" s="2">
        <v>45279</v>
      </c>
      <c r="P1629" t="s">
        <v>2923</v>
      </c>
      <c r="Q1629" s="2">
        <v>45294</v>
      </c>
      <c r="R1629" t="s">
        <v>2924</v>
      </c>
      <c r="S1629" t="s">
        <v>2509</v>
      </c>
      <c r="T1629" s="18">
        <v>5</v>
      </c>
      <c r="U1629" t="s">
        <v>8</v>
      </c>
      <c r="V1629" t="s">
        <v>8</v>
      </c>
      <c r="W1629" t="s">
        <v>4</v>
      </c>
    </row>
    <row r="1630" spans="1:23" x14ac:dyDescent="0.25">
      <c r="A1630" t="s">
        <v>2880</v>
      </c>
      <c r="B1630" s="2">
        <v>45294</v>
      </c>
      <c r="C1630" t="s">
        <v>1</v>
      </c>
      <c r="D1630" t="s">
        <v>410</v>
      </c>
      <c r="E1630" t="s">
        <v>411</v>
      </c>
      <c r="F1630" t="s">
        <v>4</v>
      </c>
      <c r="G1630" t="s">
        <v>5</v>
      </c>
      <c r="H1630" s="3">
        <v>147.69</v>
      </c>
      <c r="I1630" t="s">
        <v>2920</v>
      </c>
      <c r="J1630" t="s">
        <v>413</v>
      </c>
      <c r="K1630" t="s">
        <v>2921</v>
      </c>
      <c r="L1630" t="s">
        <v>2922</v>
      </c>
      <c r="M1630" t="s">
        <v>524</v>
      </c>
      <c r="N1630" t="s">
        <v>1</v>
      </c>
      <c r="O1630" s="2">
        <v>45279</v>
      </c>
      <c r="P1630" t="s">
        <v>2923</v>
      </c>
      <c r="Q1630" s="2">
        <v>45294</v>
      </c>
      <c r="R1630" t="s">
        <v>2924</v>
      </c>
      <c r="S1630" t="s">
        <v>2510</v>
      </c>
      <c r="T1630" s="18">
        <v>3</v>
      </c>
      <c r="U1630" t="s">
        <v>8</v>
      </c>
      <c r="V1630" t="s">
        <v>8</v>
      </c>
      <c r="W1630" t="s">
        <v>4</v>
      </c>
    </row>
    <row r="1631" spans="1:23" x14ac:dyDescent="0.25">
      <c r="A1631" t="s">
        <v>2880</v>
      </c>
      <c r="B1631" s="2">
        <v>45327</v>
      </c>
      <c r="C1631" t="s">
        <v>12</v>
      </c>
      <c r="D1631" t="s">
        <v>410</v>
      </c>
      <c r="E1631" t="s">
        <v>411</v>
      </c>
      <c r="F1631" t="s">
        <v>4</v>
      </c>
      <c r="G1631" t="s">
        <v>5</v>
      </c>
      <c r="H1631" s="3">
        <v>11035</v>
      </c>
      <c r="I1631" t="s">
        <v>2931</v>
      </c>
      <c r="J1631" t="s">
        <v>413</v>
      </c>
      <c r="K1631" t="s">
        <v>2932</v>
      </c>
      <c r="L1631" t="s">
        <v>2933</v>
      </c>
      <c r="M1631" t="s">
        <v>524</v>
      </c>
      <c r="N1631" t="s">
        <v>1</v>
      </c>
      <c r="O1631" s="2">
        <v>45323</v>
      </c>
      <c r="P1631" t="s">
        <v>2934</v>
      </c>
      <c r="Q1631" s="2">
        <v>45327</v>
      </c>
      <c r="R1631" t="s">
        <v>2935</v>
      </c>
      <c r="S1631" t="s">
        <v>2496</v>
      </c>
      <c r="T1631" s="17">
        <v>1</v>
      </c>
      <c r="U1631" t="s">
        <v>8</v>
      </c>
      <c r="V1631" t="s">
        <v>8</v>
      </c>
      <c r="W1631" t="s">
        <v>4</v>
      </c>
    </row>
    <row r="1632" spans="1:23" x14ac:dyDescent="0.25">
      <c r="A1632" t="s">
        <v>2880</v>
      </c>
      <c r="B1632" s="2">
        <v>45356</v>
      </c>
      <c r="C1632" t="s">
        <v>17</v>
      </c>
      <c r="D1632" t="s">
        <v>410</v>
      </c>
      <c r="E1632" t="s">
        <v>411</v>
      </c>
      <c r="F1632" t="s">
        <v>4</v>
      </c>
      <c r="G1632" t="s">
        <v>5</v>
      </c>
      <c r="H1632" s="3">
        <v>11035</v>
      </c>
      <c r="I1632" t="s">
        <v>2983</v>
      </c>
      <c r="J1632" t="s">
        <v>413</v>
      </c>
      <c r="K1632" t="s">
        <v>2984</v>
      </c>
      <c r="L1632" t="s">
        <v>2985</v>
      </c>
      <c r="M1632" t="s">
        <v>2493</v>
      </c>
      <c r="N1632" t="s">
        <v>1</v>
      </c>
      <c r="O1632" s="2">
        <v>45355</v>
      </c>
      <c r="P1632" t="s">
        <v>2986</v>
      </c>
      <c r="Q1632" s="2">
        <v>45356</v>
      </c>
      <c r="R1632" t="s">
        <v>2987</v>
      </c>
      <c r="S1632" t="s">
        <v>2496</v>
      </c>
      <c r="T1632" s="17">
        <v>1</v>
      </c>
      <c r="U1632" t="s">
        <v>8</v>
      </c>
      <c r="V1632" t="s">
        <v>8</v>
      </c>
      <c r="W1632" t="s">
        <v>4</v>
      </c>
    </row>
    <row r="1633" spans="1:23" x14ac:dyDescent="0.25">
      <c r="A1633" t="s">
        <v>2880</v>
      </c>
      <c r="B1633" s="2">
        <v>45372</v>
      </c>
      <c r="C1633" t="s">
        <v>17</v>
      </c>
      <c r="D1633" t="s">
        <v>410</v>
      </c>
      <c r="E1633" t="s">
        <v>411</v>
      </c>
      <c r="F1633" t="s">
        <v>4</v>
      </c>
      <c r="G1633" t="s">
        <v>5</v>
      </c>
      <c r="H1633" s="3">
        <v>4500</v>
      </c>
      <c r="I1633" t="s">
        <v>2988</v>
      </c>
      <c r="J1633" t="s">
        <v>413</v>
      </c>
      <c r="K1633" t="s">
        <v>2989</v>
      </c>
      <c r="L1633" t="s">
        <v>2990</v>
      </c>
      <c r="M1633" t="s">
        <v>2493</v>
      </c>
      <c r="N1633" t="s">
        <v>1</v>
      </c>
      <c r="O1633" s="2">
        <v>45369</v>
      </c>
      <c r="P1633" t="s">
        <v>2991</v>
      </c>
      <c r="Q1633" s="2">
        <v>45372</v>
      </c>
      <c r="R1633" t="s">
        <v>2992</v>
      </c>
      <c r="S1633" t="s">
        <v>2993</v>
      </c>
      <c r="T1633" s="18">
        <v>1</v>
      </c>
      <c r="U1633" t="s">
        <v>8</v>
      </c>
      <c r="V1633" t="s">
        <v>8</v>
      </c>
      <c r="W1633" t="s">
        <v>4</v>
      </c>
    </row>
    <row r="1634" spans="1:23" x14ac:dyDescent="0.25">
      <c r="A1634" t="s">
        <v>2880</v>
      </c>
      <c r="B1634" s="2">
        <v>45372</v>
      </c>
      <c r="C1634" t="s">
        <v>17</v>
      </c>
      <c r="D1634" t="s">
        <v>410</v>
      </c>
      <c r="E1634" t="s">
        <v>411</v>
      </c>
      <c r="F1634" t="s">
        <v>4</v>
      </c>
      <c r="G1634" t="s">
        <v>5</v>
      </c>
      <c r="H1634" s="3">
        <v>3600</v>
      </c>
      <c r="I1634" t="s">
        <v>2988</v>
      </c>
      <c r="J1634" t="s">
        <v>413</v>
      </c>
      <c r="K1634" t="s">
        <v>2989</v>
      </c>
      <c r="L1634" t="s">
        <v>2990</v>
      </c>
      <c r="M1634" t="s">
        <v>2493</v>
      </c>
      <c r="N1634" t="s">
        <v>12</v>
      </c>
      <c r="O1634" s="2">
        <v>45369</v>
      </c>
      <c r="P1634" t="s">
        <v>2991</v>
      </c>
      <c r="Q1634" s="2">
        <v>45372</v>
      </c>
      <c r="R1634" t="s">
        <v>2992</v>
      </c>
      <c r="S1634" t="s">
        <v>2994</v>
      </c>
      <c r="T1634" s="18">
        <v>2</v>
      </c>
      <c r="U1634" t="s">
        <v>8</v>
      </c>
      <c r="V1634" t="s">
        <v>8</v>
      </c>
      <c r="W1634" t="s">
        <v>4</v>
      </c>
    </row>
    <row r="1635" spans="1:23" x14ac:dyDescent="0.25">
      <c r="A1635" t="s">
        <v>2880</v>
      </c>
      <c r="B1635" s="2">
        <v>45362</v>
      </c>
      <c r="C1635" t="s">
        <v>17</v>
      </c>
      <c r="D1635" t="s">
        <v>410</v>
      </c>
      <c r="E1635" t="s">
        <v>411</v>
      </c>
      <c r="F1635" t="s">
        <v>4</v>
      </c>
      <c r="G1635" t="s">
        <v>5</v>
      </c>
      <c r="H1635" s="3">
        <v>3055.8</v>
      </c>
      <c r="I1635" t="s">
        <v>2995</v>
      </c>
      <c r="J1635" t="s">
        <v>413</v>
      </c>
      <c r="K1635" t="s">
        <v>2996</v>
      </c>
      <c r="L1635" t="s">
        <v>2997</v>
      </c>
      <c r="M1635" t="s">
        <v>21</v>
      </c>
      <c r="N1635" t="s">
        <v>43</v>
      </c>
      <c r="O1635" s="2">
        <v>45352</v>
      </c>
      <c r="P1635" t="s">
        <v>2998</v>
      </c>
      <c r="Q1635" s="2">
        <v>45362</v>
      </c>
      <c r="R1635" t="s">
        <v>2999</v>
      </c>
      <c r="S1635" t="s">
        <v>2503</v>
      </c>
      <c r="T1635" s="18">
        <v>30</v>
      </c>
      <c r="U1635" t="s">
        <v>8</v>
      </c>
      <c r="V1635" t="s">
        <v>8</v>
      </c>
      <c r="W1635" t="s">
        <v>4</v>
      </c>
    </row>
    <row r="1636" spans="1:23" x14ac:dyDescent="0.25">
      <c r="A1636" t="s">
        <v>2880</v>
      </c>
      <c r="B1636" s="2">
        <v>45362</v>
      </c>
      <c r="C1636" t="s">
        <v>17</v>
      </c>
      <c r="D1636" t="s">
        <v>410</v>
      </c>
      <c r="E1636" t="s">
        <v>411</v>
      </c>
      <c r="F1636" t="s">
        <v>4</v>
      </c>
      <c r="G1636" t="s">
        <v>5</v>
      </c>
      <c r="H1636" s="3">
        <v>2826.45</v>
      </c>
      <c r="I1636" t="s">
        <v>2995</v>
      </c>
      <c r="J1636" t="s">
        <v>413</v>
      </c>
      <c r="K1636" t="s">
        <v>2996</v>
      </c>
      <c r="L1636" t="s">
        <v>2997</v>
      </c>
      <c r="M1636" t="s">
        <v>21</v>
      </c>
      <c r="N1636" t="s">
        <v>12</v>
      </c>
      <c r="O1636" s="2">
        <v>45352</v>
      </c>
      <c r="P1636" t="s">
        <v>2998</v>
      </c>
      <c r="Q1636" s="2">
        <v>45362</v>
      </c>
      <c r="R1636" t="s">
        <v>2999</v>
      </c>
      <c r="S1636" t="s">
        <v>2502</v>
      </c>
      <c r="T1636" s="18">
        <v>45</v>
      </c>
      <c r="U1636" t="s">
        <v>8</v>
      </c>
      <c r="V1636" t="s">
        <v>8</v>
      </c>
      <c r="W1636" t="s">
        <v>4</v>
      </c>
    </row>
    <row r="1637" spans="1:23" x14ac:dyDescent="0.25">
      <c r="A1637" t="s">
        <v>2880</v>
      </c>
      <c r="B1637" s="2">
        <v>45363</v>
      </c>
      <c r="C1637" t="s">
        <v>17</v>
      </c>
      <c r="D1637" t="s">
        <v>410</v>
      </c>
      <c r="E1637" t="s">
        <v>411</v>
      </c>
      <c r="F1637" t="s">
        <v>4</v>
      </c>
      <c r="G1637" t="s">
        <v>5</v>
      </c>
      <c r="H1637" s="3">
        <v>1979.8</v>
      </c>
      <c r="I1637" t="s">
        <v>3000</v>
      </c>
      <c r="J1637" t="s">
        <v>413</v>
      </c>
      <c r="K1637" t="s">
        <v>3001</v>
      </c>
      <c r="L1637" t="s">
        <v>3002</v>
      </c>
      <c r="M1637" t="s">
        <v>450</v>
      </c>
      <c r="N1637" t="s">
        <v>1</v>
      </c>
      <c r="O1637" s="2">
        <v>45352</v>
      </c>
      <c r="P1637" t="s">
        <v>3003</v>
      </c>
      <c r="Q1637" s="2">
        <v>45363</v>
      </c>
      <c r="R1637" t="s">
        <v>3004</v>
      </c>
      <c r="S1637" t="s">
        <v>3005</v>
      </c>
      <c r="T1637" s="18">
        <v>20</v>
      </c>
      <c r="U1637" t="s">
        <v>8</v>
      </c>
      <c r="V1637" t="s">
        <v>8</v>
      </c>
      <c r="W1637" t="s">
        <v>4</v>
      </c>
    </row>
    <row r="1638" spans="1:23" x14ac:dyDescent="0.25">
      <c r="A1638" t="s">
        <v>2880</v>
      </c>
      <c r="B1638" s="2">
        <v>45363</v>
      </c>
      <c r="C1638" t="s">
        <v>17</v>
      </c>
      <c r="D1638" t="s">
        <v>410</v>
      </c>
      <c r="E1638" t="s">
        <v>411</v>
      </c>
      <c r="F1638" t="s">
        <v>4</v>
      </c>
      <c r="G1638" t="s">
        <v>5</v>
      </c>
      <c r="H1638" s="3">
        <v>1018.8</v>
      </c>
      <c r="I1638" t="s">
        <v>3000</v>
      </c>
      <c r="J1638" t="s">
        <v>413</v>
      </c>
      <c r="K1638" t="s">
        <v>3001</v>
      </c>
      <c r="L1638" t="s">
        <v>3002</v>
      </c>
      <c r="M1638" t="s">
        <v>450</v>
      </c>
      <c r="N1638" t="s">
        <v>12</v>
      </c>
      <c r="O1638" s="2">
        <v>45352</v>
      </c>
      <c r="P1638" t="s">
        <v>3003</v>
      </c>
      <c r="Q1638" s="2">
        <v>45363</v>
      </c>
      <c r="R1638" t="s">
        <v>3004</v>
      </c>
      <c r="S1638" t="s">
        <v>3006</v>
      </c>
      <c r="T1638" s="18">
        <v>60</v>
      </c>
      <c r="U1638" t="s">
        <v>8</v>
      </c>
      <c r="V1638" t="s">
        <v>8</v>
      </c>
      <c r="W1638" t="s">
        <v>4</v>
      </c>
    </row>
    <row r="1639" spans="1:23" x14ac:dyDescent="0.25">
      <c r="A1639" t="s">
        <v>2880</v>
      </c>
      <c r="B1639" s="2">
        <v>45362</v>
      </c>
      <c r="C1639" t="s">
        <v>17</v>
      </c>
      <c r="D1639" t="s">
        <v>410</v>
      </c>
      <c r="E1639" t="s">
        <v>411</v>
      </c>
      <c r="F1639" t="s">
        <v>4</v>
      </c>
      <c r="G1639" t="s">
        <v>5</v>
      </c>
      <c r="H1639" s="3">
        <v>855.68</v>
      </c>
      <c r="I1639" t="s">
        <v>2995</v>
      </c>
      <c r="J1639" t="s">
        <v>413</v>
      </c>
      <c r="K1639" t="s">
        <v>2996</v>
      </c>
      <c r="L1639" t="s">
        <v>2997</v>
      </c>
      <c r="M1639" t="s">
        <v>21</v>
      </c>
      <c r="N1639" t="s">
        <v>17</v>
      </c>
      <c r="O1639" s="2">
        <v>45352</v>
      </c>
      <c r="P1639" t="s">
        <v>2998</v>
      </c>
      <c r="Q1639" s="2">
        <v>45362</v>
      </c>
      <c r="R1639" t="s">
        <v>2999</v>
      </c>
      <c r="S1639" t="s">
        <v>2509</v>
      </c>
      <c r="T1639" s="18">
        <v>14</v>
      </c>
      <c r="U1639" t="s">
        <v>8</v>
      </c>
      <c r="V1639" t="s">
        <v>8</v>
      </c>
      <c r="W1639" t="s">
        <v>4</v>
      </c>
    </row>
    <row r="1640" spans="1:23" x14ac:dyDescent="0.25">
      <c r="A1640" t="s">
        <v>2880</v>
      </c>
      <c r="B1640" s="2">
        <v>45362</v>
      </c>
      <c r="C1640" t="s">
        <v>17</v>
      </c>
      <c r="D1640" t="s">
        <v>410</v>
      </c>
      <c r="E1640" t="s">
        <v>411</v>
      </c>
      <c r="F1640" t="s">
        <v>4</v>
      </c>
      <c r="G1640" t="s">
        <v>5</v>
      </c>
      <c r="H1640" s="3">
        <v>492.3</v>
      </c>
      <c r="I1640" t="s">
        <v>2995</v>
      </c>
      <c r="J1640" t="s">
        <v>413</v>
      </c>
      <c r="K1640" t="s">
        <v>2996</v>
      </c>
      <c r="L1640" t="s">
        <v>2997</v>
      </c>
      <c r="M1640" t="s">
        <v>21</v>
      </c>
      <c r="N1640" t="s">
        <v>1</v>
      </c>
      <c r="O1640" s="2">
        <v>45352</v>
      </c>
      <c r="P1640" t="s">
        <v>2998</v>
      </c>
      <c r="Q1640" s="2">
        <v>45362</v>
      </c>
      <c r="R1640" t="s">
        <v>2999</v>
      </c>
      <c r="S1640" t="s">
        <v>2510</v>
      </c>
      <c r="T1640" s="18">
        <v>10</v>
      </c>
      <c r="U1640" t="s">
        <v>8</v>
      </c>
      <c r="V1640" t="s">
        <v>8</v>
      </c>
      <c r="W1640" t="s">
        <v>4</v>
      </c>
    </row>
    <row r="1641" spans="1:23" x14ac:dyDescent="0.25">
      <c r="A1641" t="s">
        <v>2880</v>
      </c>
      <c r="B1641" s="2">
        <v>45362</v>
      </c>
      <c r="C1641" t="s">
        <v>17</v>
      </c>
      <c r="D1641" t="s">
        <v>410</v>
      </c>
      <c r="E1641" t="s">
        <v>411</v>
      </c>
      <c r="F1641" t="s">
        <v>4</v>
      </c>
      <c r="G1641" t="s">
        <v>5</v>
      </c>
      <c r="H1641" s="3">
        <v>59.41</v>
      </c>
      <c r="I1641" t="s">
        <v>2995</v>
      </c>
      <c r="J1641" t="s">
        <v>413</v>
      </c>
      <c r="K1641" t="s">
        <v>2996</v>
      </c>
      <c r="L1641" t="s">
        <v>2997</v>
      </c>
      <c r="M1641" t="s">
        <v>21</v>
      </c>
      <c r="N1641" t="s">
        <v>77</v>
      </c>
      <c r="O1641" s="2">
        <v>45352</v>
      </c>
      <c r="P1641" t="s">
        <v>2998</v>
      </c>
      <c r="Q1641" s="2">
        <v>45362</v>
      </c>
      <c r="R1641" t="s">
        <v>2999</v>
      </c>
      <c r="S1641" t="s">
        <v>2511</v>
      </c>
      <c r="T1641" s="18">
        <v>1</v>
      </c>
      <c r="U1641" t="s">
        <v>8</v>
      </c>
      <c r="V1641" t="s">
        <v>8</v>
      </c>
      <c r="W1641" t="s">
        <v>4</v>
      </c>
    </row>
    <row r="1642" spans="1:23" x14ac:dyDescent="0.25">
      <c r="A1642" t="s">
        <v>2880</v>
      </c>
      <c r="B1642" s="2">
        <v>45371</v>
      </c>
      <c r="C1642" t="s">
        <v>17</v>
      </c>
      <c r="D1642" t="s">
        <v>410</v>
      </c>
      <c r="E1642" t="s">
        <v>411</v>
      </c>
      <c r="F1642" t="s">
        <v>4</v>
      </c>
      <c r="G1642" t="s">
        <v>5</v>
      </c>
      <c r="H1642" s="3">
        <v>-1018.8</v>
      </c>
      <c r="I1642" t="s">
        <v>3007</v>
      </c>
      <c r="J1642" t="s">
        <v>413</v>
      </c>
      <c r="K1642" t="s">
        <v>3001</v>
      </c>
      <c r="L1642" t="s">
        <v>3008</v>
      </c>
      <c r="M1642" t="s">
        <v>450</v>
      </c>
      <c r="N1642" t="s">
        <v>12</v>
      </c>
      <c r="O1642" s="2">
        <v>45352</v>
      </c>
      <c r="P1642" t="s">
        <v>3009</v>
      </c>
      <c r="Q1642" s="2">
        <v>45363</v>
      </c>
      <c r="R1642" t="s">
        <v>3004</v>
      </c>
      <c r="S1642" t="s">
        <v>3006</v>
      </c>
      <c r="T1642" s="18">
        <v>-60</v>
      </c>
      <c r="U1642" t="s">
        <v>8</v>
      </c>
      <c r="V1642" t="s">
        <v>8</v>
      </c>
      <c r="W1642" t="s">
        <v>4</v>
      </c>
    </row>
    <row r="1643" spans="1:23" x14ac:dyDescent="0.25">
      <c r="A1643" t="s">
        <v>2880</v>
      </c>
      <c r="B1643" s="2">
        <v>45371</v>
      </c>
      <c r="C1643" t="s">
        <v>17</v>
      </c>
      <c r="D1643" t="s">
        <v>410</v>
      </c>
      <c r="E1643" t="s">
        <v>411</v>
      </c>
      <c r="F1643" t="s">
        <v>4</v>
      </c>
      <c r="G1643" t="s">
        <v>5</v>
      </c>
      <c r="H1643" s="3">
        <v>-1979.8</v>
      </c>
      <c r="I1643" t="s">
        <v>3007</v>
      </c>
      <c r="J1643" t="s">
        <v>413</v>
      </c>
      <c r="K1643" t="s">
        <v>3001</v>
      </c>
      <c r="L1643" t="s">
        <v>3008</v>
      </c>
      <c r="M1643" t="s">
        <v>450</v>
      </c>
      <c r="N1643" t="s">
        <v>1</v>
      </c>
      <c r="O1643" s="2">
        <v>45352</v>
      </c>
      <c r="P1643" t="s">
        <v>3009</v>
      </c>
      <c r="Q1643" s="2">
        <v>45363</v>
      </c>
      <c r="R1643" t="s">
        <v>3004</v>
      </c>
      <c r="S1643" t="s">
        <v>3005</v>
      </c>
      <c r="T1643" s="18">
        <v>-20</v>
      </c>
      <c r="U1643" t="s">
        <v>8</v>
      </c>
      <c r="V1643" t="s">
        <v>8</v>
      </c>
      <c r="W1643" t="s">
        <v>4</v>
      </c>
    </row>
    <row r="1644" spans="1:23" x14ac:dyDescent="0.25">
      <c r="A1644" t="s">
        <v>2880</v>
      </c>
      <c r="B1644" s="2">
        <v>45386</v>
      </c>
      <c r="C1644" t="s">
        <v>43</v>
      </c>
      <c r="D1644" t="s">
        <v>390</v>
      </c>
      <c r="E1644" t="s">
        <v>391</v>
      </c>
      <c r="F1644" t="s">
        <v>4</v>
      </c>
      <c r="G1644" t="s">
        <v>5</v>
      </c>
      <c r="H1644" s="3">
        <v>11035</v>
      </c>
      <c r="I1644" t="s">
        <v>3043</v>
      </c>
      <c r="J1644" t="s">
        <v>413</v>
      </c>
      <c r="K1644" t="s">
        <v>3044</v>
      </c>
      <c r="L1644" t="s">
        <v>3045</v>
      </c>
      <c r="M1644" t="s">
        <v>2493</v>
      </c>
      <c r="N1644" t="s">
        <v>1</v>
      </c>
      <c r="O1644" s="2">
        <v>45384</v>
      </c>
      <c r="P1644" t="s">
        <v>3046</v>
      </c>
      <c r="Q1644" s="2">
        <v>45386</v>
      </c>
      <c r="R1644" t="s">
        <v>3047</v>
      </c>
      <c r="S1644" t="s">
        <v>2496</v>
      </c>
      <c r="T1644" s="17">
        <v>1</v>
      </c>
      <c r="U1644" t="s">
        <v>8</v>
      </c>
      <c r="V1644" t="s">
        <v>8</v>
      </c>
      <c r="W1644" t="s">
        <v>4</v>
      </c>
    </row>
    <row r="1645" spans="1:23" x14ac:dyDescent="0.25">
      <c r="A1645" t="s">
        <v>2880</v>
      </c>
      <c r="B1645" s="2">
        <v>45404</v>
      </c>
      <c r="C1645" t="s">
        <v>43</v>
      </c>
      <c r="D1645" t="s">
        <v>390</v>
      </c>
      <c r="E1645" t="s">
        <v>391</v>
      </c>
      <c r="F1645" t="s">
        <v>4</v>
      </c>
      <c r="G1645" t="s">
        <v>5</v>
      </c>
      <c r="H1645" s="3">
        <v>855.68</v>
      </c>
      <c r="I1645" t="s">
        <v>3048</v>
      </c>
      <c r="J1645" t="s">
        <v>413</v>
      </c>
      <c r="K1645" t="s">
        <v>3049</v>
      </c>
      <c r="L1645" t="s">
        <v>3050</v>
      </c>
      <c r="M1645" t="s">
        <v>524</v>
      </c>
      <c r="N1645" t="s">
        <v>1</v>
      </c>
      <c r="O1645" s="2">
        <v>45398</v>
      </c>
      <c r="P1645" t="s">
        <v>3051</v>
      </c>
      <c r="Q1645" s="2">
        <v>45404</v>
      </c>
      <c r="R1645" t="s">
        <v>3052</v>
      </c>
      <c r="S1645" t="s">
        <v>2509</v>
      </c>
      <c r="T1645" s="18">
        <v>14</v>
      </c>
      <c r="U1645" t="s">
        <v>8</v>
      </c>
      <c r="V1645" t="s">
        <v>8</v>
      </c>
      <c r="W1645" t="s">
        <v>4</v>
      </c>
    </row>
    <row r="1646" spans="1:23" x14ac:dyDescent="0.25">
      <c r="A1646" t="s">
        <v>2880</v>
      </c>
      <c r="B1646" s="2">
        <v>45404</v>
      </c>
      <c r="C1646" t="s">
        <v>43</v>
      </c>
      <c r="D1646" t="s">
        <v>390</v>
      </c>
      <c r="E1646" t="s">
        <v>391</v>
      </c>
      <c r="F1646" t="s">
        <v>4</v>
      </c>
      <c r="G1646" t="s">
        <v>5</v>
      </c>
      <c r="H1646" s="3">
        <v>393.84</v>
      </c>
      <c r="I1646" t="s">
        <v>3048</v>
      </c>
      <c r="J1646" t="s">
        <v>413</v>
      </c>
      <c r="K1646" t="s">
        <v>3049</v>
      </c>
      <c r="L1646" t="s">
        <v>3050</v>
      </c>
      <c r="M1646" t="s">
        <v>524</v>
      </c>
      <c r="N1646" t="s">
        <v>12</v>
      </c>
      <c r="O1646" s="2">
        <v>45398</v>
      </c>
      <c r="P1646" t="s">
        <v>3051</v>
      </c>
      <c r="Q1646" s="2">
        <v>45404</v>
      </c>
      <c r="R1646" t="s">
        <v>3052</v>
      </c>
      <c r="S1646" t="s">
        <v>2510</v>
      </c>
      <c r="T1646" s="18">
        <v>8</v>
      </c>
      <c r="U1646" t="s">
        <v>8</v>
      </c>
      <c r="V1646" t="s">
        <v>8</v>
      </c>
      <c r="W1646" t="s">
        <v>4</v>
      </c>
    </row>
    <row r="1647" spans="1:23" x14ac:dyDescent="0.25">
      <c r="A1647" t="s">
        <v>2880</v>
      </c>
      <c r="B1647" s="2">
        <v>45404</v>
      </c>
      <c r="C1647" t="s">
        <v>43</v>
      </c>
      <c r="D1647" t="s">
        <v>390</v>
      </c>
      <c r="E1647" t="s">
        <v>391</v>
      </c>
      <c r="F1647" t="s">
        <v>4</v>
      </c>
      <c r="G1647" t="s">
        <v>5</v>
      </c>
      <c r="H1647" s="3">
        <v>2449.59</v>
      </c>
      <c r="I1647" t="s">
        <v>3048</v>
      </c>
      <c r="J1647" t="s">
        <v>413</v>
      </c>
      <c r="K1647" t="s">
        <v>3049</v>
      </c>
      <c r="L1647" t="s">
        <v>3050</v>
      </c>
      <c r="M1647" t="s">
        <v>524</v>
      </c>
      <c r="N1647" t="s">
        <v>17</v>
      </c>
      <c r="O1647" s="2">
        <v>45398</v>
      </c>
      <c r="P1647" t="s">
        <v>3051</v>
      </c>
      <c r="Q1647" s="2">
        <v>45404</v>
      </c>
      <c r="R1647" t="s">
        <v>3052</v>
      </c>
      <c r="S1647" t="s">
        <v>2502</v>
      </c>
      <c r="T1647" s="18">
        <v>39</v>
      </c>
      <c r="U1647" t="s">
        <v>8</v>
      </c>
      <c r="V1647" t="s">
        <v>8</v>
      </c>
      <c r="W1647" t="s">
        <v>4</v>
      </c>
    </row>
    <row r="1648" spans="1:23" x14ac:dyDescent="0.25">
      <c r="A1648" t="s">
        <v>2880</v>
      </c>
      <c r="B1648" s="2">
        <v>45404</v>
      </c>
      <c r="C1648" t="s">
        <v>43</v>
      </c>
      <c r="D1648" t="s">
        <v>390</v>
      </c>
      <c r="E1648" t="s">
        <v>391</v>
      </c>
      <c r="F1648" t="s">
        <v>4</v>
      </c>
      <c r="G1648" t="s">
        <v>5</v>
      </c>
      <c r="H1648" s="3">
        <v>2037.2</v>
      </c>
      <c r="I1648" t="s">
        <v>3048</v>
      </c>
      <c r="J1648" t="s">
        <v>413</v>
      </c>
      <c r="K1648" t="s">
        <v>3049</v>
      </c>
      <c r="L1648" t="s">
        <v>3050</v>
      </c>
      <c r="M1648" t="s">
        <v>524</v>
      </c>
      <c r="N1648" t="s">
        <v>43</v>
      </c>
      <c r="O1648" s="2">
        <v>45398</v>
      </c>
      <c r="P1648" t="s">
        <v>3051</v>
      </c>
      <c r="Q1648" s="2">
        <v>45404</v>
      </c>
      <c r="R1648" t="s">
        <v>3052</v>
      </c>
      <c r="S1648" t="s">
        <v>2503</v>
      </c>
      <c r="T1648" s="18">
        <v>20</v>
      </c>
      <c r="U1648" t="s">
        <v>8</v>
      </c>
      <c r="V1648" t="s">
        <v>8</v>
      </c>
      <c r="W1648" t="s">
        <v>4</v>
      </c>
    </row>
    <row r="1649" spans="1:24" x14ac:dyDescent="0.25">
      <c r="A1649" t="s">
        <v>2880</v>
      </c>
      <c r="B1649" s="2">
        <v>45404</v>
      </c>
      <c r="C1649" t="s">
        <v>43</v>
      </c>
      <c r="D1649" t="s">
        <v>390</v>
      </c>
      <c r="E1649" t="s">
        <v>391</v>
      </c>
      <c r="F1649" t="s">
        <v>4</v>
      </c>
      <c r="G1649" t="s">
        <v>5</v>
      </c>
      <c r="H1649" s="3">
        <v>458.38</v>
      </c>
      <c r="I1649" t="s">
        <v>3048</v>
      </c>
      <c r="J1649" t="s">
        <v>413</v>
      </c>
      <c r="K1649" t="s">
        <v>3049</v>
      </c>
      <c r="L1649" t="s">
        <v>3050</v>
      </c>
      <c r="M1649" t="s">
        <v>524</v>
      </c>
      <c r="N1649" t="s">
        <v>77</v>
      </c>
      <c r="O1649" s="2">
        <v>45398</v>
      </c>
      <c r="P1649" t="s">
        <v>3051</v>
      </c>
      <c r="Q1649" s="2">
        <v>45404</v>
      </c>
      <c r="R1649" t="s">
        <v>3052</v>
      </c>
      <c r="S1649" t="s">
        <v>2578</v>
      </c>
      <c r="T1649" s="18">
        <v>1</v>
      </c>
      <c r="U1649" t="s">
        <v>8</v>
      </c>
      <c r="V1649" t="s">
        <v>8</v>
      </c>
      <c r="W1649" t="s">
        <v>4</v>
      </c>
    </row>
    <row r="1650" spans="1:24" x14ac:dyDescent="0.25">
      <c r="A1650" t="s">
        <v>2880</v>
      </c>
      <c r="B1650" s="2">
        <v>45404</v>
      </c>
      <c r="C1650" t="s">
        <v>43</v>
      </c>
      <c r="D1650" t="s">
        <v>390</v>
      </c>
      <c r="E1650" t="s">
        <v>391</v>
      </c>
      <c r="F1650" t="s">
        <v>4</v>
      </c>
      <c r="G1650" t="s">
        <v>5</v>
      </c>
      <c r="H1650" s="3">
        <v>179</v>
      </c>
      <c r="I1650" t="s">
        <v>3048</v>
      </c>
      <c r="J1650" t="s">
        <v>413</v>
      </c>
      <c r="K1650" t="s">
        <v>3049</v>
      </c>
      <c r="L1650" t="s">
        <v>3050</v>
      </c>
      <c r="M1650" t="s">
        <v>524</v>
      </c>
      <c r="N1650" t="s">
        <v>22</v>
      </c>
      <c r="O1650" s="2">
        <v>45398</v>
      </c>
      <c r="P1650" t="s">
        <v>3051</v>
      </c>
      <c r="Q1650" s="2">
        <v>45404</v>
      </c>
      <c r="R1650" t="s">
        <v>3052</v>
      </c>
      <c r="S1650" t="s">
        <v>2930</v>
      </c>
      <c r="T1650" s="18">
        <v>1</v>
      </c>
      <c r="U1650" t="s">
        <v>8</v>
      </c>
      <c r="V1650" t="s">
        <v>8</v>
      </c>
      <c r="W1650" t="s">
        <v>4</v>
      </c>
    </row>
    <row r="1651" spans="1:24" x14ac:dyDescent="0.25">
      <c r="A1651" t="s">
        <v>2880</v>
      </c>
      <c r="B1651" s="2">
        <v>45404</v>
      </c>
      <c r="C1651" t="s">
        <v>43</v>
      </c>
      <c r="D1651" t="s">
        <v>390</v>
      </c>
      <c r="E1651" t="s">
        <v>391</v>
      </c>
      <c r="F1651" t="s">
        <v>4</v>
      </c>
      <c r="G1651" t="s">
        <v>5</v>
      </c>
      <c r="H1651" s="3">
        <v>101.82</v>
      </c>
      <c r="I1651" t="s">
        <v>3048</v>
      </c>
      <c r="J1651" t="s">
        <v>413</v>
      </c>
      <c r="K1651" t="s">
        <v>3049</v>
      </c>
      <c r="L1651" t="s">
        <v>3050</v>
      </c>
      <c r="M1651" t="s">
        <v>524</v>
      </c>
      <c r="N1651" t="s">
        <v>72</v>
      </c>
      <c r="O1651" s="2">
        <v>45398</v>
      </c>
      <c r="P1651" t="s">
        <v>3051</v>
      </c>
      <c r="Q1651" s="2">
        <v>45404</v>
      </c>
      <c r="R1651" t="s">
        <v>3052</v>
      </c>
      <c r="S1651" t="s">
        <v>3053</v>
      </c>
      <c r="T1651" s="18">
        <v>3</v>
      </c>
      <c r="U1651" t="s">
        <v>8</v>
      </c>
      <c r="V1651" t="s">
        <v>8</v>
      </c>
      <c r="W1651" t="s">
        <v>4</v>
      </c>
    </row>
    <row r="1652" spans="1:24" x14ac:dyDescent="0.25">
      <c r="A1652" t="s">
        <v>2880</v>
      </c>
      <c r="B1652" s="2">
        <v>45404</v>
      </c>
      <c r="C1652" t="s">
        <v>43</v>
      </c>
      <c r="D1652" t="s">
        <v>390</v>
      </c>
      <c r="E1652" t="s">
        <v>391</v>
      </c>
      <c r="F1652" t="s">
        <v>4</v>
      </c>
      <c r="G1652" t="s">
        <v>5</v>
      </c>
      <c r="H1652" s="3">
        <v>3396</v>
      </c>
      <c r="I1652" t="s">
        <v>3048</v>
      </c>
      <c r="J1652" t="s">
        <v>413</v>
      </c>
      <c r="K1652" t="s">
        <v>3049</v>
      </c>
      <c r="L1652" t="s">
        <v>3050</v>
      </c>
      <c r="M1652" t="s">
        <v>524</v>
      </c>
      <c r="N1652" t="s">
        <v>82</v>
      </c>
      <c r="O1652" s="2">
        <v>45398</v>
      </c>
      <c r="P1652" t="s">
        <v>3051</v>
      </c>
      <c r="Q1652" s="2">
        <v>45404</v>
      </c>
      <c r="R1652" t="s">
        <v>3052</v>
      </c>
      <c r="S1652" t="s">
        <v>2576</v>
      </c>
      <c r="T1652" s="18">
        <v>80</v>
      </c>
      <c r="U1652" t="s">
        <v>8</v>
      </c>
      <c r="V1652" t="s">
        <v>8</v>
      </c>
      <c r="W1652" t="s">
        <v>4</v>
      </c>
    </row>
    <row r="1653" spans="1:24" x14ac:dyDescent="0.25">
      <c r="A1653" t="s">
        <v>2880</v>
      </c>
      <c r="B1653" s="9">
        <v>45426</v>
      </c>
      <c r="C1653" t="s">
        <v>77</v>
      </c>
      <c r="D1653" t="s">
        <v>390</v>
      </c>
      <c r="E1653" t="s">
        <v>391</v>
      </c>
      <c r="F1653" t="s">
        <v>4</v>
      </c>
      <c r="G1653" t="s">
        <v>5</v>
      </c>
      <c r="H1653" s="8">
        <v>11035</v>
      </c>
      <c r="I1653" t="s">
        <v>3082</v>
      </c>
      <c r="J1653" t="s">
        <v>413</v>
      </c>
      <c r="K1653" t="s">
        <v>3083</v>
      </c>
      <c r="L1653" t="s">
        <v>3084</v>
      </c>
      <c r="M1653" t="s">
        <v>21</v>
      </c>
      <c r="N1653" t="s">
        <v>1</v>
      </c>
      <c r="O1653" s="9">
        <v>45418</v>
      </c>
      <c r="P1653" t="s">
        <v>3085</v>
      </c>
      <c r="Q1653" s="9">
        <v>45426</v>
      </c>
      <c r="R1653" t="s">
        <v>3086</v>
      </c>
      <c r="S1653" t="s">
        <v>2496</v>
      </c>
      <c r="T1653">
        <v>1</v>
      </c>
      <c r="U1653" t="s">
        <v>8</v>
      </c>
      <c r="V1653" t="s">
        <v>8</v>
      </c>
      <c r="W1653" t="s">
        <v>4</v>
      </c>
    </row>
    <row r="1654" spans="1:24" x14ac:dyDescent="0.25">
      <c r="A1654" t="s">
        <v>2880</v>
      </c>
      <c r="B1654" s="9">
        <v>45429</v>
      </c>
      <c r="C1654" t="s">
        <v>77</v>
      </c>
      <c r="D1654" t="s">
        <v>390</v>
      </c>
      <c r="E1654" t="s">
        <v>391</v>
      </c>
      <c r="F1654" t="s">
        <v>4</v>
      </c>
      <c r="G1654" t="s">
        <v>5</v>
      </c>
      <c r="H1654" s="8">
        <v>1528</v>
      </c>
      <c r="I1654" t="s">
        <v>3087</v>
      </c>
      <c r="J1654" t="s">
        <v>413</v>
      </c>
      <c r="K1654" t="s">
        <v>3088</v>
      </c>
      <c r="L1654" t="s">
        <v>3089</v>
      </c>
      <c r="M1654" t="s">
        <v>2493</v>
      </c>
      <c r="N1654" t="s">
        <v>1</v>
      </c>
      <c r="O1654" s="9">
        <v>45425</v>
      </c>
      <c r="P1654" t="s">
        <v>3090</v>
      </c>
      <c r="Q1654" s="9">
        <v>45429</v>
      </c>
      <c r="R1654" t="s">
        <v>3091</v>
      </c>
      <c r="S1654" t="s">
        <v>2509</v>
      </c>
      <c r="T1654">
        <v>25</v>
      </c>
      <c r="U1654" t="s">
        <v>8</v>
      </c>
      <c r="V1654" t="s">
        <v>8</v>
      </c>
      <c r="W1654" t="s">
        <v>4</v>
      </c>
    </row>
    <row r="1655" spans="1:24" x14ac:dyDescent="0.25">
      <c r="A1655" t="s">
        <v>2880</v>
      </c>
      <c r="B1655" s="9">
        <v>45429</v>
      </c>
      <c r="C1655" t="s">
        <v>77</v>
      </c>
      <c r="D1655" t="s">
        <v>390</v>
      </c>
      <c r="E1655" t="s">
        <v>391</v>
      </c>
      <c r="F1655" t="s">
        <v>4</v>
      </c>
      <c r="G1655" t="s">
        <v>5</v>
      </c>
      <c r="H1655" s="8">
        <v>886.14</v>
      </c>
      <c r="I1655" t="s">
        <v>3087</v>
      </c>
      <c r="J1655" t="s">
        <v>413</v>
      </c>
      <c r="K1655" t="s">
        <v>3088</v>
      </c>
      <c r="L1655" t="s">
        <v>3089</v>
      </c>
      <c r="M1655" t="s">
        <v>2493</v>
      </c>
      <c r="N1655" t="s">
        <v>12</v>
      </c>
      <c r="O1655" s="9">
        <v>45425</v>
      </c>
      <c r="P1655" t="s">
        <v>3090</v>
      </c>
      <c r="Q1655" s="9">
        <v>45429</v>
      </c>
      <c r="R1655" t="s">
        <v>3091</v>
      </c>
      <c r="S1655" t="s">
        <v>2510</v>
      </c>
      <c r="T1655">
        <v>18</v>
      </c>
      <c r="U1655" t="s">
        <v>8</v>
      </c>
      <c r="V1655" t="s">
        <v>8</v>
      </c>
      <c r="W1655" t="s">
        <v>4</v>
      </c>
    </row>
    <row r="1656" spans="1:24" x14ac:dyDescent="0.25">
      <c r="A1656" t="s">
        <v>2880</v>
      </c>
      <c r="B1656" s="9">
        <v>45429</v>
      </c>
      <c r="C1656" t="s">
        <v>77</v>
      </c>
      <c r="D1656" t="s">
        <v>390</v>
      </c>
      <c r="E1656" t="s">
        <v>391</v>
      </c>
      <c r="F1656" t="s">
        <v>4</v>
      </c>
      <c r="G1656" t="s">
        <v>5</v>
      </c>
      <c r="H1656" s="8">
        <v>2512.4</v>
      </c>
      <c r="I1656" t="s">
        <v>3087</v>
      </c>
      <c r="J1656" t="s">
        <v>413</v>
      </c>
      <c r="K1656" t="s">
        <v>3088</v>
      </c>
      <c r="L1656" t="s">
        <v>3089</v>
      </c>
      <c r="M1656" t="s">
        <v>2493</v>
      </c>
      <c r="N1656" t="s">
        <v>17</v>
      </c>
      <c r="O1656" s="9">
        <v>45425</v>
      </c>
      <c r="P1656" t="s">
        <v>3090</v>
      </c>
      <c r="Q1656" s="9">
        <v>45429</v>
      </c>
      <c r="R1656" t="s">
        <v>3091</v>
      </c>
      <c r="S1656" t="s">
        <v>2502</v>
      </c>
      <c r="T1656">
        <v>40</v>
      </c>
      <c r="U1656" t="s">
        <v>8</v>
      </c>
      <c r="V1656" t="s">
        <v>8</v>
      </c>
      <c r="W1656" t="s">
        <v>4</v>
      </c>
    </row>
    <row r="1657" spans="1:24" x14ac:dyDescent="0.25">
      <c r="A1657" t="s">
        <v>2880</v>
      </c>
      <c r="B1657" s="9">
        <v>45429</v>
      </c>
      <c r="C1657" t="s">
        <v>77</v>
      </c>
      <c r="D1657" t="s">
        <v>390</v>
      </c>
      <c r="E1657" t="s">
        <v>391</v>
      </c>
      <c r="F1657" t="s">
        <v>4</v>
      </c>
      <c r="G1657" t="s">
        <v>5</v>
      </c>
      <c r="H1657" s="8">
        <v>4074.4</v>
      </c>
      <c r="I1657" t="s">
        <v>3087</v>
      </c>
      <c r="J1657" t="s">
        <v>413</v>
      </c>
      <c r="K1657" t="s">
        <v>3088</v>
      </c>
      <c r="L1657" t="s">
        <v>3089</v>
      </c>
      <c r="M1657" t="s">
        <v>2493</v>
      </c>
      <c r="N1657" t="s">
        <v>43</v>
      </c>
      <c r="O1657" s="9">
        <v>45425</v>
      </c>
      <c r="P1657" t="s">
        <v>3090</v>
      </c>
      <c r="Q1657" s="9">
        <v>45429</v>
      </c>
      <c r="R1657" t="s">
        <v>3091</v>
      </c>
      <c r="S1657" t="s">
        <v>2503</v>
      </c>
      <c r="T1657">
        <v>40</v>
      </c>
      <c r="U1657" t="s">
        <v>8</v>
      </c>
      <c r="V1657" t="s">
        <v>8</v>
      </c>
      <c r="W1657" t="s">
        <v>4</v>
      </c>
    </row>
    <row r="1658" spans="1:24" x14ac:dyDescent="0.25">
      <c r="A1658" t="s">
        <v>2880</v>
      </c>
      <c r="B1658" s="9">
        <v>45429</v>
      </c>
      <c r="C1658" t="s">
        <v>77</v>
      </c>
      <c r="D1658" t="s">
        <v>390</v>
      </c>
      <c r="E1658" t="s">
        <v>391</v>
      </c>
      <c r="F1658" t="s">
        <v>4</v>
      </c>
      <c r="G1658" t="s">
        <v>5</v>
      </c>
      <c r="H1658" s="8">
        <v>458.38</v>
      </c>
      <c r="I1658" t="s">
        <v>3087</v>
      </c>
      <c r="J1658" t="s">
        <v>413</v>
      </c>
      <c r="K1658" t="s">
        <v>3088</v>
      </c>
      <c r="L1658" t="s">
        <v>3089</v>
      </c>
      <c r="M1658" t="s">
        <v>2493</v>
      </c>
      <c r="N1658" t="s">
        <v>77</v>
      </c>
      <c r="O1658" s="9">
        <v>45425</v>
      </c>
      <c r="P1658" t="s">
        <v>3090</v>
      </c>
      <c r="Q1658" s="9">
        <v>45429</v>
      </c>
      <c r="R1658" t="s">
        <v>3091</v>
      </c>
      <c r="S1658" t="s">
        <v>2578</v>
      </c>
      <c r="T1658">
        <v>1</v>
      </c>
      <c r="U1658" t="s">
        <v>8</v>
      </c>
      <c r="V1658" t="s">
        <v>8</v>
      </c>
      <c r="W1658" t="s">
        <v>4</v>
      </c>
    </row>
    <row r="1659" spans="1:24" x14ac:dyDescent="0.25">
      <c r="A1659" t="s">
        <v>2880</v>
      </c>
      <c r="B1659" s="9">
        <v>45429</v>
      </c>
      <c r="C1659" t="s">
        <v>77</v>
      </c>
      <c r="D1659" t="s">
        <v>390</v>
      </c>
      <c r="E1659" t="s">
        <v>391</v>
      </c>
      <c r="F1659" t="s">
        <v>4</v>
      </c>
      <c r="G1659" t="s">
        <v>5</v>
      </c>
      <c r="H1659" s="8">
        <v>179</v>
      </c>
      <c r="I1659" t="s">
        <v>3087</v>
      </c>
      <c r="J1659" t="s">
        <v>413</v>
      </c>
      <c r="K1659" t="s">
        <v>3088</v>
      </c>
      <c r="L1659" t="s">
        <v>3089</v>
      </c>
      <c r="M1659" t="s">
        <v>2493</v>
      </c>
      <c r="N1659" t="s">
        <v>22</v>
      </c>
      <c r="O1659" s="9">
        <v>45425</v>
      </c>
      <c r="P1659" t="s">
        <v>3090</v>
      </c>
      <c r="Q1659" s="9">
        <v>45429</v>
      </c>
      <c r="R1659" t="s">
        <v>3091</v>
      </c>
      <c r="S1659" t="s">
        <v>2930</v>
      </c>
      <c r="T1659">
        <v>1</v>
      </c>
      <c r="U1659" t="s">
        <v>8</v>
      </c>
      <c r="V1659" t="s">
        <v>8</v>
      </c>
      <c r="W1659" t="s">
        <v>4</v>
      </c>
    </row>
    <row r="1660" spans="1:24" x14ac:dyDescent="0.25">
      <c r="A1660" t="s">
        <v>2880</v>
      </c>
      <c r="B1660" s="9">
        <v>45435</v>
      </c>
      <c r="C1660" t="s">
        <v>77</v>
      </c>
      <c r="D1660" t="s">
        <v>390</v>
      </c>
      <c r="E1660" t="s">
        <v>391</v>
      </c>
      <c r="F1660" t="s">
        <v>4</v>
      </c>
      <c r="G1660" t="s">
        <v>5</v>
      </c>
      <c r="H1660" s="8">
        <v>1392.4</v>
      </c>
      <c r="I1660" t="s">
        <v>3092</v>
      </c>
      <c r="J1660" t="s">
        <v>413</v>
      </c>
      <c r="K1660" t="s">
        <v>3093</v>
      </c>
      <c r="L1660" t="s">
        <v>3094</v>
      </c>
      <c r="M1660" t="s">
        <v>450</v>
      </c>
      <c r="N1660" t="s">
        <v>1</v>
      </c>
      <c r="O1660" s="9">
        <v>45425</v>
      </c>
      <c r="P1660" t="s">
        <v>3095</v>
      </c>
      <c r="Q1660" s="9">
        <v>45435</v>
      </c>
      <c r="R1660" t="s">
        <v>3096</v>
      </c>
      <c r="S1660" t="s">
        <v>3097</v>
      </c>
      <c r="T1660">
        <v>10</v>
      </c>
      <c r="U1660" t="s">
        <v>8</v>
      </c>
      <c r="V1660" t="s">
        <v>8</v>
      </c>
      <c r="W1660" t="s">
        <v>4</v>
      </c>
    </row>
    <row r="1661" spans="1:24" x14ac:dyDescent="0.25">
      <c r="A1661" t="s">
        <v>2880</v>
      </c>
      <c r="B1661" s="9">
        <v>45435</v>
      </c>
      <c r="C1661" t="s">
        <v>77</v>
      </c>
      <c r="D1661" t="s">
        <v>390</v>
      </c>
      <c r="E1661" t="s">
        <v>391</v>
      </c>
      <c r="F1661" t="s">
        <v>4</v>
      </c>
      <c r="G1661" t="s">
        <v>5</v>
      </c>
      <c r="H1661" s="8">
        <v>989.9</v>
      </c>
      <c r="I1661" t="s">
        <v>3092</v>
      </c>
      <c r="J1661" t="s">
        <v>413</v>
      </c>
      <c r="K1661" t="s">
        <v>3093</v>
      </c>
      <c r="L1661" t="s">
        <v>3094</v>
      </c>
      <c r="M1661" t="s">
        <v>450</v>
      </c>
      <c r="N1661" t="s">
        <v>12</v>
      </c>
      <c r="O1661" s="9">
        <v>45425</v>
      </c>
      <c r="P1661" t="s">
        <v>3095</v>
      </c>
      <c r="Q1661" s="9">
        <v>45435</v>
      </c>
      <c r="R1661" t="s">
        <v>3096</v>
      </c>
      <c r="S1661" t="s">
        <v>3005</v>
      </c>
      <c r="T1661">
        <v>10</v>
      </c>
      <c r="U1661" t="s">
        <v>8</v>
      </c>
      <c r="V1661" t="s">
        <v>8</v>
      </c>
      <c r="W1661" t="s">
        <v>4</v>
      </c>
    </row>
    <row r="1662" spans="1:24" x14ac:dyDescent="0.25">
      <c r="A1662" t="s">
        <v>2880</v>
      </c>
      <c r="B1662" s="9">
        <v>45435</v>
      </c>
      <c r="C1662" t="s">
        <v>77</v>
      </c>
      <c r="D1662" t="s">
        <v>390</v>
      </c>
      <c r="E1662" t="s">
        <v>391</v>
      </c>
      <c r="F1662" t="s">
        <v>4</v>
      </c>
      <c r="G1662" t="s">
        <v>5</v>
      </c>
      <c r="H1662" s="8">
        <v>1018.2</v>
      </c>
      <c r="I1662" t="s">
        <v>3092</v>
      </c>
      <c r="J1662" t="s">
        <v>413</v>
      </c>
      <c r="K1662" t="s">
        <v>3093</v>
      </c>
      <c r="L1662" t="s">
        <v>3094</v>
      </c>
      <c r="M1662" t="s">
        <v>450</v>
      </c>
      <c r="N1662" t="s">
        <v>17</v>
      </c>
      <c r="O1662" s="9">
        <v>45425</v>
      </c>
      <c r="P1662" t="s">
        <v>3095</v>
      </c>
      <c r="Q1662" s="9">
        <v>45435</v>
      </c>
      <c r="R1662" t="s">
        <v>3096</v>
      </c>
      <c r="S1662" t="s">
        <v>3006</v>
      </c>
      <c r="T1662">
        <v>60</v>
      </c>
      <c r="U1662" t="s">
        <v>8</v>
      </c>
      <c r="V1662" t="s">
        <v>8</v>
      </c>
      <c r="W1662" t="s">
        <v>4</v>
      </c>
    </row>
    <row r="1663" spans="1:24" x14ac:dyDescent="0.25">
      <c r="A1663" t="s">
        <v>2880</v>
      </c>
      <c r="B1663" s="9">
        <v>45439</v>
      </c>
      <c r="C1663" t="s">
        <v>77</v>
      </c>
      <c r="D1663" t="s">
        <v>390</v>
      </c>
      <c r="E1663" t="s">
        <v>391</v>
      </c>
      <c r="F1663" t="s">
        <v>4</v>
      </c>
      <c r="G1663" t="s">
        <v>5</v>
      </c>
      <c r="H1663" s="8">
        <v>2547</v>
      </c>
      <c r="I1663" t="s">
        <v>3098</v>
      </c>
      <c r="J1663" t="s">
        <v>413</v>
      </c>
      <c r="K1663" t="s">
        <v>3099</v>
      </c>
      <c r="L1663" t="s">
        <v>3100</v>
      </c>
      <c r="M1663" t="s">
        <v>2493</v>
      </c>
      <c r="N1663" t="s">
        <v>1</v>
      </c>
      <c r="O1663" s="9">
        <v>45432</v>
      </c>
      <c r="P1663" t="s">
        <v>3101</v>
      </c>
      <c r="Q1663" s="9">
        <v>45439</v>
      </c>
      <c r="R1663" t="s">
        <v>3102</v>
      </c>
      <c r="S1663" t="s">
        <v>2576</v>
      </c>
      <c r="T1663">
        <v>60</v>
      </c>
      <c r="U1663" t="s">
        <v>8</v>
      </c>
      <c r="V1663" t="s">
        <v>8</v>
      </c>
      <c r="W1663" t="s">
        <v>4</v>
      </c>
    </row>
    <row r="1664" spans="1:24" x14ac:dyDescent="0.25">
      <c r="A1664" t="s">
        <v>2880</v>
      </c>
      <c r="B1664" s="9">
        <v>45464</v>
      </c>
      <c r="C1664" t="s">
        <v>22</v>
      </c>
      <c r="D1664" t="s">
        <v>390</v>
      </c>
      <c r="E1664" t="s">
        <v>391</v>
      </c>
      <c r="F1664" t="s">
        <v>4</v>
      </c>
      <c r="G1664" t="s">
        <v>5</v>
      </c>
      <c r="H1664" s="8">
        <v>11035</v>
      </c>
      <c r="I1664" t="s">
        <v>3129</v>
      </c>
      <c r="J1664" t="s">
        <v>413</v>
      </c>
      <c r="K1664" t="s">
        <v>3130</v>
      </c>
      <c r="L1664" t="s">
        <v>3131</v>
      </c>
      <c r="M1664" t="s">
        <v>21</v>
      </c>
      <c r="N1664" t="s">
        <v>1</v>
      </c>
      <c r="O1664" s="9">
        <v>45453</v>
      </c>
      <c r="P1664" t="s">
        <v>3132</v>
      </c>
      <c r="Q1664" s="9">
        <v>45464</v>
      </c>
      <c r="R1664" t="s">
        <v>3133</v>
      </c>
      <c r="S1664" t="s">
        <v>2496</v>
      </c>
      <c r="T1664">
        <v>1</v>
      </c>
      <c r="U1664" t="s">
        <v>8</v>
      </c>
      <c r="V1664" t="s">
        <v>8</v>
      </c>
      <c r="W1664" t="s">
        <v>4</v>
      </c>
      <c r="X1664" t="s">
        <v>3134</v>
      </c>
    </row>
    <row r="1665" spans="1:24" x14ac:dyDescent="0.25">
      <c r="A1665" t="s">
        <v>2880</v>
      </c>
      <c r="B1665" s="9">
        <v>45474</v>
      </c>
      <c r="C1665" t="s">
        <v>72</v>
      </c>
      <c r="D1665" t="s">
        <v>390</v>
      </c>
      <c r="E1665" t="s">
        <v>391</v>
      </c>
      <c r="F1665" t="s">
        <v>4</v>
      </c>
      <c r="G1665" t="s">
        <v>5</v>
      </c>
      <c r="H1665" s="8">
        <v>977.92</v>
      </c>
      <c r="I1665" t="s">
        <v>3168</v>
      </c>
      <c r="J1665" t="s">
        <v>413</v>
      </c>
      <c r="K1665" t="s">
        <v>3169</v>
      </c>
      <c r="L1665" t="s">
        <v>3170</v>
      </c>
      <c r="M1665" t="s">
        <v>21</v>
      </c>
      <c r="N1665" t="s">
        <v>1</v>
      </c>
      <c r="O1665">
        <v>45460</v>
      </c>
      <c r="P1665" t="s">
        <v>3171</v>
      </c>
      <c r="Q1665">
        <v>45474</v>
      </c>
      <c r="R1665" t="s">
        <v>3172</v>
      </c>
      <c r="S1665" t="s">
        <v>2509</v>
      </c>
      <c r="T1665">
        <v>16</v>
      </c>
      <c r="U1665" t="s">
        <v>8</v>
      </c>
      <c r="V1665" t="s">
        <v>8</v>
      </c>
      <c r="W1665" t="s">
        <v>4</v>
      </c>
      <c r="X1665" t="s">
        <v>3134</v>
      </c>
    </row>
    <row r="1666" spans="1:24" x14ac:dyDescent="0.25">
      <c r="A1666" t="s">
        <v>2880</v>
      </c>
      <c r="B1666" s="9">
        <v>45474</v>
      </c>
      <c r="C1666" t="s">
        <v>72</v>
      </c>
      <c r="D1666" t="s">
        <v>390</v>
      </c>
      <c r="E1666" t="s">
        <v>391</v>
      </c>
      <c r="F1666" t="s">
        <v>4</v>
      </c>
      <c r="G1666" t="s">
        <v>5</v>
      </c>
      <c r="H1666" s="8">
        <v>492.3</v>
      </c>
      <c r="I1666" t="s">
        <v>3168</v>
      </c>
      <c r="J1666" t="s">
        <v>413</v>
      </c>
      <c r="K1666" t="s">
        <v>3169</v>
      </c>
      <c r="L1666" t="s">
        <v>3170</v>
      </c>
      <c r="M1666" t="s">
        <v>21</v>
      </c>
      <c r="N1666" t="s">
        <v>12</v>
      </c>
      <c r="O1666">
        <v>45460</v>
      </c>
      <c r="P1666" t="s">
        <v>3171</v>
      </c>
      <c r="Q1666">
        <v>45474</v>
      </c>
      <c r="R1666" t="s">
        <v>3172</v>
      </c>
      <c r="S1666" t="s">
        <v>2510</v>
      </c>
      <c r="T1666">
        <v>10</v>
      </c>
      <c r="U1666" t="s">
        <v>8</v>
      </c>
      <c r="V1666" t="s">
        <v>8</v>
      </c>
      <c r="W1666" t="s">
        <v>4</v>
      </c>
      <c r="X1666" t="s">
        <v>3134</v>
      </c>
    </row>
    <row r="1667" spans="1:24" x14ac:dyDescent="0.25">
      <c r="A1667" t="s">
        <v>2880</v>
      </c>
      <c r="B1667" s="9">
        <v>45474</v>
      </c>
      <c r="C1667" t="s">
        <v>72</v>
      </c>
      <c r="D1667" t="s">
        <v>390</v>
      </c>
      <c r="E1667" t="s">
        <v>391</v>
      </c>
      <c r="F1667" t="s">
        <v>4</v>
      </c>
      <c r="G1667" t="s">
        <v>5</v>
      </c>
      <c r="H1667" s="8">
        <v>2323.9699999999998</v>
      </c>
      <c r="I1667" t="s">
        <v>3168</v>
      </c>
      <c r="J1667" t="s">
        <v>413</v>
      </c>
      <c r="K1667" t="s">
        <v>3169</v>
      </c>
      <c r="L1667" t="s">
        <v>3170</v>
      </c>
      <c r="M1667" t="s">
        <v>21</v>
      </c>
      <c r="N1667" t="s">
        <v>17</v>
      </c>
      <c r="O1667">
        <v>45460</v>
      </c>
      <c r="P1667" t="s">
        <v>3171</v>
      </c>
      <c r="Q1667">
        <v>45474</v>
      </c>
      <c r="R1667" t="s">
        <v>3172</v>
      </c>
      <c r="S1667" t="s">
        <v>2502</v>
      </c>
      <c r="T1667">
        <v>37</v>
      </c>
      <c r="U1667" t="s">
        <v>8</v>
      </c>
      <c r="V1667" t="s">
        <v>8</v>
      </c>
      <c r="W1667" t="s">
        <v>4</v>
      </c>
      <c r="X1667" t="s">
        <v>3134</v>
      </c>
    </row>
    <row r="1668" spans="1:24" x14ac:dyDescent="0.25">
      <c r="A1668" t="s">
        <v>2880</v>
      </c>
      <c r="B1668" s="9">
        <v>45474</v>
      </c>
      <c r="C1668" t="s">
        <v>72</v>
      </c>
      <c r="D1668" t="s">
        <v>390</v>
      </c>
      <c r="E1668" t="s">
        <v>391</v>
      </c>
      <c r="F1668" t="s">
        <v>4</v>
      </c>
      <c r="G1668" t="s">
        <v>5</v>
      </c>
      <c r="H1668" s="8">
        <v>1018.6</v>
      </c>
      <c r="I1668" t="s">
        <v>3168</v>
      </c>
      <c r="J1668" t="s">
        <v>413</v>
      </c>
      <c r="K1668" t="s">
        <v>3169</v>
      </c>
      <c r="L1668" t="s">
        <v>3170</v>
      </c>
      <c r="M1668" t="s">
        <v>21</v>
      </c>
      <c r="N1668" t="s">
        <v>43</v>
      </c>
      <c r="O1668">
        <v>45460</v>
      </c>
      <c r="P1668" t="s">
        <v>3171</v>
      </c>
      <c r="Q1668">
        <v>45474</v>
      </c>
      <c r="R1668" t="s">
        <v>3172</v>
      </c>
      <c r="S1668" t="s">
        <v>2503</v>
      </c>
      <c r="T1668">
        <v>10</v>
      </c>
      <c r="U1668" t="s">
        <v>8</v>
      </c>
      <c r="V1668" t="s">
        <v>8</v>
      </c>
      <c r="W1668" t="s">
        <v>4</v>
      </c>
      <c r="X1668" t="s">
        <v>3134</v>
      </c>
    </row>
    <row r="1669" spans="1:24" x14ac:dyDescent="0.25">
      <c r="A1669" t="s">
        <v>2880</v>
      </c>
      <c r="B1669" s="9">
        <v>45474</v>
      </c>
      <c r="C1669" t="s">
        <v>72</v>
      </c>
      <c r="D1669" t="s">
        <v>390</v>
      </c>
      <c r="E1669" t="s">
        <v>391</v>
      </c>
      <c r="F1669" t="s">
        <v>4</v>
      </c>
      <c r="G1669" t="s">
        <v>5</v>
      </c>
      <c r="H1669" s="8">
        <v>458.38</v>
      </c>
      <c r="I1669" t="s">
        <v>3168</v>
      </c>
      <c r="J1669" t="s">
        <v>413</v>
      </c>
      <c r="K1669" t="s">
        <v>3169</v>
      </c>
      <c r="L1669" t="s">
        <v>3170</v>
      </c>
      <c r="M1669" t="s">
        <v>21</v>
      </c>
      <c r="N1669" t="s">
        <v>77</v>
      </c>
      <c r="O1669">
        <v>45460</v>
      </c>
      <c r="P1669" t="s">
        <v>3171</v>
      </c>
      <c r="Q1669">
        <v>45474</v>
      </c>
      <c r="R1669" t="s">
        <v>3172</v>
      </c>
      <c r="S1669" t="s">
        <v>2578</v>
      </c>
      <c r="T1669">
        <v>1</v>
      </c>
      <c r="U1669" t="s">
        <v>8</v>
      </c>
      <c r="V1669" t="s">
        <v>8</v>
      </c>
      <c r="W1669" t="s">
        <v>4</v>
      </c>
      <c r="X1669" t="s">
        <v>3134</v>
      </c>
    </row>
    <row r="1670" spans="1:24" x14ac:dyDescent="0.25">
      <c r="A1670" t="s">
        <v>2880</v>
      </c>
      <c r="B1670" s="9">
        <v>45474</v>
      </c>
      <c r="C1670" t="s">
        <v>72</v>
      </c>
      <c r="D1670" t="s">
        <v>390</v>
      </c>
      <c r="E1670" t="s">
        <v>391</v>
      </c>
      <c r="F1670" t="s">
        <v>4</v>
      </c>
      <c r="G1670" t="s">
        <v>5</v>
      </c>
      <c r="H1670" s="8">
        <v>80</v>
      </c>
      <c r="I1670" t="s">
        <v>3168</v>
      </c>
      <c r="J1670" t="s">
        <v>413</v>
      </c>
      <c r="K1670" t="s">
        <v>3169</v>
      </c>
      <c r="L1670" t="s">
        <v>3170</v>
      </c>
      <c r="M1670" t="s">
        <v>21</v>
      </c>
      <c r="N1670" t="s">
        <v>22</v>
      </c>
      <c r="O1670">
        <v>45460</v>
      </c>
      <c r="P1670" t="s">
        <v>3171</v>
      </c>
      <c r="Q1670">
        <v>45474</v>
      </c>
      <c r="R1670" t="s">
        <v>3172</v>
      </c>
      <c r="S1670" t="s">
        <v>3173</v>
      </c>
      <c r="T1670">
        <v>1</v>
      </c>
      <c r="U1670" t="s">
        <v>8</v>
      </c>
      <c r="V1670" t="s">
        <v>8</v>
      </c>
      <c r="W1670" t="s">
        <v>4</v>
      </c>
      <c r="X1670" t="s">
        <v>3134</v>
      </c>
    </row>
    <row r="1671" spans="1:24" x14ac:dyDescent="0.25">
      <c r="A1671" t="s">
        <v>2880</v>
      </c>
      <c r="B1671" s="9">
        <v>45474</v>
      </c>
      <c r="C1671" t="s">
        <v>72</v>
      </c>
      <c r="D1671" t="s">
        <v>390</v>
      </c>
      <c r="E1671" t="s">
        <v>391</v>
      </c>
      <c r="F1671" t="s">
        <v>4</v>
      </c>
      <c r="G1671" t="s">
        <v>5</v>
      </c>
      <c r="H1671" s="8">
        <v>85</v>
      </c>
      <c r="I1671" t="s">
        <v>3168</v>
      </c>
      <c r="J1671" t="s">
        <v>413</v>
      </c>
      <c r="K1671" t="s">
        <v>3169</v>
      </c>
      <c r="L1671" t="s">
        <v>3170</v>
      </c>
      <c r="M1671" t="s">
        <v>21</v>
      </c>
      <c r="N1671" t="s">
        <v>72</v>
      </c>
      <c r="O1671">
        <v>45460</v>
      </c>
      <c r="P1671" t="s">
        <v>3171</v>
      </c>
      <c r="Q1671">
        <v>45474</v>
      </c>
      <c r="R1671" t="s">
        <v>3172</v>
      </c>
      <c r="S1671" t="s">
        <v>3174</v>
      </c>
      <c r="T1671">
        <v>1</v>
      </c>
      <c r="U1671" t="s">
        <v>8</v>
      </c>
      <c r="V1671" t="s">
        <v>8</v>
      </c>
      <c r="W1671" t="s">
        <v>4</v>
      </c>
      <c r="X1671" t="s">
        <v>3134</v>
      </c>
    </row>
    <row r="1672" spans="1:24" x14ac:dyDescent="0.25">
      <c r="A1672" t="s">
        <v>2880</v>
      </c>
      <c r="B1672" s="9">
        <v>45476</v>
      </c>
      <c r="C1672" t="s">
        <v>72</v>
      </c>
      <c r="D1672" t="s">
        <v>390</v>
      </c>
      <c r="E1672" t="s">
        <v>391</v>
      </c>
      <c r="F1672" t="s">
        <v>4</v>
      </c>
      <c r="G1672" t="s">
        <v>5</v>
      </c>
      <c r="H1672" s="8">
        <v>-977.92</v>
      </c>
      <c r="I1672" t="s">
        <v>2509</v>
      </c>
      <c r="J1672" t="s">
        <v>413</v>
      </c>
      <c r="K1672" t="s">
        <v>3169</v>
      </c>
      <c r="L1672" t="s">
        <v>3175</v>
      </c>
      <c r="M1672" t="s">
        <v>806</v>
      </c>
      <c r="N1672" t="s">
        <v>1</v>
      </c>
      <c r="O1672">
        <v>45460</v>
      </c>
      <c r="P1672" t="s">
        <v>3176</v>
      </c>
      <c r="Q1672">
        <v>45474</v>
      </c>
      <c r="R1672" t="s">
        <v>3172</v>
      </c>
      <c r="S1672" t="s">
        <v>2509</v>
      </c>
      <c r="T1672">
        <v>-16</v>
      </c>
      <c r="U1672" t="s">
        <v>8</v>
      </c>
      <c r="V1672" t="s">
        <v>8</v>
      </c>
      <c r="W1672" t="s">
        <v>4</v>
      </c>
      <c r="X1672" t="s">
        <v>3134</v>
      </c>
    </row>
    <row r="1673" spans="1:24" x14ac:dyDescent="0.25">
      <c r="A1673" t="s">
        <v>2880</v>
      </c>
      <c r="B1673" s="9">
        <v>45476</v>
      </c>
      <c r="C1673" t="s">
        <v>72</v>
      </c>
      <c r="D1673" t="s">
        <v>390</v>
      </c>
      <c r="E1673" t="s">
        <v>391</v>
      </c>
      <c r="F1673" t="s">
        <v>4</v>
      </c>
      <c r="G1673" t="s">
        <v>5</v>
      </c>
      <c r="H1673" s="8">
        <v>-492.3</v>
      </c>
      <c r="I1673" t="s">
        <v>2510</v>
      </c>
      <c r="J1673" t="s">
        <v>413</v>
      </c>
      <c r="K1673" t="s">
        <v>3169</v>
      </c>
      <c r="L1673" t="s">
        <v>3175</v>
      </c>
      <c r="M1673" t="s">
        <v>806</v>
      </c>
      <c r="N1673" t="s">
        <v>12</v>
      </c>
      <c r="O1673">
        <v>45460</v>
      </c>
      <c r="P1673" t="s">
        <v>3176</v>
      </c>
      <c r="Q1673">
        <v>45474</v>
      </c>
      <c r="R1673" t="s">
        <v>3172</v>
      </c>
      <c r="S1673" t="s">
        <v>2510</v>
      </c>
      <c r="T1673">
        <v>-10</v>
      </c>
      <c r="U1673" t="s">
        <v>8</v>
      </c>
      <c r="V1673" t="s">
        <v>8</v>
      </c>
      <c r="W1673" t="s">
        <v>4</v>
      </c>
      <c r="X1673" t="s">
        <v>3134</v>
      </c>
    </row>
    <row r="1674" spans="1:24" x14ac:dyDescent="0.25">
      <c r="A1674" t="s">
        <v>2880</v>
      </c>
      <c r="B1674" s="9">
        <v>45476</v>
      </c>
      <c r="C1674" t="s">
        <v>72</v>
      </c>
      <c r="D1674" t="s">
        <v>390</v>
      </c>
      <c r="E1674" t="s">
        <v>391</v>
      </c>
      <c r="F1674" t="s">
        <v>4</v>
      </c>
      <c r="G1674" t="s">
        <v>5</v>
      </c>
      <c r="H1674" s="8">
        <v>-2323.9699999999998</v>
      </c>
      <c r="I1674" t="s">
        <v>2502</v>
      </c>
      <c r="J1674" t="s">
        <v>413</v>
      </c>
      <c r="K1674" t="s">
        <v>3169</v>
      </c>
      <c r="L1674" t="s">
        <v>3175</v>
      </c>
      <c r="M1674" t="s">
        <v>806</v>
      </c>
      <c r="N1674" t="s">
        <v>17</v>
      </c>
      <c r="O1674">
        <v>45460</v>
      </c>
      <c r="P1674" t="s">
        <v>3176</v>
      </c>
      <c r="Q1674">
        <v>45474</v>
      </c>
      <c r="R1674" t="s">
        <v>3172</v>
      </c>
      <c r="S1674" t="s">
        <v>2502</v>
      </c>
      <c r="T1674">
        <v>-37</v>
      </c>
      <c r="U1674" t="s">
        <v>8</v>
      </c>
      <c r="V1674" t="s">
        <v>8</v>
      </c>
      <c r="W1674" t="s">
        <v>4</v>
      </c>
      <c r="X1674" t="s">
        <v>3134</v>
      </c>
    </row>
    <row r="1675" spans="1:24" x14ac:dyDescent="0.25">
      <c r="A1675" t="s">
        <v>2880</v>
      </c>
      <c r="B1675" s="9">
        <v>45476</v>
      </c>
      <c r="C1675" t="s">
        <v>72</v>
      </c>
      <c r="D1675" t="s">
        <v>390</v>
      </c>
      <c r="E1675" t="s">
        <v>391</v>
      </c>
      <c r="F1675" t="s">
        <v>4</v>
      </c>
      <c r="G1675" t="s">
        <v>5</v>
      </c>
      <c r="H1675" s="8">
        <v>-1018.6</v>
      </c>
      <c r="I1675" t="s">
        <v>2503</v>
      </c>
      <c r="J1675" t="s">
        <v>413</v>
      </c>
      <c r="K1675" t="s">
        <v>3169</v>
      </c>
      <c r="L1675" t="s">
        <v>3175</v>
      </c>
      <c r="M1675" t="s">
        <v>806</v>
      </c>
      <c r="N1675" t="s">
        <v>43</v>
      </c>
      <c r="O1675">
        <v>45460</v>
      </c>
      <c r="P1675" t="s">
        <v>3176</v>
      </c>
      <c r="Q1675">
        <v>45474</v>
      </c>
      <c r="R1675" t="s">
        <v>3172</v>
      </c>
      <c r="S1675" t="s">
        <v>2503</v>
      </c>
      <c r="T1675">
        <v>-10</v>
      </c>
      <c r="U1675" t="s">
        <v>8</v>
      </c>
      <c r="V1675" t="s">
        <v>8</v>
      </c>
      <c r="W1675" t="s">
        <v>4</v>
      </c>
      <c r="X1675" t="s">
        <v>3134</v>
      </c>
    </row>
    <row r="1676" spans="1:24" x14ac:dyDescent="0.25">
      <c r="A1676" t="s">
        <v>2880</v>
      </c>
      <c r="B1676" s="9">
        <v>45476</v>
      </c>
      <c r="C1676" t="s">
        <v>72</v>
      </c>
      <c r="D1676" t="s">
        <v>390</v>
      </c>
      <c r="E1676" t="s">
        <v>391</v>
      </c>
      <c r="F1676" t="s">
        <v>4</v>
      </c>
      <c r="G1676" t="s">
        <v>5</v>
      </c>
      <c r="H1676" s="8">
        <v>-458.38</v>
      </c>
      <c r="I1676" t="s">
        <v>2578</v>
      </c>
      <c r="J1676" t="s">
        <v>413</v>
      </c>
      <c r="K1676" t="s">
        <v>3169</v>
      </c>
      <c r="L1676" t="s">
        <v>3175</v>
      </c>
      <c r="M1676" t="s">
        <v>806</v>
      </c>
      <c r="N1676" t="s">
        <v>77</v>
      </c>
      <c r="O1676">
        <v>45460</v>
      </c>
      <c r="P1676" t="s">
        <v>3176</v>
      </c>
      <c r="Q1676">
        <v>45474</v>
      </c>
      <c r="R1676" t="s">
        <v>3172</v>
      </c>
      <c r="S1676" t="s">
        <v>2578</v>
      </c>
      <c r="T1676">
        <v>-1</v>
      </c>
      <c r="U1676" t="s">
        <v>8</v>
      </c>
      <c r="V1676" t="s">
        <v>8</v>
      </c>
      <c r="W1676" t="s">
        <v>4</v>
      </c>
      <c r="X1676" t="s">
        <v>3134</v>
      </c>
    </row>
    <row r="1677" spans="1:24" x14ac:dyDescent="0.25">
      <c r="A1677" t="s">
        <v>2880</v>
      </c>
      <c r="B1677" s="9">
        <v>45476</v>
      </c>
      <c r="C1677" t="s">
        <v>72</v>
      </c>
      <c r="D1677" t="s">
        <v>390</v>
      </c>
      <c r="E1677" t="s">
        <v>391</v>
      </c>
      <c r="F1677" t="s">
        <v>4</v>
      </c>
      <c r="G1677" t="s">
        <v>5</v>
      </c>
      <c r="H1677" s="8">
        <v>-80</v>
      </c>
      <c r="I1677" t="s">
        <v>3173</v>
      </c>
      <c r="J1677" t="s">
        <v>413</v>
      </c>
      <c r="K1677" t="s">
        <v>3169</v>
      </c>
      <c r="L1677" t="s">
        <v>3175</v>
      </c>
      <c r="M1677" t="s">
        <v>806</v>
      </c>
      <c r="N1677" t="s">
        <v>22</v>
      </c>
      <c r="O1677">
        <v>45460</v>
      </c>
      <c r="P1677" t="s">
        <v>3176</v>
      </c>
      <c r="Q1677">
        <v>45474</v>
      </c>
      <c r="R1677" t="s">
        <v>3172</v>
      </c>
      <c r="S1677" t="s">
        <v>3173</v>
      </c>
      <c r="T1677">
        <v>-1</v>
      </c>
      <c r="U1677" t="s">
        <v>8</v>
      </c>
      <c r="V1677" t="s">
        <v>8</v>
      </c>
      <c r="W1677" t="s">
        <v>4</v>
      </c>
      <c r="X1677" t="s">
        <v>3134</v>
      </c>
    </row>
    <row r="1678" spans="1:24" x14ac:dyDescent="0.25">
      <c r="A1678" t="s">
        <v>2880</v>
      </c>
      <c r="B1678" s="9">
        <v>45476</v>
      </c>
      <c r="C1678" t="s">
        <v>72</v>
      </c>
      <c r="D1678" t="s">
        <v>390</v>
      </c>
      <c r="E1678" t="s">
        <v>391</v>
      </c>
      <c r="F1678" t="s">
        <v>4</v>
      </c>
      <c r="G1678" t="s">
        <v>5</v>
      </c>
      <c r="H1678" s="8">
        <v>-85</v>
      </c>
      <c r="I1678" t="s">
        <v>3174</v>
      </c>
      <c r="J1678" t="s">
        <v>413</v>
      </c>
      <c r="K1678" t="s">
        <v>3169</v>
      </c>
      <c r="L1678" t="s">
        <v>3175</v>
      </c>
      <c r="M1678" t="s">
        <v>806</v>
      </c>
      <c r="N1678" t="s">
        <v>72</v>
      </c>
      <c r="O1678">
        <v>45460</v>
      </c>
      <c r="P1678" t="s">
        <v>3176</v>
      </c>
      <c r="Q1678">
        <v>45474</v>
      </c>
      <c r="R1678" t="s">
        <v>3172</v>
      </c>
      <c r="S1678" t="s">
        <v>3174</v>
      </c>
      <c r="T1678">
        <v>-1</v>
      </c>
      <c r="U1678" t="s">
        <v>8</v>
      </c>
      <c r="V1678" t="s">
        <v>8</v>
      </c>
      <c r="W1678" t="s">
        <v>4</v>
      </c>
      <c r="X1678" t="s">
        <v>3134</v>
      </c>
    </row>
    <row r="1679" spans="1:24" x14ac:dyDescent="0.25">
      <c r="A1679" t="s">
        <v>2880</v>
      </c>
      <c r="B1679" s="9">
        <v>45478</v>
      </c>
      <c r="C1679" t="s">
        <v>72</v>
      </c>
      <c r="D1679" t="s">
        <v>390</v>
      </c>
      <c r="E1679" t="s">
        <v>391</v>
      </c>
      <c r="F1679" t="s">
        <v>4</v>
      </c>
      <c r="G1679" t="s">
        <v>5</v>
      </c>
      <c r="H1679" s="8">
        <v>2547</v>
      </c>
      <c r="I1679" t="s">
        <v>3177</v>
      </c>
      <c r="J1679" t="s">
        <v>413</v>
      </c>
      <c r="K1679" t="s">
        <v>3178</v>
      </c>
      <c r="L1679" t="s">
        <v>3179</v>
      </c>
      <c r="M1679" t="s">
        <v>21</v>
      </c>
      <c r="N1679" t="s">
        <v>1</v>
      </c>
      <c r="O1679">
        <v>45463</v>
      </c>
      <c r="P1679" t="s">
        <v>3180</v>
      </c>
      <c r="Q1679">
        <v>45478</v>
      </c>
      <c r="R1679" t="s">
        <v>3181</v>
      </c>
      <c r="S1679" t="s">
        <v>2576</v>
      </c>
      <c r="T1679">
        <v>60</v>
      </c>
      <c r="U1679" t="s">
        <v>8</v>
      </c>
      <c r="V1679" t="s">
        <v>8</v>
      </c>
      <c r="W1679" t="s">
        <v>4</v>
      </c>
      <c r="X1679" t="s">
        <v>3134</v>
      </c>
    </row>
    <row r="1680" spans="1:24" x14ac:dyDescent="0.25">
      <c r="A1680" t="s">
        <v>2880</v>
      </c>
      <c r="B1680" s="9">
        <v>45478</v>
      </c>
      <c r="C1680" t="s">
        <v>72</v>
      </c>
      <c r="D1680" t="s">
        <v>390</v>
      </c>
      <c r="E1680" t="s">
        <v>391</v>
      </c>
      <c r="F1680" t="s">
        <v>4</v>
      </c>
      <c r="G1680" t="s">
        <v>5</v>
      </c>
      <c r="H1680" s="8">
        <v>977.92</v>
      </c>
      <c r="I1680" t="s">
        <v>3182</v>
      </c>
      <c r="J1680" t="s">
        <v>413</v>
      </c>
      <c r="K1680" t="s">
        <v>3169</v>
      </c>
      <c r="L1680" t="s">
        <v>3183</v>
      </c>
      <c r="M1680" t="s">
        <v>21</v>
      </c>
      <c r="N1680" t="s">
        <v>1</v>
      </c>
      <c r="O1680">
        <v>45460</v>
      </c>
      <c r="P1680" t="s">
        <v>3184</v>
      </c>
      <c r="Q1680">
        <v>45478</v>
      </c>
      <c r="R1680" t="s">
        <v>3172</v>
      </c>
      <c r="S1680" t="s">
        <v>2509</v>
      </c>
      <c r="T1680">
        <v>16</v>
      </c>
      <c r="U1680" t="s">
        <v>8</v>
      </c>
      <c r="V1680" t="s">
        <v>8</v>
      </c>
      <c r="W1680" t="s">
        <v>4</v>
      </c>
      <c r="X1680" t="s">
        <v>3134</v>
      </c>
    </row>
    <row r="1681" spans="1:24" x14ac:dyDescent="0.25">
      <c r="A1681" t="s">
        <v>2880</v>
      </c>
      <c r="B1681" s="9">
        <v>45478</v>
      </c>
      <c r="C1681" t="s">
        <v>72</v>
      </c>
      <c r="D1681" t="s">
        <v>390</v>
      </c>
      <c r="E1681" t="s">
        <v>391</v>
      </c>
      <c r="F1681" t="s">
        <v>4</v>
      </c>
      <c r="G1681" t="s">
        <v>5</v>
      </c>
      <c r="H1681" s="8">
        <v>492.3</v>
      </c>
      <c r="I1681" t="s">
        <v>3182</v>
      </c>
      <c r="J1681" t="s">
        <v>413</v>
      </c>
      <c r="K1681" t="s">
        <v>3169</v>
      </c>
      <c r="L1681" t="s">
        <v>3183</v>
      </c>
      <c r="M1681" t="s">
        <v>21</v>
      </c>
      <c r="N1681" t="s">
        <v>12</v>
      </c>
      <c r="O1681">
        <v>45460</v>
      </c>
      <c r="P1681" t="s">
        <v>3184</v>
      </c>
      <c r="Q1681">
        <v>45478</v>
      </c>
      <c r="R1681" t="s">
        <v>3172</v>
      </c>
      <c r="S1681" t="s">
        <v>2510</v>
      </c>
      <c r="T1681">
        <v>10</v>
      </c>
      <c r="U1681" t="s">
        <v>8</v>
      </c>
      <c r="V1681" t="s">
        <v>8</v>
      </c>
      <c r="W1681" t="s">
        <v>4</v>
      </c>
      <c r="X1681" t="s">
        <v>3134</v>
      </c>
    </row>
    <row r="1682" spans="1:24" x14ac:dyDescent="0.25">
      <c r="A1682" t="s">
        <v>2880</v>
      </c>
      <c r="B1682" s="9">
        <v>45478</v>
      </c>
      <c r="C1682" t="s">
        <v>72</v>
      </c>
      <c r="D1682" t="s">
        <v>390</v>
      </c>
      <c r="E1682" t="s">
        <v>391</v>
      </c>
      <c r="F1682" t="s">
        <v>4</v>
      </c>
      <c r="G1682" t="s">
        <v>5</v>
      </c>
      <c r="H1682" s="8">
        <v>2323.9699999999998</v>
      </c>
      <c r="I1682" t="s">
        <v>3182</v>
      </c>
      <c r="J1682" t="s">
        <v>413</v>
      </c>
      <c r="K1682" t="s">
        <v>3169</v>
      </c>
      <c r="L1682" t="s">
        <v>3183</v>
      </c>
      <c r="M1682" t="s">
        <v>21</v>
      </c>
      <c r="N1682" t="s">
        <v>17</v>
      </c>
      <c r="O1682">
        <v>45460</v>
      </c>
      <c r="P1682" t="s">
        <v>3184</v>
      </c>
      <c r="Q1682">
        <v>45478</v>
      </c>
      <c r="R1682" t="s">
        <v>3172</v>
      </c>
      <c r="S1682" t="s">
        <v>2502</v>
      </c>
      <c r="T1682">
        <v>37</v>
      </c>
      <c r="U1682" t="s">
        <v>8</v>
      </c>
      <c r="V1682" t="s">
        <v>8</v>
      </c>
      <c r="W1682" t="s">
        <v>4</v>
      </c>
      <c r="X1682" t="s">
        <v>3134</v>
      </c>
    </row>
    <row r="1683" spans="1:24" x14ac:dyDescent="0.25">
      <c r="A1683" t="s">
        <v>2880</v>
      </c>
      <c r="B1683" s="9">
        <v>45478</v>
      </c>
      <c r="C1683" t="s">
        <v>72</v>
      </c>
      <c r="D1683" t="s">
        <v>390</v>
      </c>
      <c r="E1683" t="s">
        <v>391</v>
      </c>
      <c r="F1683" t="s">
        <v>4</v>
      </c>
      <c r="G1683" t="s">
        <v>5</v>
      </c>
      <c r="H1683" s="8">
        <v>1018.6</v>
      </c>
      <c r="I1683" t="s">
        <v>3182</v>
      </c>
      <c r="J1683" t="s">
        <v>413</v>
      </c>
      <c r="K1683" t="s">
        <v>3169</v>
      </c>
      <c r="L1683" t="s">
        <v>3183</v>
      </c>
      <c r="M1683" t="s">
        <v>21</v>
      </c>
      <c r="N1683" t="s">
        <v>43</v>
      </c>
      <c r="O1683">
        <v>45460</v>
      </c>
      <c r="P1683" t="s">
        <v>3184</v>
      </c>
      <c r="Q1683">
        <v>45478</v>
      </c>
      <c r="R1683" t="s">
        <v>3172</v>
      </c>
      <c r="S1683" t="s">
        <v>2503</v>
      </c>
      <c r="T1683">
        <v>10</v>
      </c>
      <c r="U1683" t="s">
        <v>8</v>
      </c>
      <c r="V1683" t="s">
        <v>8</v>
      </c>
      <c r="W1683" t="s">
        <v>4</v>
      </c>
      <c r="X1683" t="s">
        <v>3134</v>
      </c>
    </row>
    <row r="1684" spans="1:24" x14ac:dyDescent="0.25">
      <c r="A1684" t="s">
        <v>2880</v>
      </c>
      <c r="B1684" s="9">
        <v>45478</v>
      </c>
      <c r="C1684" t="s">
        <v>72</v>
      </c>
      <c r="D1684" t="s">
        <v>390</v>
      </c>
      <c r="E1684" t="s">
        <v>391</v>
      </c>
      <c r="F1684" t="s">
        <v>4</v>
      </c>
      <c r="G1684" t="s">
        <v>5</v>
      </c>
      <c r="H1684" s="8">
        <v>458.38</v>
      </c>
      <c r="I1684" t="s">
        <v>3182</v>
      </c>
      <c r="J1684" t="s">
        <v>413</v>
      </c>
      <c r="K1684" t="s">
        <v>3169</v>
      </c>
      <c r="L1684" t="s">
        <v>3183</v>
      </c>
      <c r="M1684" t="s">
        <v>21</v>
      </c>
      <c r="N1684" t="s">
        <v>77</v>
      </c>
      <c r="O1684">
        <v>45460</v>
      </c>
      <c r="P1684" t="s">
        <v>3184</v>
      </c>
      <c r="Q1684">
        <v>45478</v>
      </c>
      <c r="R1684" t="s">
        <v>3172</v>
      </c>
      <c r="S1684" t="s">
        <v>2578</v>
      </c>
      <c r="T1684">
        <v>1</v>
      </c>
      <c r="U1684" t="s">
        <v>8</v>
      </c>
      <c r="V1684" t="s">
        <v>8</v>
      </c>
      <c r="W1684" t="s">
        <v>4</v>
      </c>
      <c r="X1684" t="s">
        <v>3134</v>
      </c>
    </row>
    <row r="1685" spans="1:24" x14ac:dyDescent="0.25">
      <c r="A1685" t="s">
        <v>2880</v>
      </c>
      <c r="B1685" s="9">
        <v>45478</v>
      </c>
      <c r="C1685" t="s">
        <v>72</v>
      </c>
      <c r="D1685" t="s">
        <v>390</v>
      </c>
      <c r="E1685" t="s">
        <v>391</v>
      </c>
      <c r="F1685" t="s">
        <v>4</v>
      </c>
      <c r="G1685" t="s">
        <v>5</v>
      </c>
      <c r="H1685" s="8">
        <v>80</v>
      </c>
      <c r="I1685" t="s">
        <v>3182</v>
      </c>
      <c r="J1685" t="s">
        <v>413</v>
      </c>
      <c r="K1685" t="s">
        <v>3169</v>
      </c>
      <c r="L1685" t="s">
        <v>3183</v>
      </c>
      <c r="M1685" t="s">
        <v>21</v>
      </c>
      <c r="N1685" t="s">
        <v>22</v>
      </c>
      <c r="O1685">
        <v>45460</v>
      </c>
      <c r="P1685" t="s">
        <v>3184</v>
      </c>
      <c r="Q1685">
        <v>45478</v>
      </c>
      <c r="R1685" t="s">
        <v>3172</v>
      </c>
      <c r="S1685" t="s">
        <v>3173</v>
      </c>
      <c r="T1685">
        <v>1</v>
      </c>
      <c r="U1685" t="s">
        <v>8</v>
      </c>
      <c r="V1685" t="s">
        <v>8</v>
      </c>
      <c r="W1685" t="s">
        <v>4</v>
      </c>
      <c r="X1685" t="s">
        <v>3134</v>
      </c>
    </row>
    <row r="1686" spans="1:24" x14ac:dyDescent="0.25">
      <c r="A1686" t="s">
        <v>2880</v>
      </c>
      <c r="B1686" s="9">
        <v>45478</v>
      </c>
      <c r="C1686" t="s">
        <v>72</v>
      </c>
      <c r="D1686" t="s">
        <v>390</v>
      </c>
      <c r="E1686" t="s">
        <v>391</v>
      </c>
      <c r="F1686" t="s">
        <v>4</v>
      </c>
      <c r="G1686" t="s">
        <v>5</v>
      </c>
      <c r="H1686" s="8">
        <v>85</v>
      </c>
      <c r="I1686" t="s">
        <v>3182</v>
      </c>
      <c r="J1686" t="s">
        <v>413</v>
      </c>
      <c r="K1686" t="s">
        <v>3169</v>
      </c>
      <c r="L1686" t="s">
        <v>3183</v>
      </c>
      <c r="M1686" t="s">
        <v>21</v>
      </c>
      <c r="N1686" t="s">
        <v>72</v>
      </c>
      <c r="O1686">
        <v>45460</v>
      </c>
      <c r="P1686" t="s">
        <v>3184</v>
      </c>
      <c r="Q1686">
        <v>45478</v>
      </c>
      <c r="R1686" t="s">
        <v>3172</v>
      </c>
      <c r="S1686" t="s">
        <v>3174</v>
      </c>
      <c r="T1686">
        <v>1</v>
      </c>
      <c r="U1686" t="s">
        <v>8</v>
      </c>
      <c r="V1686" t="s">
        <v>8</v>
      </c>
      <c r="W1686" t="s">
        <v>4</v>
      </c>
      <c r="X1686" t="s">
        <v>3134</v>
      </c>
    </row>
    <row r="1687" spans="1:24" x14ac:dyDescent="0.25">
      <c r="A1687" t="s">
        <v>2880</v>
      </c>
      <c r="B1687" s="9">
        <v>45482</v>
      </c>
      <c r="C1687" t="s">
        <v>72</v>
      </c>
      <c r="D1687" t="s">
        <v>390</v>
      </c>
      <c r="E1687" t="s">
        <v>391</v>
      </c>
      <c r="F1687" t="s">
        <v>4</v>
      </c>
      <c r="G1687" t="s">
        <v>5</v>
      </c>
      <c r="H1687" s="8">
        <v>-977.92</v>
      </c>
      <c r="I1687" t="s">
        <v>2509</v>
      </c>
      <c r="J1687" t="s">
        <v>413</v>
      </c>
      <c r="K1687" t="s">
        <v>3169</v>
      </c>
      <c r="L1687" t="s">
        <v>3185</v>
      </c>
      <c r="M1687" t="s">
        <v>21</v>
      </c>
      <c r="N1687" t="s">
        <v>1</v>
      </c>
      <c r="O1687">
        <v>45460</v>
      </c>
      <c r="P1687" t="s">
        <v>3186</v>
      </c>
      <c r="Q1687">
        <v>45478</v>
      </c>
      <c r="R1687" t="s">
        <v>3172</v>
      </c>
      <c r="S1687" t="s">
        <v>2509</v>
      </c>
      <c r="T1687">
        <v>-16</v>
      </c>
      <c r="U1687" t="s">
        <v>8</v>
      </c>
      <c r="V1687" t="s">
        <v>8</v>
      </c>
      <c r="W1687" t="s">
        <v>4</v>
      </c>
      <c r="X1687" t="s">
        <v>3134</v>
      </c>
    </row>
    <row r="1688" spans="1:24" x14ac:dyDescent="0.25">
      <c r="A1688" t="s">
        <v>2880</v>
      </c>
      <c r="B1688" s="9">
        <v>45482</v>
      </c>
      <c r="C1688" t="s">
        <v>72</v>
      </c>
      <c r="D1688" t="s">
        <v>390</v>
      </c>
      <c r="E1688" t="s">
        <v>391</v>
      </c>
      <c r="F1688" t="s">
        <v>4</v>
      </c>
      <c r="G1688" t="s">
        <v>5</v>
      </c>
      <c r="H1688" s="8">
        <v>-492.3</v>
      </c>
      <c r="I1688" t="s">
        <v>2510</v>
      </c>
      <c r="J1688" t="s">
        <v>413</v>
      </c>
      <c r="K1688" t="s">
        <v>3169</v>
      </c>
      <c r="L1688" t="s">
        <v>3185</v>
      </c>
      <c r="M1688" t="s">
        <v>21</v>
      </c>
      <c r="N1688" t="s">
        <v>12</v>
      </c>
      <c r="O1688">
        <v>45460</v>
      </c>
      <c r="P1688" t="s">
        <v>3186</v>
      </c>
      <c r="Q1688">
        <v>45478</v>
      </c>
      <c r="R1688" t="s">
        <v>3172</v>
      </c>
      <c r="S1688" t="s">
        <v>2510</v>
      </c>
      <c r="T1688">
        <v>-10</v>
      </c>
      <c r="U1688" t="s">
        <v>8</v>
      </c>
      <c r="V1688" t="s">
        <v>8</v>
      </c>
      <c r="W1688" t="s">
        <v>4</v>
      </c>
      <c r="X1688" t="s">
        <v>3134</v>
      </c>
    </row>
    <row r="1689" spans="1:24" x14ac:dyDescent="0.25">
      <c r="A1689" t="s">
        <v>2880</v>
      </c>
      <c r="B1689" s="9">
        <v>45482</v>
      </c>
      <c r="C1689" t="s">
        <v>72</v>
      </c>
      <c r="D1689" t="s">
        <v>390</v>
      </c>
      <c r="E1689" t="s">
        <v>391</v>
      </c>
      <c r="F1689" t="s">
        <v>4</v>
      </c>
      <c r="G1689" t="s">
        <v>5</v>
      </c>
      <c r="H1689" s="8">
        <v>-2323.9699999999998</v>
      </c>
      <c r="I1689" t="s">
        <v>2502</v>
      </c>
      <c r="J1689" t="s">
        <v>413</v>
      </c>
      <c r="K1689" t="s">
        <v>3169</v>
      </c>
      <c r="L1689" t="s">
        <v>3185</v>
      </c>
      <c r="M1689" t="s">
        <v>21</v>
      </c>
      <c r="N1689" t="s">
        <v>17</v>
      </c>
      <c r="O1689">
        <v>45460</v>
      </c>
      <c r="P1689" t="s">
        <v>3186</v>
      </c>
      <c r="Q1689">
        <v>45478</v>
      </c>
      <c r="R1689" t="s">
        <v>3172</v>
      </c>
      <c r="S1689" t="s">
        <v>2502</v>
      </c>
      <c r="T1689">
        <v>-37</v>
      </c>
      <c r="U1689" t="s">
        <v>8</v>
      </c>
      <c r="V1689" t="s">
        <v>8</v>
      </c>
      <c r="W1689" t="s">
        <v>4</v>
      </c>
      <c r="X1689" t="s">
        <v>3134</v>
      </c>
    </row>
    <row r="1690" spans="1:24" x14ac:dyDescent="0.25">
      <c r="A1690" t="s">
        <v>2880</v>
      </c>
      <c r="B1690" s="9">
        <v>45482</v>
      </c>
      <c r="C1690" t="s">
        <v>72</v>
      </c>
      <c r="D1690" t="s">
        <v>390</v>
      </c>
      <c r="E1690" t="s">
        <v>391</v>
      </c>
      <c r="F1690" t="s">
        <v>4</v>
      </c>
      <c r="G1690" t="s">
        <v>5</v>
      </c>
      <c r="H1690" s="8">
        <v>-1018.6</v>
      </c>
      <c r="I1690" t="s">
        <v>2503</v>
      </c>
      <c r="J1690" t="s">
        <v>413</v>
      </c>
      <c r="K1690" t="s">
        <v>3169</v>
      </c>
      <c r="L1690" t="s">
        <v>3185</v>
      </c>
      <c r="M1690" t="s">
        <v>21</v>
      </c>
      <c r="N1690" t="s">
        <v>43</v>
      </c>
      <c r="O1690">
        <v>45460</v>
      </c>
      <c r="P1690" t="s">
        <v>3186</v>
      </c>
      <c r="Q1690">
        <v>45478</v>
      </c>
      <c r="R1690" t="s">
        <v>3172</v>
      </c>
      <c r="S1690" t="s">
        <v>2503</v>
      </c>
      <c r="T1690">
        <v>-10</v>
      </c>
      <c r="U1690" t="s">
        <v>8</v>
      </c>
      <c r="V1690" t="s">
        <v>8</v>
      </c>
      <c r="W1690" t="s">
        <v>4</v>
      </c>
      <c r="X1690" t="s">
        <v>3134</v>
      </c>
    </row>
    <row r="1691" spans="1:24" x14ac:dyDescent="0.25">
      <c r="A1691" t="s">
        <v>2880</v>
      </c>
      <c r="B1691" s="9">
        <v>45482</v>
      </c>
      <c r="C1691" t="s">
        <v>72</v>
      </c>
      <c r="D1691" t="s">
        <v>390</v>
      </c>
      <c r="E1691" t="s">
        <v>391</v>
      </c>
      <c r="F1691" t="s">
        <v>4</v>
      </c>
      <c r="G1691" t="s">
        <v>5</v>
      </c>
      <c r="H1691" s="8">
        <v>-458.38</v>
      </c>
      <c r="I1691" t="s">
        <v>2578</v>
      </c>
      <c r="J1691" t="s">
        <v>413</v>
      </c>
      <c r="K1691" t="s">
        <v>3169</v>
      </c>
      <c r="L1691" t="s">
        <v>3185</v>
      </c>
      <c r="M1691" t="s">
        <v>21</v>
      </c>
      <c r="N1691" t="s">
        <v>77</v>
      </c>
      <c r="O1691">
        <v>45460</v>
      </c>
      <c r="P1691" t="s">
        <v>3186</v>
      </c>
      <c r="Q1691">
        <v>45478</v>
      </c>
      <c r="R1691" t="s">
        <v>3172</v>
      </c>
      <c r="S1691" t="s">
        <v>2578</v>
      </c>
      <c r="T1691">
        <v>-1</v>
      </c>
      <c r="U1691" t="s">
        <v>8</v>
      </c>
      <c r="V1691" t="s">
        <v>8</v>
      </c>
      <c r="W1691" t="s">
        <v>4</v>
      </c>
      <c r="X1691" t="s">
        <v>3134</v>
      </c>
    </row>
    <row r="1692" spans="1:24" x14ac:dyDescent="0.25">
      <c r="A1692" t="s">
        <v>2880</v>
      </c>
      <c r="B1692" s="9">
        <v>45482</v>
      </c>
      <c r="C1692" t="s">
        <v>72</v>
      </c>
      <c r="D1692" t="s">
        <v>390</v>
      </c>
      <c r="E1692" t="s">
        <v>391</v>
      </c>
      <c r="F1692" t="s">
        <v>4</v>
      </c>
      <c r="G1692" t="s">
        <v>5</v>
      </c>
      <c r="H1692" s="8">
        <v>-80</v>
      </c>
      <c r="I1692" t="s">
        <v>3173</v>
      </c>
      <c r="J1692" t="s">
        <v>413</v>
      </c>
      <c r="K1692" t="s">
        <v>3169</v>
      </c>
      <c r="L1692" t="s">
        <v>3185</v>
      </c>
      <c r="M1692" t="s">
        <v>21</v>
      </c>
      <c r="N1692" t="s">
        <v>22</v>
      </c>
      <c r="O1692">
        <v>45460</v>
      </c>
      <c r="P1692" t="s">
        <v>3186</v>
      </c>
      <c r="Q1692">
        <v>45478</v>
      </c>
      <c r="R1692" t="s">
        <v>3172</v>
      </c>
      <c r="S1692" t="s">
        <v>3173</v>
      </c>
      <c r="T1692">
        <v>-1</v>
      </c>
      <c r="U1692" t="s">
        <v>8</v>
      </c>
      <c r="V1692" t="s">
        <v>8</v>
      </c>
      <c r="W1692" t="s">
        <v>4</v>
      </c>
      <c r="X1692" t="s">
        <v>3134</v>
      </c>
    </row>
    <row r="1693" spans="1:24" x14ac:dyDescent="0.25">
      <c r="A1693" t="s">
        <v>2880</v>
      </c>
      <c r="B1693" s="9">
        <v>45482</v>
      </c>
      <c r="C1693" t="s">
        <v>72</v>
      </c>
      <c r="D1693" t="s">
        <v>390</v>
      </c>
      <c r="E1693" t="s">
        <v>391</v>
      </c>
      <c r="F1693" t="s">
        <v>4</v>
      </c>
      <c r="G1693" t="s">
        <v>5</v>
      </c>
      <c r="H1693" s="8">
        <v>-85</v>
      </c>
      <c r="I1693" t="s">
        <v>3174</v>
      </c>
      <c r="J1693" t="s">
        <v>413</v>
      </c>
      <c r="K1693" t="s">
        <v>3169</v>
      </c>
      <c r="L1693" t="s">
        <v>3185</v>
      </c>
      <c r="M1693" t="s">
        <v>21</v>
      </c>
      <c r="N1693" t="s">
        <v>72</v>
      </c>
      <c r="O1693">
        <v>45460</v>
      </c>
      <c r="P1693" t="s">
        <v>3186</v>
      </c>
      <c r="Q1693">
        <v>45478</v>
      </c>
      <c r="R1693" t="s">
        <v>3172</v>
      </c>
      <c r="S1693" t="s">
        <v>3174</v>
      </c>
      <c r="T1693">
        <v>-1</v>
      </c>
      <c r="U1693" t="s">
        <v>8</v>
      </c>
      <c r="V1693" t="s">
        <v>8</v>
      </c>
      <c r="W1693" t="s">
        <v>4</v>
      </c>
      <c r="X1693" t="s">
        <v>3134</v>
      </c>
    </row>
    <row r="1694" spans="1:24" x14ac:dyDescent="0.25">
      <c r="A1694" t="s">
        <v>2880</v>
      </c>
      <c r="B1694" s="9">
        <v>45482</v>
      </c>
      <c r="C1694" t="s">
        <v>72</v>
      </c>
      <c r="D1694" t="s">
        <v>390</v>
      </c>
      <c r="E1694" t="s">
        <v>391</v>
      </c>
      <c r="F1694" t="s">
        <v>4</v>
      </c>
      <c r="G1694" t="s">
        <v>5</v>
      </c>
      <c r="H1694" s="8">
        <v>977.92</v>
      </c>
      <c r="I1694" t="s">
        <v>3168</v>
      </c>
      <c r="J1694" t="s">
        <v>413</v>
      </c>
      <c r="K1694" t="s">
        <v>3169</v>
      </c>
      <c r="L1694" t="s">
        <v>3187</v>
      </c>
      <c r="M1694" t="s">
        <v>21</v>
      </c>
      <c r="N1694" t="s">
        <v>1</v>
      </c>
      <c r="O1694">
        <v>45460</v>
      </c>
      <c r="P1694" t="s">
        <v>3188</v>
      </c>
      <c r="Q1694">
        <v>45482</v>
      </c>
      <c r="R1694" t="s">
        <v>3172</v>
      </c>
      <c r="S1694" t="s">
        <v>2509</v>
      </c>
      <c r="T1694">
        <v>16</v>
      </c>
      <c r="U1694" t="s">
        <v>8</v>
      </c>
      <c r="V1694" t="s">
        <v>8</v>
      </c>
      <c r="W1694" t="s">
        <v>4</v>
      </c>
      <c r="X1694" t="s">
        <v>3134</v>
      </c>
    </row>
    <row r="1695" spans="1:24" x14ac:dyDescent="0.25">
      <c r="A1695" t="s">
        <v>2880</v>
      </c>
      <c r="B1695" s="9">
        <v>45482</v>
      </c>
      <c r="C1695" t="s">
        <v>72</v>
      </c>
      <c r="D1695" t="s">
        <v>390</v>
      </c>
      <c r="E1695" t="s">
        <v>391</v>
      </c>
      <c r="F1695" t="s">
        <v>4</v>
      </c>
      <c r="G1695" t="s">
        <v>5</v>
      </c>
      <c r="H1695" s="8">
        <v>492.3</v>
      </c>
      <c r="I1695" t="s">
        <v>3168</v>
      </c>
      <c r="J1695" t="s">
        <v>413</v>
      </c>
      <c r="K1695" t="s">
        <v>3169</v>
      </c>
      <c r="L1695" t="s">
        <v>3187</v>
      </c>
      <c r="M1695" t="s">
        <v>21</v>
      </c>
      <c r="N1695" t="s">
        <v>12</v>
      </c>
      <c r="O1695">
        <v>45460</v>
      </c>
      <c r="P1695" t="s">
        <v>3188</v>
      </c>
      <c r="Q1695">
        <v>45482</v>
      </c>
      <c r="R1695" t="s">
        <v>3172</v>
      </c>
      <c r="S1695" t="s">
        <v>2510</v>
      </c>
      <c r="T1695">
        <v>10</v>
      </c>
      <c r="U1695" t="s">
        <v>8</v>
      </c>
      <c r="V1695" t="s">
        <v>8</v>
      </c>
      <c r="W1695" t="s">
        <v>4</v>
      </c>
      <c r="X1695" t="s">
        <v>3134</v>
      </c>
    </row>
    <row r="1696" spans="1:24" x14ac:dyDescent="0.25">
      <c r="A1696" t="s">
        <v>2880</v>
      </c>
      <c r="B1696" s="9">
        <v>45482</v>
      </c>
      <c r="C1696" t="s">
        <v>72</v>
      </c>
      <c r="D1696" t="s">
        <v>390</v>
      </c>
      <c r="E1696" t="s">
        <v>391</v>
      </c>
      <c r="F1696" t="s">
        <v>4</v>
      </c>
      <c r="G1696" t="s">
        <v>5</v>
      </c>
      <c r="H1696" s="8">
        <v>2323.9699999999998</v>
      </c>
      <c r="I1696" t="s">
        <v>3168</v>
      </c>
      <c r="J1696" t="s">
        <v>413</v>
      </c>
      <c r="K1696" t="s">
        <v>3169</v>
      </c>
      <c r="L1696" t="s">
        <v>3187</v>
      </c>
      <c r="M1696" t="s">
        <v>21</v>
      </c>
      <c r="N1696" t="s">
        <v>17</v>
      </c>
      <c r="O1696">
        <v>45460</v>
      </c>
      <c r="P1696" t="s">
        <v>3188</v>
      </c>
      <c r="Q1696">
        <v>45482</v>
      </c>
      <c r="R1696" t="s">
        <v>3172</v>
      </c>
      <c r="S1696" t="s">
        <v>2502</v>
      </c>
      <c r="T1696">
        <v>37</v>
      </c>
      <c r="U1696" t="s">
        <v>8</v>
      </c>
      <c r="V1696" t="s">
        <v>8</v>
      </c>
      <c r="W1696" t="s">
        <v>4</v>
      </c>
      <c r="X1696" t="s">
        <v>3134</v>
      </c>
    </row>
    <row r="1697" spans="1:24" x14ac:dyDescent="0.25">
      <c r="A1697" t="s">
        <v>2880</v>
      </c>
      <c r="B1697" s="9">
        <v>45482</v>
      </c>
      <c r="C1697" t="s">
        <v>72</v>
      </c>
      <c r="D1697" t="s">
        <v>390</v>
      </c>
      <c r="E1697" t="s">
        <v>391</v>
      </c>
      <c r="F1697" t="s">
        <v>4</v>
      </c>
      <c r="G1697" t="s">
        <v>5</v>
      </c>
      <c r="H1697" s="8">
        <v>1018.6</v>
      </c>
      <c r="I1697" t="s">
        <v>3168</v>
      </c>
      <c r="J1697" t="s">
        <v>413</v>
      </c>
      <c r="K1697" t="s">
        <v>3169</v>
      </c>
      <c r="L1697" t="s">
        <v>3187</v>
      </c>
      <c r="M1697" t="s">
        <v>21</v>
      </c>
      <c r="N1697" t="s">
        <v>43</v>
      </c>
      <c r="O1697">
        <v>45460</v>
      </c>
      <c r="P1697" t="s">
        <v>3188</v>
      </c>
      <c r="Q1697">
        <v>45482</v>
      </c>
      <c r="R1697" t="s">
        <v>3172</v>
      </c>
      <c r="S1697" t="s">
        <v>2503</v>
      </c>
      <c r="T1697">
        <v>10</v>
      </c>
      <c r="U1697" t="s">
        <v>8</v>
      </c>
      <c r="V1697" t="s">
        <v>8</v>
      </c>
      <c r="W1697" t="s">
        <v>4</v>
      </c>
      <c r="X1697" t="s">
        <v>3134</v>
      </c>
    </row>
    <row r="1698" spans="1:24" x14ac:dyDescent="0.25">
      <c r="A1698" t="s">
        <v>2880</v>
      </c>
      <c r="B1698" s="9">
        <v>45482</v>
      </c>
      <c r="C1698" t="s">
        <v>72</v>
      </c>
      <c r="D1698" t="s">
        <v>390</v>
      </c>
      <c r="E1698" t="s">
        <v>391</v>
      </c>
      <c r="F1698" t="s">
        <v>4</v>
      </c>
      <c r="G1698" t="s">
        <v>5</v>
      </c>
      <c r="H1698" s="8">
        <v>458.38</v>
      </c>
      <c r="I1698" t="s">
        <v>3168</v>
      </c>
      <c r="J1698" t="s">
        <v>413</v>
      </c>
      <c r="K1698" t="s">
        <v>3169</v>
      </c>
      <c r="L1698" t="s">
        <v>3187</v>
      </c>
      <c r="M1698" t="s">
        <v>21</v>
      </c>
      <c r="N1698" t="s">
        <v>77</v>
      </c>
      <c r="O1698">
        <v>45460</v>
      </c>
      <c r="P1698" t="s">
        <v>3188</v>
      </c>
      <c r="Q1698">
        <v>45482</v>
      </c>
      <c r="R1698" t="s">
        <v>3172</v>
      </c>
      <c r="S1698" t="s">
        <v>2578</v>
      </c>
      <c r="T1698">
        <v>1</v>
      </c>
      <c r="U1698" t="s">
        <v>8</v>
      </c>
      <c r="V1698" t="s">
        <v>8</v>
      </c>
      <c r="W1698" t="s">
        <v>4</v>
      </c>
      <c r="X1698" t="s">
        <v>3134</v>
      </c>
    </row>
    <row r="1699" spans="1:24" x14ac:dyDescent="0.25">
      <c r="A1699" t="s">
        <v>2880</v>
      </c>
      <c r="B1699" s="9">
        <v>45482</v>
      </c>
      <c r="C1699" t="s">
        <v>72</v>
      </c>
      <c r="D1699" t="s">
        <v>390</v>
      </c>
      <c r="E1699" t="s">
        <v>391</v>
      </c>
      <c r="F1699" t="s">
        <v>4</v>
      </c>
      <c r="G1699" t="s">
        <v>5</v>
      </c>
      <c r="H1699" s="8">
        <v>80</v>
      </c>
      <c r="I1699" t="s">
        <v>3168</v>
      </c>
      <c r="J1699" t="s">
        <v>413</v>
      </c>
      <c r="K1699" t="s">
        <v>3169</v>
      </c>
      <c r="L1699" t="s">
        <v>3187</v>
      </c>
      <c r="M1699" t="s">
        <v>21</v>
      </c>
      <c r="N1699" t="s">
        <v>22</v>
      </c>
      <c r="O1699">
        <v>45460</v>
      </c>
      <c r="P1699" t="s">
        <v>3188</v>
      </c>
      <c r="Q1699">
        <v>45482</v>
      </c>
      <c r="R1699" t="s">
        <v>3172</v>
      </c>
      <c r="S1699" t="s">
        <v>3173</v>
      </c>
      <c r="T1699">
        <v>1</v>
      </c>
      <c r="U1699" t="s">
        <v>8</v>
      </c>
      <c r="V1699" t="s">
        <v>8</v>
      </c>
      <c r="W1699" t="s">
        <v>4</v>
      </c>
      <c r="X1699" t="s">
        <v>3134</v>
      </c>
    </row>
    <row r="1700" spans="1:24" x14ac:dyDescent="0.25">
      <c r="A1700" t="s">
        <v>2880</v>
      </c>
      <c r="B1700" s="9">
        <v>45482</v>
      </c>
      <c r="C1700" t="s">
        <v>72</v>
      </c>
      <c r="D1700" t="s">
        <v>390</v>
      </c>
      <c r="E1700" t="s">
        <v>391</v>
      </c>
      <c r="F1700" t="s">
        <v>4</v>
      </c>
      <c r="G1700" t="s">
        <v>5</v>
      </c>
      <c r="H1700" s="8">
        <v>85</v>
      </c>
      <c r="I1700" t="s">
        <v>3168</v>
      </c>
      <c r="J1700" t="s">
        <v>413</v>
      </c>
      <c r="K1700" t="s">
        <v>3169</v>
      </c>
      <c r="L1700" t="s">
        <v>3187</v>
      </c>
      <c r="M1700" t="s">
        <v>21</v>
      </c>
      <c r="N1700" t="s">
        <v>72</v>
      </c>
      <c r="O1700">
        <v>45460</v>
      </c>
      <c r="P1700" t="s">
        <v>3188</v>
      </c>
      <c r="Q1700">
        <v>45482</v>
      </c>
      <c r="R1700" t="s">
        <v>3172</v>
      </c>
      <c r="S1700" t="s">
        <v>3174</v>
      </c>
      <c r="T1700">
        <v>1</v>
      </c>
      <c r="U1700" t="s">
        <v>8</v>
      </c>
      <c r="V1700" t="s">
        <v>8</v>
      </c>
      <c r="W1700" t="s">
        <v>4</v>
      </c>
      <c r="X1700" t="s">
        <v>3134</v>
      </c>
    </row>
    <row r="1701" spans="1:24" x14ac:dyDescent="0.25">
      <c r="A1701" t="s">
        <v>2880</v>
      </c>
      <c r="B1701" s="9">
        <v>45489</v>
      </c>
      <c r="C1701" t="s">
        <v>72</v>
      </c>
      <c r="D1701" t="s">
        <v>390</v>
      </c>
      <c r="E1701" t="s">
        <v>391</v>
      </c>
      <c r="F1701" t="s">
        <v>4</v>
      </c>
      <c r="G1701" t="s">
        <v>5</v>
      </c>
      <c r="H1701" s="8">
        <v>11035</v>
      </c>
      <c r="I1701" t="s">
        <v>3189</v>
      </c>
      <c r="J1701" t="s">
        <v>413</v>
      </c>
      <c r="K1701" t="s">
        <v>3190</v>
      </c>
      <c r="L1701" t="s">
        <v>3191</v>
      </c>
      <c r="M1701" t="s">
        <v>2493</v>
      </c>
      <c r="N1701" t="s">
        <v>1</v>
      </c>
      <c r="O1701">
        <v>45475</v>
      </c>
      <c r="P1701" t="s">
        <v>3192</v>
      </c>
      <c r="Q1701">
        <v>45489</v>
      </c>
      <c r="R1701" t="s">
        <v>3193</v>
      </c>
      <c r="S1701" t="s">
        <v>2496</v>
      </c>
      <c r="T1701">
        <v>1</v>
      </c>
      <c r="U1701" t="s">
        <v>8</v>
      </c>
      <c r="V1701" t="s">
        <v>8</v>
      </c>
      <c r="W1701" t="s">
        <v>4</v>
      </c>
      <c r="X1701" t="s">
        <v>3134</v>
      </c>
    </row>
    <row r="1702" spans="1:24" x14ac:dyDescent="0.25">
      <c r="A1702" t="s">
        <v>2880</v>
      </c>
      <c r="B1702" s="9">
        <v>45498</v>
      </c>
      <c r="C1702" t="s">
        <v>72</v>
      </c>
      <c r="D1702" t="s">
        <v>1045</v>
      </c>
      <c r="E1702" t="s">
        <v>1046</v>
      </c>
      <c r="F1702" t="s">
        <v>4</v>
      </c>
      <c r="G1702" t="s">
        <v>5</v>
      </c>
      <c r="H1702" s="8">
        <v>4862.3999999999996</v>
      </c>
      <c r="I1702" t="s">
        <v>3194</v>
      </c>
      <c r="J1702" t="s">
        <v>413</v>
      </c>
      <c r="K1702" t="s">
        <v>8</v>
      </c>
      <c r="L1702" t="s">
        <v>3195</v>
      </c>
      <c r="M1702" t="s">
        <v>11</v>
      </c>
      <c r="N1702" t="s">
        <v>1</v>
      </c>
      <c r="O1702">
        <v>45483</v>
      </c>
      <c r="P1702" t="s">
        <v>3196</v>
      </c>
      <c r="Q1702">
        <v>45498</v>
      </c>
      <c r="R1702" t="s">
        <v>3197</v>
      </c>
      <c r="S1702" t="s">
        <v>8</v>
      </c>
      <c r="T1702">
        <v>0</v>
      </c>
      <c r="U1702" t="s">
        <v>8</v>
      </c>
      <c r="V1702" t="s">
        <v>8</v>
      </c>
      <c r="W1702" t="s">
        <v>4</v>
      </c>
      <c r="X1702" t="s">
        <v>1046</v>
      </c>
    </row>
    <row r="1703" spans="1:24" x14ac:dyDescent="0.25">
      <c r="A1703" t="s">
        <v>2880</v>
      </c>
      <c r="B1703" s="9">
        <v>45524</v>
      </c>
      <c r="C1703" t="s">
        <v>82</v>
      </c>
      <c r="D1703" t="s">
        <v>410</v>
      </c>
      <c r="E1703" t="s">
        <v>411</v>
      </c>
      <c r="F1703" t="s">
        <v>4</v>
      </c>
      <c r="G1703" t="s">
        <v>5</v>
      </c>
      <c r="H1703" s="21">
        <v>11035</v>
      </c>
      <c r="I1703" t="s">
        <v>3223</v>
      </c>
      <c r="J1703" t="s">
        <v>413</v>
      </c>
      <c r="K1703" t="s">
        <v>3224</v>
      </c>
      <c r="L1703" t="s">
        <v>3225</v>
      </c>
      <c r="M1703" t="s">
        <v>21</v>
      </c>
      <c r="N1703" t="s">
        <v>1</v>
      </c>
      <c r="O1703">
        <v>45506</v>
      </c>
      <c r="P1703" t="s">
        <v>3226</v>
      </c>
      <c r="Q1703">
        <v>45524</v>
      </c>
      <c r="R1703" t="s">
        <v>3227</v>
      </c>
      <c r="S1703" t="s">
        <v>2496</v>
      </c>
      <c r="T1703">
        <v>1</v>
      </c>
      <c r="U1703" t="s">
        <v>8</v>
      </c>
      <c r="V1703" t="s">
        <v>8</v>
      </c>
      <c r="W1703" t="s">
        <v>4</v>
      </c>
      <c r="X1703" t="s">
        <v>3228</v>
      </c>
    </row>
    <row r="1704" spans="1:24" x14ac:dyDescent="0.25">
      <c r="A1704" t="s">
        <v>2880</v>
      </c>
      <c r="B1704" s="9">
        <v>45544</v>
      </c>
      <c r="C1704" t="s">
        <v>87</v>
      </c>
      <c r="D1704" t="s">
        <v>3251</v>
      </c>
      <c r="E1704" t="s">
        <v>3252</v>
      </c>
      <c r="F1704" t="s">
        <v>4</v>
      </c>
      <c r="G1704" t="s">
        <v>5</v>
      </c>
      <c r="H1704">
        <v>4862.3999999999996</v>
      </c>
      <c r="I1704" t="s">
        <v>3253</v>
      </c>
      <c r="J1704" t="s">
        <v>413</v>
      </c>
      <c r="K1704" t="s">
        <v>8</v>
      </c>
      <c r="L1704" t="s">
        <v>3254</v>
      </c>
      <c r="M1704" t="s">
        <v>2493</v>
      </c>
      <c r="N1704" t="s">
        <v>1</v>
      </c>
      <c r="O1704">
        <v>45509</v>
      </c>
      <c r="P1704" t="s">
        <v>3255</v>
      </c>
      <c r="Q1704">
        <v>45544</v>
      </c>
      <c r="R1704" t="s">
        <v>3256</v>
      </c>
      <c r="S1704" t="s">
        <v>8</v>
      </c>
      <c r="T1704">
        <v>0</v>
      </c>
      <c r="U1704" t="s">
        <v>8</v>
      </c>
      <c r="V1704" t="s">
        <v>8</v>
      </c>
      <c r="W1704" t="s">
        <v>4</v>
      </c>
      <c r="X1704" t="s">
        <v>3257</v>
      </c>
    </row>
    <row r="1705" spans="1:24" x14ac:dyDescent="0.25">
      <c r="A1705" t="s">
        <v>2880</v>
      </c>
      <c r="B1705" s="9">
        <v>45553</v>
      </c>
      <c r="C1705" t="s">
        <v>87</v>
      </c>
      <c r="D1705" t="s">
        <v>410</v>
      </c>
      <c r="E1705" t="s">
        <v>411</v>
      </c>
      <c r="F1705" t="s">
        <v>4</v>
      </c>
      <c r="G1705" t="s">
        <v>5</v>
      </c>
      <c r="H1705">
        <v>3990.3</v>
      </c>
      <c r="I1705" t="s">
        <v>3258</v>
      </c>
      <c r="J1705" t="s">
        <v>413</v>
      </c>
      <c r="K1705" t="s">
        <v>3259</v>
      </c>
      <c r="L1705" t="s">
        <v>3260</v>
      </c>
      <c r="M1705" t="s">
        <v>21</v>
      </c>
      <c r="N1705" t="s">
        <v>1</v>
      </c>
      <c r="O1705">
        <v>45517</v>
      </c>
      <c r="P1705" t="s">
        <v>3261</v>
      </c>
      <c r="Q1705">
        <v>45553</v>
      </c>
      <c r="R1705" t="s">
        <v>3262</v>
      </c>
      <c r="S1705" t="s">
        <v>2576</v>
      </c>
      <c r="T1705">
        <v>94</v>
      </c>
      <c r="U1705" t="s">
        <v>8</v>
      </c>
      <c r="V1705" t="s">
        <v>8</v>
      </c>
      <c r="W1705" t="s">
        <v>4</v>
      </c>
      <c r="X1705" t="s">
        <v>3228</v>
      </c>
    </row>
    <row r="1706" spans="1:24" x14ac:dyDescent="0.25">
      <c r="A1706" t="s">
        <v>2880</v>
      </c>
      <c r="B1706" s="9">
        <v>45553</v>
      </c>
      <c r="C1706" t="s">
        <v>87</v>
      </c>
      <c r="D1706" t="s">
        <v>410</v>
      </c>
      <c r="E1706" t="s">
        <v>411</v>
      </c>
      <c r="F1706" t="s">
        <v>4</v>
      </c>
      <c r="G1706" t="s">
        <v>5</v>
      </c>
      <c r="H1706">
        <v>977.92</v>
      </c>
      <c r="I1706" t="s">
        <v>3263</v>
      </c>
      <c r="J1706" t="s">
        <v>413</v>
      </c>
      <c r="K1706" t="s">
        <v>3264</v>
      </c>
      <c r="L1706" t="s">
        <v>3265</v>
      </c>
      <c r="M1706" t="s">
        <v>21</v>
      </c>
      <c r="N1706" t="s">
        <v>1</v>
      </c>
      <c r="O1706">
        <v>45517</v>
      </c>
      <c r="P1706" t="s">
        <v>3266</v>
      </c>
      <c r="Q1706">
        <v>45553</v>
      </c>
      <c r="R1706" t="s">
        <v>3267</v>
      </c>
      <c r="S1706" t="s">
        <v>2509</v>
      </c>
      <c r="T1706">
        <v>16</v>
      </c>
      <c r="U1706" t="s">
        <v>8</v>
      </c>
      <c r="V1706" t="s">
        <v>8</v>
      </c>
      <c r="W1706" t="s">
        <v>4</v>
      </c>
      <c r="X1706" t="s">
        <v>3228</v>
      </c>
    </row>
    <row r="1707" spans="1:24" x14ac:dyDescent="0.25">
      <c r="A1707" t="s">
        <v>2880</v>
      </c>
      <c r="B1707" s="9">
        <v>45553</v>
      </c>
      <c r="C1707" t="s">
        <v>87</v>
      </c>
      <c r="D1707" t="s">
        <v>410</v>
      </c>
      <c r="E1707" t="s">
        <v>411</v>
      </c>
      <c r="F1707" t="s">
        <v>4</v>
      </c>
      <c r="G1707" t="s">
        <v>5</v>
      </c>
      <c r="H1707">
        <v>738.45</v>
      </c>
      <c r="I1707" t="s">
        <v>3263</v>
      </c>
      <c r="J1707" t="s">
        <v>413</v>
      </c>
      <c r="K1707" t="s">
        <v>3264</v>
      </c>
      <c r="L1707" t="s">
        <v>3265</v>
      </c>
      <c r="M1707" t="s">
        <v>21</v>
      </c>
      <c r="N1707" t="s">
        <v>12</v>
      </c>
      <c r="O1707">
        <v>45517</v>
      </c>
      <c r="P1707" t="s">
        <v>3266</v>
      </c>
      <c r="Q1707">
        <v>45553</v>
      </c>
      <c r="R1707" t="s">
        <v>3267</v>
      </c>
      <c r="S1707" t="s">
        <v>2510</v>
      </c>
      <c r="T1707">
        <v>15</v>
      </c>
      <c r="U1707" t="s">
        <v>8</v>
      </c>
      <c r="V1707" t="s">
        <v>8</v>
      </c>
      <c r="W1707" t="s">
        <v>4</v>
      </c>
      <c r="X1707" t="s">
        <v>3228</v>
      </c>
    </row>
    <row r="1708" spans="1:24" x14ac:dyDescent="0.25">
      <c r="A1708" t="s">
        <v>2880</v>
      </c>
      <c r="B1708" s="9">
        <v>45553</v>
      </c>
      <c r="C1708" t="s">
        <v>87</v>
      </c>
      <c r="D1708" t="s">
        <v>410</v>
      </c>
      <c r="E1708" t="s">
        <v>411</v>
      </c>
      <c r="F1708" t="s">
        <v>4</v>
      </c>
      <c r="G1708" t="s">
        <v>5</v>
      </c>
      <c r="H1708">
        <v>54.33</v>
      </c>
      <c r="I1708" t="s">
        <v>3263</v>
      </c>
      <c r="J1708" t="s">
        <v>413</v>
      </c>
      <c r="K1708" t="s">
        <v>3264</v>
      </c>
      <c r="L1708" t="s">
        <v>3265</v>
      </c>
      <c r="M1708" t="s">
        <v>21</v>
      </c>
      <c r="N1708" t="s">
        <v>17</v>
      </c>
      <c r="O1708">
        <v>45517</v>
      </c>
      <c r="P1708" t="s">
        <v>3266</v>
      </c>
      <c r="Q1708">
        <v>45553</v>
      </c>
      <c r="R1708" t="s">
        <v>3267</v>
      </c>
      <c r="S1708" t="s">
        <v>3268</v>
      </c>
      <c r="T1708">
        <v>1</v>
      </c>
      <c r="U1708" t="s">
        <v>8</v>
      </c>
      <c r="V1708" t="s">
        <v>8</v>
      </c>
      <c r="W1708" t="s">
        <v>4</v>
      </c>
      <c r="X1708" t="s">
        <v>3228</v>
      </c>
    </row>
    <row r="1709" spans="1:24" x14ac:dyDescent="0.25">
      <c r="A1709" t="s">
        <v>2880</v>
      </c>
      <c r="B1709" s="9">
        <v>45553</v>
      </c>
      <c r="C1709" t="s">
        <v>87</v>
      </c>
      <c r="D1709" t="s">
        <v>410</v>
      </c>
      <c r="E1709" t="s">
        <v>411</v>
      </c>
      <c r="F1709" t="s">
        <v>4</v>
      </c>
      <c r="G1709" t="s">
        <v>5</v>
      </c>
      <c r="H1709">
        <v>59.41</v>
      </c>
      <c r="I1709" t="s">
        <v>3263</v>
      </c>
      <c r="J1709" t="s">
        <v>413</v>
      </c>
      <c r="K1709" t="s">
        <v>3264</v>
      </c>
      <c r="L1709" t="s">
        <v>3265</v>
      </c>
      <c r="M1709" t="s">
        <v>21</v>
      </c>
      <c r="N1709" t="s">
        <v>43</v>
      </c>
      <c r="O1709">
        <v>45517</v>
      </c>
      <c r="P1709" t="s">
        <v>3266</v>
      </c>
      <c r="Q1709">
        <v>45553</v>
      </c>
      <c r="R1709" t="s">
        <v>3267</v>
      </c>
      <c r="S1709" t="s">
        <v>2511</v>
      </c>
      <c r="T1709">
        <v>1</v>
      </c>
      <c r="U1709" t="s">
        <v>8</v>
      </c>
      <c r="V1709" t="s">
        <v>8</v>
      </c>
      <c r="W1709" t="s">
        <v>4</v>
      </c>
      <c r="X1709" t="s">
        <v>3228</v>
      </c>
    </row>
    <row r="1710" spans="1:24" x14ac:dyDescent="0.25">
      <c r="A1710" t="s">
        <v>2880</v>
      </c>
      <c r="B1710" s="9">
        <v>45553</v>
      </c>
      <c r="C1710" t="s">
        <v>87</v>
      </c>
      <c r="D1710" t="s">
        <v>410</v>
      </c>
      <c r="E1710" t="s">
        <v>411</v>
      </c>
      <c r="F1710" t="s">
        <v>4</v>
      </c>
      <c r="G1710" t="s">
        <v>5</v>
      </c>
      <c r="H1710">
        <v>4522.32</v>
      </c>
      <c r="I1710" t="s">
        <v>3263</v>
      </c>
      <c r="J1710" t="s">
        <v>413</v>
      </c>
      <c r="K1710" t="s">
        <v>3264</v>
      </c>
      <c r="L1710" t="s">
        <v>3265</v>
      </c>
      <c r="M1710" t="s">
        <v>21</v>
      </c>
      <c r="N1710" t="s">
        <v>77</v>
      </c>
      <c r="O1710">
        <v>45517</v>
      </c>
      <c r="P1710" t="s">
        <v>3266</v>
      </c>
      <c r="Q1710">
        <v>45553</v>
      </c>
      <c r="R1710" t="s">
        <v>3267</v>
      </c>
      <c r="S1710" t="s">
        <v>2502</v>
      </c>
      <c r="T1710">
        <v>72</v>
      </c>
      <c r="U1710" t="s">
        <v>8</v>
      </c>
      <c r="V1710" t="s">
        <v>8</v>
      </c>
      <c r="W1710" t="s">
        <v>4</v>
      </c>
      <c r="X1710" t="s">
        <v>3228</v>
      </c>
    </row>
    <row r="1711" spans="1:24" x14ac:dyDescent="0.25">
      <c r="A1711" t="s">
        <v>2880</v>
      </c>
      <c r="B1711" s="9">
        <v>45553</v>
      </c>
      <c r="C1711" t="s">
        <v>87</v>
      </c>
      <c r="D1711" t="s">
        <v>410</v>
      </c>
      <c r="E1711" t="s">
        <v>411</v>
      </c>
      <c r="F1711" t="s">
        <v>4</v>
      </c>
      <c r="G1711" t="s">
        <v>5</v>
      </c>
      <c r="H1711">
        <v>10491.58</v>
      </c>
      <c r="I1711" t="s">
        <v>3263</v>
      </c>
      <c r="J1711" t="s">
        <v>413</v>
      </c>
      <c r="K1711" t="s">
        <v>3264</v>
      </c>
      <c r="L1711" t="s">
        <v>3265</v>
      </c>
      <c r="M1711" t="s">
        <v>21</v>
      </c>
      <c r="N1711" t="s">
        <v>22</v>
      </c>
      <c r="O1711">
        <v>45517</v>
      </c>
      <c r="P1711" t="s">
        <v>3266</v>
      </c>
      <c r="Q1711">
        <v>45553</v>
      </c>
      <c r="R1711" t="s">
        <v>3267</v>
      </c>
      <c r="S1711" t="s">
        <v>2503</v>
      </c>
      <c r="T1711">
        <v>103</v>
      </c>
      <c r="U1711" t="s">
        <v>8</v>
      </c>
      <c r="V1711" t="s">
        <v>8</v>
      </c>
      <c r="W1711" t="s">
        <v>4</v>
      </c>
      <c r="X1711" t="s">
        <v>3228</v>
      </c>
    </row>
    <row r="1712" spans="1:24" x14ac:dyDescent="0.25">
      <c r="A1712" t="s">
        <v>2880</v>
      </c>
      <c r="B1712" s="9">
        <v>45553</v>
      </c>
      <c r="C1712" t="s">
        <v>87</v>
      </c>
      <c r="D1712" t="s">
        <v>410</v>
      </c>
      <c r="E1712" t="s">
        <v>411</v>
      </c>
      <c r="F1712" t="s">
        <v>4</v>
      </c>
      <c r="G1712" t="s">
        <v>5</v>
      </c>
      <c r="H1712">
        <v>916.76</v>
      </c>
      <c r="I1712" t="s">
        <v>3263</v>
      </c>
      <c r="J1712" t="s">
        <v>413</v>
      </c>
      <c r="K1712" t="s">
        <v>3264</v>
      </c>
      <c r="L1712" t="s">
        <v>3265</v>
      </c>
      <c r="M1712" t="s">
        <v>21</v>
      </c>
      <c r="N1712" t="s">
        <v>72</v>
      </c>
      <c r="O1712">
        <v>45517</v>
      </c>
      <c r="P1712" t="s">
        <v>3266</v>
      </c>
      <c r="Q1712">
        <v>45553</v>
      </c>
      <c r="R1712" t="s">
        <v>3267</v>
      </c>
      <c r="S1712" t="s">
        <v>2578</v>
      </c>
      <c r="T1712">
        <v>2</v>
      </c>
      <c r="U1712" t="s">
        <v>8</v>
      </c>
      <c r="V1712" t="s">
        <v>8</v>
      </c>
      <c r="W1712" t="s">
        <v>4</v>
      </c>
      <c r="X1712" t="s">
        <v>3228</v>
      </c>
    </row>
    <row r="1713" spans="1:24" x14ac:dyDescent="0.25">
      <c r="A1713" t="s">
        <v>2880</v>
      </c>
      <c r="B1713" s="2">
        <v>45577</v>
      </c>
      <c r="C1713" t="s">
        <v>30</v>
      </c>
      <c r="D1713" t="s">
        <v>410</v>
      </c>
      <c r="E1713" t="s">
        <v>411</v>
      </c>
      <c r="F1713" t="s">
        <v>4</v>
      </c>
      <c r="G1713" t="s">
        <v>5</v>
      </c>
      <c r="H1713" s="3">
        <v>1018.8</v>
      </c>
      <c r="I1713" t="s">
        <v>3317</v>
      </c>
      <c r="J1713" t="s">
        <v>413</v>
      </c>
      <c r="K1713" s="7">
        <v>660872901</v>
      </c>
      <c r="L1713" t="s">
        <v>3319</v>
      </c>
      <c r="M1713" t="s">
        <v>446</v>
      </c>
      <c r="N1713" t="s">
        <v>1</v>
      </c>
      <c r="O1713" s="2">
        <v>45518</v>
      </c>
      <c r="P1713" t="s">
        <v>3320</v>
      </c>
      <c r="Q1713" s="2">
        <v>45577</v>
      </c>
      <c r="R1713" t="s">
        <v>3321</v>
      </c>
      <c r="S1713" t="s">
        <v>3322</v>
      </c>
      <c r="T1713" s="18">
        <v>40</v>
      </c>
      <c r="U1713" t="s">
        <v>8</v>
      </c>
      <c r="V1713" t="s">
        <v>8</v>
      </c>
      <c r="W1713" t="s">
        <v>4</v>
      </c>
      <c r="X1713" t="s">
        <v>3228</v>
      </c>
    </row>
    <row r="1714" spans="1:24" x14ac:dyDescent="0.25">
      <c r="A1714" t="s">
        <v>2880</v>
      </c>
      <c r="B1714" s="2">
        <v>45577</v>
      </c>
      <c r="C1714" t="s">
        <v>30</v>
      </c>
      <c r="D1714" t="s">
        <v>410</v>
      </c>
      <c r="E1714" t="s">
        <v>411</v>
      </c>
      <c r="F1714" t="s">
        <v>4</v>
      </c>
      <c r="G1714" t="s">
        <v>5</v>
      </c>
      <c r="H1714" s="3">
        <v>1018.8</v>
      </c>
      <c r="I1714" t="s">
        <v>3317</v>
      </c>
      <c r="J1714" t="s">
        <v>413</v>
      </c>
      <c r="K1714" t="s">
        <v>3318</v>
      </c>
      <c r="L1714" t="s">
        <v>3319</v>
      </c>
      <c r="M1714" t="s">
        <v>446</v>
      </c>
      <c r="N1714" t="s">
        <v>12</v>
      </c>
      <c r="O1714" s="2">
        <v>45518</v>
      </c>
      <c r="P1714" t="s">
        <v>3320</v>
      </c>
      <c r="Q1714" s="2">
        <v>45577</v>
      </c>
      <c r="R1714" t="s">
        <v>3321</v>
      </c>
      <c r="S1714" t="s">
        <v>3323</v>
      </c>
      <c r="T1714" s="18">
        <v>40</v>
      </c>
      <c r="U1714" t="s">
        <v>8</v>
      </c>
      <c r="V1714" t="s">
        <v>8</v>
      </c>
      <c r="W1714" t="s">
        <v>4</v>
      </c>
      <c r="X1714" t="s">
        <v>3228</v>
      </c>
    </row>
    <row r="1715" spans="1:24" x14ac:dyDescent="0.25">
      <c r="A1715" t="s">
        <v>2880</v>
      </c>
      <c r="B1715" s="2">
        <v>45577</v>
      </c>
      <c r="C1715" t="s">
        <v>30</v>
      </c>
      <c r="D1715" t="s">
        <v>410</v>
      </c>
      <c r="E1715" t="s">
        <v>411</v>
      </c>
      <c r="F1715" t="s">
        <v>4</v>
      </c>
      <c r="G1715" t="s">
        <v>5</v>
      </c>
      <c r="H1715" s="3">
        <v>1018.8</v>
      </c>
      <c r="I1715" t="s">
        <v>3317</v>
      </c>
      <c r="J1715" t="s">
        <v>413</v>
      </c>
      <c r="K1715" t="s">
        <v>3318</v>
      </c>
      <c r="L1715" t="s">
        <v>3319</v>
      </c>
      <c r="M1715" t="s">
        <v>446</v>
      </c>
      <c r="N1715" t="s">
        <v>17</v>
      </c>
      <c r="O1715" s="2">
        <v>45518</v>
      </c>
      <c r="P1715" t="s">
        <v>3320</v>
      </c>
      <c r="Q1715" s="2">
        <v>45577</v>
      </c>
      <c r="R1715" t="s">
        <v>3321</v>
      </c>
      <c r="S1715" t="s">
        <v>3323</v>
      </c>
      <c r="T1715" s="18">
        <v>40</v>
      </c>
      <c r="U1715" t="s">
        <v>8</v>
      </c>
      <c r="V1715" t="s">
        <v>8</v>
      </c>
      <c r="W1715" t="s">
        <v>4</v>
      </c>
      <c r="X1715" t="s">
        <v>3228</v>
      </c>
    </row>
    <row r="1716" spans="1:24" x14ac:dyDescent="0.25">
      <c r="A1716" t="s">
        <v>2880</v>
      </c>
      <c r="B1716" s="2">
        <v>45580</v>
      </c>
      <c r="C1716" t="s">
        <v>30</v>
      </c>
      <c r="D1716" t="s">
        <v>410</v>
      </c>
      <c r="E1716" t="s">
        <v>411</v>
      </c>
      <c r="F1716" t="s">
        <v>4</v>
      </c>
      <c r="G1716" t="s">
        <v>5</v>
      </c>
      <c r="H1716" s="3">
        <v>11035</v>
      </c>
      <c r="I1716" t="s">
        <v>3324</v>
      </c>
      <c r="J1716" t="s">
        <v>413</v>
      </c>
      <c r="K1716" t="s">
        <v>3325</v>
      </c>
      <c r="L1716" t="s">
        <v>3326</v>
      </c>
      <c r="M1716" t="s">
        <v>2493</v>
      </c>
      <c r="N1716" t="s">
        <v>1</v>
      </c>
      <c r="O1716" s="2">
        <v>45538</v>
      </c>
      <c r="P1716" t="s">
        <v>3327</v>
      </c>
      <c r="Q1716" s="2">
        <v>45580</v>
      </c>
      <c r="R1716" t="s">
        <v>3328</v>
      </c>
      <c r="S1716" t="s">
        <v>2496</v>
      </c>
      <c r="T1716" s="17">
        <v>1</v>
      </c>
      <c r="U1716" t="s">
        <v>8</v>
      </c>
      <c r="V1716" t="s">
        <v>8</v>
      </c>
      <c r="W1716" t="s">
        <v>4</v>
      </c>
      <c r="X1716" t="s">
        <v>3228</v>
      </c>
    </row>
    <row r="1717" spans="1:24" x14ac:dyDescent="0.25">
      <c r="A1717" t="s">
        <v>2880</v>
      </c>
      <c r="B1717" s="2">
        <v>45582</v>
      </c>
      <c r="C1717" t="s">
        <v>30</v>
      </c>
      <c r="D1717" t="s">
        <v>410</v>
      </c>
      <c r="E1717" t="s">
        <v>411</v>
      </c>
      <c r="F1717" t="s">
        <v>4</v>
      </c>
      <c r="G1717" t="s">
        <v>5</v>
      </c>
      <c r="H1717" s="3">
        <v>492.3</v>
      </c>
      <c r="I1717" t="s">
        <v>3329</v>
      </c>
      <c r="J1717" t="s">
        <v>413</v>
      </c>
      <c r="K1717" t="s">
        <v>3330</v>
      </c>
      <c r="L1717" t="s">
        <v>3331</v>
      </c>
      <c r="M1717" t="s">
        <v>2493</v>
      </c>
      <c r="N1717" t="s">
        <v>1</v>
      </c>
      <c r="O1717" s="2">
        <v>45546</v>
      </c>
      <c r="P1717" t="s">
        <v>3332</v>
      </c>
      <c r="Q1717" s="2">
        <v>45582</v>
      </c>
      <c r="R1717" t="s">
        <v>3333</v>
      </c>
      <c r="S1717" t="s">
        <v>2510</v>
      </c>
      <c r="T1717" s="18">
        <v>10</v>
      </c>
      <c r="U1717" t="s">
        <v>8</v>
      </c>
      <c r="V1717" t="s">
        <v>8</v>
      </c>
      <c r="W1717" t="s">
        <v>4</v>
      </c>
      <c r="X1717" t="s">
        <v>3228</v>
      </c>
    </row>
    <row r="1718" spans="1:24" x14ac:dyDescent="0.25">
      <c r="A1718" t="s">
        <v>2880</v>
      </c>
      <c r="B1718" s="2">
        <v>45582</v>
      </c>
      <c r="C1718" t="s">
        <v>30</v>
      </c>
      <c r="D1718" t="s">
        <v>410</v>
      </c>
      <c r="E1718" t="s">
        <v>411</v>
      </c>
      <c r="F1718" t="s">
        <v>4</v>
      </c>
      <c r="G1718" t="s">
        <v>5</v>
      </c>
      <c r="H1718" s="3">
        <v>4647.9399999999996</v>
      </c>
      <c r="I1718" t="s">
        <v>3329</v>
      </c>
      <c r="J1718" t="s">
        <v>413</v>
      </c>
      <c r="K1718" t="s">
        <v>3330</v>
      </c>
      <c r="L1718" t="s">
        <v>3331</v>
      </c>
      <c r="M1718" t="s">
        <v>2493</v>
      </c>
      <c r="N1718" t="s">
        <v>12</v>
      </c>
      <c r="O1718" s="2">
        <v>45546</v>
      </c>
      <c r="P1718" t="s">
        <v>3332</v>
      </c>
      <c r="Q1718" s="2">
        <v>45582</v>
      </c>
      <c r="R1718" t="s">
        <v>3333</v>
      </c>
      <c r="S1718" t="s">
        <v>2502</v>
      </c>
      <c r="T1718" s="18">
        <v>74</v>
      </c>
      <c r="U1718" t="s">
        <v>8</v>
      </c>
      <c r="V1718" t="s">
        <v>8</v>
      </c>
      <c r="W1718" t="s">
        <v>4</v>
      </c>
      <c r="X1718" t="s">
        <v>3228</v>
      </c>
    </row>
    <row r="1719" spans="1:24" x14ac:dyDescent="0.25">
      <c r="A1719" t="s">
        <v>2880</v>
      </c>
      <c r="B1719" s="2">
        <v>45582</v>
      </c>
      <c r="C1719" t="s">
        <v>30</v>
      </c>
      <c r="D1719" t="s">
        <v>410</v>
      </c>
      <c r="E1719" t="s">
        <v>411</v>
      </c>
      <c r="F1719" t="s">
        <v>4</v>
      </c>
      <c r="G1719" t="s">
        <v>5</v>
      </c>
      <c r="H1719" s="3">
        <v>6009.74</v>
      </c>
      <c r="I1719" t="s">
        <v>3329</v>
      </c>
      <c r="J1719" t="s">
        <v>413</v>
      </c>
      <c r="K1719" t="s">
        <v>3330</v>
      </c>
      <c r="L1719" t="s">
        <v>3331</v>
      </c>
      <c r="M1719" t="s">
        <v>2493</v>
      </c>
      <c r="N1719" t="s">
        <v>17</v>
      </c>
      <c r="O1719" s="2">
        <v>45546</v>
      </c>
      <c r="P1719" t="s">
        <v>3332</v>
      </c>
      <c r="Q1719" s="2">
        <v>45582</v>
      </c>
      <c r="R1719" t="s">
        <v>3333</v>
      </c>
      <c r="S1719" t="s">
        <v>2503</v>
      </c>
      <c r="T1719" s="18">
        <v>59</v>
      </c>
      <c r="U1719" t="s">
        <v>8</v>
      </c>
      <c r="V1719" t="s">
        <v>8</v>
      </c>
      <c r="W1719" t="s">
        <v>4</v>
      </c>
      <c r="X1719" t="s">
        <v>3228</v>
      </c>
    </row>
    <row r="1720" spans="1:24" x14ac:dyDescent="0.25">
      <c r="A1720" t="s">
        <v>2880</v>
      </c>
      <c r="B1720" s="2">
        <v>45582</v>
      </c>
      <c r="C1720" t="s">
        <v>30</v>
      </c>
      <c r="D1720" t="s">
        <v>410</v>
      </c>
      <c r="E1720" t="s">
        <v>411</v>
      </c>
      <c r="F1720" t="s">
        <v>4</v>
      </c>
      <c r="G1720" t="s">
        <v>5</v>
      </c>
      <c r="H1720" s="3">
        <v>916.76</v>
      </c>
      <c r="I1720" t="s">
        <v>3329</v>
      </c>
      <c r="J1720" t="s">
        <v>413</v>
      </c>
      <c r="K1720" t="s">
        <v>3330</v>
      </c>
      <c r="L1720" t="s">
        <v>3331</v>
      </c>
      <c r="M1720" t="s">
        <v>2493</v>
      </c>
      <c r="N1720" t="s">
        <v>43</v>
      </c>
      <c r="O1720" s="2">
        <v>45546</v>
      </c>
      <c r="P1720" t="s">
        <v>3332</v>
      </c>
      <c r="Q1720" s="2">
        <v>45582</v>
      </c>
      <c r="R1720" t="s">
        <v>3333</v>
      </c>
      <c r="S1720" t="s">
        <v>2578</v>
      </c>
      <c r="T1720" s="18">
        <v>2</v>
      </c>
      <c r="U1720" t="s">
        <v>8</v>
      </c>
      <c r="V1720" t="s">
        <v>8</v>
      </c>
      <c r="W1720" t="s">
        <v>4</v>
      </c>
      <c r="X1720" t="s">
        <v>3228</v>
      </c>
    </row>
    <row r="1721" spans="1:24" x14ac:dyDescent="0.25">
      <c r="A1721" t="s">
        <v>2880</v>
      </c>
      <c r="B1721" s="2">
        <v>45582</v>
      </c>
      <c r="C1721" t="s">
        <v>30</v>
      </c>
      <c r="D1721" t="s">
        <v>410</v>
      </c>
      <c r="E1721" t="s">
        <v>411</v>
      </c>
      <c r="F1721" t="s">
        <v>4</v>
      </c>
      <c r="G1721" t="s">
        <v>5</v>
      </c>
      <c r="H1721" s="3">
        <v>644.86</v>
      </c>
      <c r="I1721" t="s">
        <v>3334</v>
      </c>
      <c r="J1721" t="s">
        <v>413</v>
      </c>
      <c r="K1721" t="s">
        <v>3335</v>
      </c>
      <c r="L1721" t="s">
        <v>3336</v>
      </c>
      <c r="M1721" t="s">
        <v>2493</v>
      </c>
      <c r="N1721" t="s">
        <v>1</v>
      </c>
      <c r="O1721" s="2">
        <v>45546</v>
      </c>
      <c r="P1721" t="s">
        <v>3337</v>
      </c>
      <c r="Q1721" s="2">
        <v>45582</v>
      </c>
      <c r="R1721" t="s">
        <v>3338</v>
      </c>
      <c r="S1721" t="s">
        <v>3053</v>
      </c>
      <c r="T1721" s="18">
        <v>19</v>
      </c>
      <c r="U1721" t="s">
        <v>8</v>
      </c>
      <c r="V1721" t="s">
        <v>8</v>
      </c>
      <c r="W1721" t="s">
        <v>4</v>
      </c>
      <c r="X1721" t="s">
        <v>3228</v>
      </c>
    </row>
    <row r="1722" spans="1:24" x14ac:dyDescent="0.25">
      <c r="A1722" t="s">
        <v>2880</v>
      </c>
      <c r="B1722" s="2">
        <v>45582</v>
      </c>
      <c r="C1722" t="s">
        <v>30</v>
      </c>
      <c r="D1722" t="s">
        <v>410</v>
      </c>
      <c r="E1722" t="s">
        <v>411</v>
      </c>
      <c r="F1722" t="s">
        <v>4</v>
      </c>
      <c r="G1722" t="s">
        <v>5</v>
      </c>
      <c r="H1722" s="3">
        <v>3396</v>
      </c>
      <c r="I1722" t="s">
        <v>3334</v>
      </c>
      <c r="J1722" t="s">
        <v>413</v>
      </c>
      <c r="K1722" t="s">
        <v>3335</v>
      </c>
      <c r="L1722" t="s">
        <v>3336</v>
      </c>
      <c r="M1722" t="s">
        <v>2493</v>
      </c>
      <c r="N1722" t="s">
        <v>12</v>
      </c>
      <c r="O1722" s="2">
        <v>45546</v>
      </c>
      <c r="P1722" t="s">
        <v>3337</v>
      </c>
      <c r="Q1722" s="2">
        <v>45582</v>
      </c>
      <c r="R1722" t="s">
        <v>3338</v>
      </c>
      <c r="S1722" t="s">
        <v>2576</v>
      </c>
      <c r="T1722" s="18">
        <v>80</v>
      </c>
      <c r="U1722" t="s">
        <v>8</v>
      </c>
      <c r="V1722" t="s">
        <v>8</v>
      </c>
      <c r="W1722" t="s">
        <v>4</v>
      </c>
      <c r="X1722" t="s">
        <v>3228</v>
      </c>
    </row>
    <row r="1723" spans="1:24" x14ac:dyDescent="0.25">
      <c r="A1723" t="s">
        <v>2880</v>
      </c>
      <c r="B1723" s="2">
        <v>45587</v>
      </c>
      <c r="C1723" t="s">
        <v>30</v>
      </c>
      <c r="D1723" t="s">
        <v>410</v>
      </c>
      <c r="E1723" t="s">
        <v>411</v>
      </c>
      <c r="F1723" t="s">
        <v>4</v>
      </c>
      <c r="G1723" t="s">
        <v>5</v>
      </c>
      <c r="H1723" s="3">
        <v>11035</v>
      </c>
      <c r="I1723" t="s">
        <v>3339</v>
      </c>
      <c r="J1723" t="s">
        <v>413</v>
      </c>
      <c r="K1723" t="s">
        <v>3340</v>
      </c>
      <c r="L1723" t="s">
        <v>3341</v>
      </c>
      <c r="M1723" t="s">
        <v>3280</v>
      </c>
      <c r="N1723" t="s">
        <v>1</v>
      </c>
      <c r="O1723" s="2">
        <v>45572</v>
      </c>
      <c r="P1723" t="s">
        <v>3342</v>
      </c>
      <c r="Q1723" s="2">
        <v>45587</v>
      </c>
      <c r="R1723" t="s">
        <v>3343</v>
      </c>
      <c r="S1723" t="s">
        <v>2496</v>
      </c>
      <c r="T1723" s="17">
        <v>1</v>
      </c>
      <c r="U1723" t="s">
        <v>8</v>
      </c>
      <c r="V1723" t="s">
        <v>8</v>
      </c>
      <c r="W1723" t="s">
        <v>4</v>
      </c>
      <c r="X1723" t="s">
        <v>3228</v>
      </c>
    </row>
    <row r="1724" spans="1:24" x14ac:dyDescent="0.25">
      <c r="A1724" t="s">
        <v>2880</v>
      </c>
      <c r="B1724" s="2">
        <v>45601</v>
      </c>
      <c r="C1724" t="s">
        <v>289</v>
      </c>
      <c r="D1724" t="s">
        <v>410</v>
      </c>
      <c r="E1724" t="s">
        <v>411</v>
      </c>
      <c r="F1724" t="s">
        <v>4</v>
      </c>
      <c r="G1724" t="s">
        <v>5</v>
      </c>
      <c r="H1724" s="3">
        <v>20934.91</v>
      </c>
      <c r="I1724" t="s">
        <v>3364</v>
      </c>
      <c r="J1724" t="s">
        <v>413</v>
      </c>
      <c r="K1724" t="s">
        <v>8</v>
      </c>
      <c r="L1724" t="s">
        <v>3365</v>
      </c>
      <c r="M1724" t="s">
        <v>21</v>
      </c>
      <c r="N1724" t="s">
        <v>1</v>
      </c>
      <c r="O1724" s="2">
        <v>45587</v>
      </c>
      <c r="P1724" t="s">
        <v>3366</v>
      </c>
      <c r="Q1724" s="2">
        <v>45601</v>
      </c>
      <c r="R1724" t="s">
        <v>3367</v>
      </c>
      <c r="S1724" t="s">
        <v>8</v>
      </c>
      <c r="T1724" s="17">
        <v>0</v>
      </c>
      <c r="U1724" t="s">
        <v>8</v>
      </c>
      <c r="V1724" t="s">
        <v>8</v>
      </c>
      <c r="W1724" t="s">
        <v>4</v>
      </c>
      <c r="X1724" t="s">
        <v>3228</v>
      </c>
    </row>
    <row r="1725" spans="1:24" x14ac:dyDescent="0.25">
      <c r="A1725" t="s">
        <v>2880</v>
      </c>
      <c r="B1725" s="2">
        <v>45603</v>
      </c>
      <c r="C1725" t="s">
        <v>289</v>
      </c>
      <c r="D1725" t="s">
        <v>410</v>
      </c>
      <c r="E1725" t="s">
        <v>411</v>
      </c>
      <c r="F1725" t="s">
        <v>4</v>
      </c>
      <c r="G1725" t="s">
        <v>5</v>
      </c>
      <c r="H1725" s="3">
        <v>11035</v>
      </c>
      <c r="I1725" t="s">
        <v>3368</v>
      </c>
      <c r="J1725" t="s">
        <v>413</v>
      </c>
      <c r="K1725" t="s">
        <v>3369</v>
      </c>
      <c r="L1725" t="s">
        <v>3370</v>
      </c>
      <c r="M1725" t="s">
        <v>3280</v>
      </c>
      <c r="N1725" t="s">
        <v>1</v>
      </c>
      <c r="O1725" s="2">
        <v>45601</v>
      </c>
      <c r="P1725" t="s">
        <v>3371</v>
      </c>
      <c r="Q1725" s="2">
        <v>45603</v>
      </c>
      <c r="R1725" t="s">
        <v>3372</v>
      </c>
      <c r="S1725" t="s">
        <v>2496</v>
      </c>
      <c r="T1725" s="17">
        <v>1</v>
      </c>
      <c r="U1725" t="s">
        <v>8</v>
      </c>
      <c r="V1725" t="s">
        <v>8</v>
      </c>
      <c r="W1725" t="s">
        <v>4</v>
      </c>
      <c r="X1725" t="s">
        <v>3228</v>
      </c>
    </row>
    <row r="1726" spans="1:24" x14ac:dyDescent="0.25">
      <c r="A1726" t="s">
        <v>2880</v>
      </c>
      <c r="B1726" s="2">
        <v>45608</v>
      </c>
      <c r="C1726" t="s">
        <v>289</v>
      </c>
      <c r="D1726" t="s">
        <v>410</v>
      </c>
      <c r="E1726" t="s">
        <v>411</v>
      </c>
      <c r="F1726" t="s">
        <v>4</v>
      </c>
      <c r="G1726" t="s">
        <v>5</v>
      </c>
      <c r="H1726" s="3">
        <v>196.92</v>
      </c>
      <c r="I1726" t="s">
        <v>3373</v>
      </c>
      <c r="J1726" t="s">
        <v>413</v>
      </c>
      <c r="K1726" t="s">
        <v>3374</v>
      </c>
      <c r="L1726" t="s">
        <v>3375</v>
      </c>
      <c r="M1726" t="s">
        <v>3280</v>
      </c>
      <c r="N1726" t="s">
        <v>1</v>
      </c>
      <c r="O1726" s="2">
        <v>45602</v>
      </c>
      <c r="P1726" t="s">
        <v>3376</v>
      </c>
      <c r="Q1726" s="2">
        <v>45608</v>
      </c>
      <c r="R1726" t="s">
        <v>3377</v>
      </c>
      <c r="S1726" t="s">
        <v>2510</v>
      </c>
      <c r="T1726" s="18">
        <v>4</v>
      </c>
      <c r="U1726" t="s">
        <v>8</v>
      </c>
      <c r="V1726" t="s">
        <v>8</v>
      </c>
      <c r="W1726" t="s">
        <v>4</v>
      </c>
      <c r="X1726" t="s">
        <v>3228</v>
      </c>
    </row>
    <row r="1727" spans="1:24" x14ac:dyDescent="0.25">
      <c r="A1727" t="s">
        <v>2880</v>
      </c>
      <c r="B1727" s="2">
        <v>45608</v>
      </c>
      <c r="C1727" t="s">
        <v>289</v>
      </c>
      <c r="D1727" t="s">
        <v>410</v>
      </c>
      <c r="E1727" t="s">
        <v>411</v>
      </c>
      <c r="F1727" t="s">
        <v>4</v>
      </c>
      <c r="G1727" t="s">
        <v>5</v>
      </c>
      <c r="H1727" s="3">
        <v>3266.12</v>
      </c>
      <c r="I1727" t="s">
        <v>3373</v>
      </c>
      <c r="J1727" t="s">
        <v>413</v>
      </c>
      <c r="K1727" t="s">
        <v>3374</v>
      </c>
      <c r="L1727" t="s">
        <v>3375</v>
      </c>
      <c r="M1727" t="s">
        <v>3280</v>
      </c>
      <c r="N1727" t="s">
        <v>12</v>
      </c>
      <c r="O1727" s="2">
        <v>45602</v>
      </c>
      <c r="P1727" t="s">
        <v>3376</v>
      </c>
      <c r="Q1727" s="2">
        <v>45608</v>
      </c>
      <c r="R1727" t="s">
        <v>3377</v>
      </c>
      <c r="S1727" t="s">
        <v>2502</v>
      </c>
      <c r="T1727" s="18">
        <v>52</v>
      </c>
      <c r="U1727" t="s">
        <v>8</v>
      </c>
      <c r="V1727" t="s">
        <v>8</v>
      </c>
      <c r="W1727" t="s">
        <v>4</v>
      </c>
      <c r="X1727" t="s">
        <v>3228</v>
      </c>
    </row>
    <row r="1728" spans="1:24" x14ac:dyDescent="0.25">
      <c r="A1728" t="s">
        <v>2880</v>
      </c>
      <c r="B1728" s="2">
        <v>45608</v>
      </c>
      <c r="C1728" t="s">
        <v>289</v>
      </c>
      <c r="D1728" t="s">
        <v>410</v>
      </c>
      <c r="E1728" t="s">
        <v>411</v>
      </c>
      <c r="F1728" t="s">
        <v>4</v>
      </c>
      <c r="G1728" t="s">
        <v>5</v>
      </c>
      <c r="H1728" s="3">
        <v>2342.7800000000002</v>
      </c>
      <c r="I1728" t="s">
        <v>3373</v>
      </c>
      <c r="J1728" t="s">
        <v>413</v>
      </c>
      <c r="K1728" t="s">
        <v>3374</v>
      </c>
      <c r="L1728" t="s">
        <v>3375</v>
      </c>
      <c r="M1728" t="s">
        <v>3280</v>
      </c>
      <c r="N1728" t="s">
        <v>17</v>
      </c>
      <c r="O1728" s="2">
        <v>45602</v>
      </c>
      <c r="P1728" t="s">
        <v>3376</v>
      </c>
      <c r="Q1728" s="2">
        <v>45608</v>
      </c>
      <c r="R1728" t="s">
        <v>3377</v>
      </c>
      <c r="S1728" t="s">
        <v>2503</v>
      </c>
      <c r="T1728" s="18">
        <v>23</v>
      </c>
      <c r="U1728" t="s">
        <v>8</v>
      </c>
      <c r="V1728" t="s">
        <v>8</v>
      </c>
      <c r="W1728" t="s">
        <v>4</v>
      </c>
      <c r="X1728" t="s">
        <v>3228</v>
      </c>
    </row>
    <row r="1729" spans="1:24" x14ac:dyDescent="0.25">
      <c r="A1729" t="s">
        <v>2880</v>
      </c>
      <c r="B1729" s="2">
        <v>45608</v>
      </c>
      <c r="C1729" t="s">
        <v>289</v>
      </c>
      <c r="D1729" t="s">
        <v>410</v>
      </c>
      <c r="E1729" t="s">
        <v>411</v>
      </c>
      <c r="F1729" t="s">
        <v>4</v>
      </c>
      <c r="G1729" t="s">
        <v>5</v>
      </c>
      <c r="H1729" s="3">
        <v>458.38</v>
      </c>
      <c r="I1729" t="s">
        <v>3373</v>
      </c>
      <c r="J1729" t="s">
        <v>413</v>
      </c>
      <c r="K1729" t="s">
        <v>3374</v>
      </c>
      <c r="L1729" t="s">
        <v>3375</v>
      </c>
      <c r="M1729" t="s">
        <v>3280</v>
      </c>
      <c r="N1729" t="s">
        <v>43</v>
      </c>
      <c r="O1729" s="2">
        <v>45602</v>
      </c>
      <c r="P1729" t="s">
        <v>3376</v>
      </c>
      <c r="Q1729" s="2">
        <v>45608</v>
      </c>
      <c r="R1729" t="s">
        <v>3377</v>
      </c>
      <c r="S1729" t="s">
        <v>2578</v>
      </c>
      <c r="T1729" s="18">
        <v>1</v>
      </c>
      <c r="U1729" t="s">
        <v>8</v>
      </c>
      <c r="V1729" t="s">
        <v>8</v>
      </c>
      <c r="W1729" t="s">
        <v>4</v>
      </c>
      <c r="X1729" t="s">
        <v>3228</v>
      </c>
    </row>
    <row r="1730" spans="1:24" x14ac:dyDescent="0.25">
      <c r="A1730" t="s">
        <v>2880</v>
      </c>
      <c r="B1730" s="2">
        <v>45623</v>
      </c>
      <c r="C1730" t="s">
        <v>289</v>
      </c>
      <c r="D1730" t="s">
        <v>410</v>
      </c>
      <c r="E1730" t="s">
        <v>411</v>
      </c>
      <c r="F1730" t="s">
        <v>4</v>
      </c>
      <c r="G1730" t="s">
        <v>5</v>
      </c>
      <c r="H1730" s="3">
        <v>271.52</v>
      </c>
      <c r="I1730" t="s">
        <v>3378</v>
      </c>
      <c r="J1730" t="s">
        <v>413</v>
      </c>
      <c r="K1730" t="s">
        <v>3379</v>
      </c>
      <c r="L1730" t="s">
        <v>3380</v>
      </c>
      <c r="M1730" t="s">
        <v>3291</v>
      </c>
      <c r="N1730" t="s">
        <v>1</v>
      </c>
      <c r="O1730" s="2">
        <v>45618</v>
      </c>
      <c r="P1730" t="s">
        <v>3381</v>
      </c>
      <c r="Q1730" s="2">
        <v>45623</v>
      </c>
      <c r="R1730" t="s">
        <v>3382</v>
      </c>
      <c r="S1730" t="s">
        <v>3053</v>
      </c>
      <c r="T1730" s="18">
        <v>8</v>
      </c>
      <c r="U1730" t="s">
        <v>8</v>
      </c>
      <c r="V1730" t="s">
        <v>8</v>
      </c>
      <c r="W1730" t="s">
        <v>4</v>
      </c>
      <c r="X1730" t="s">
        <v>3228</v>
      </c>
    </row>
    <row r="1731" spans="1:24" x14ac:dyDescent="0.25">
      <c r="A1731" t="s">
        <v>2880</v>
      </c>
      <c r="B1731" s="2">
        <v>45623</v>
      </c>
      <c r="C1731" t="s">
        <v>289</v>
      </c>
      <c r="D1731" t="s">
        <v>410</v>
      </c>
      <c r="E1731" t="s">
        <v>411</v>
      </c>
      <c r="F1731" t="s">
        <v>4</v>
      </c>
      <c r="G1731" t="s">
        <v>5</v>
      </c>
      <c r="H1731" s="3">
        <v>1570.65</v>
      </c>
      <c r="I1731" t="s">
        <v>3378</v>
      </c>
      <c r="J1731" t="s">
        <v>413</v>
      </c>
      <c r="K1731" t="s">
        <v>3379</v>
      </c>
      <c r="L1731" t="s">
        <v>3380</v>
      </c>
      <c r="M1731" t="s">
        <v>3291</v>
      </c>
      <c r="N1731" t="s">
        <v>12</v>
      </c>
      <c r="O1731" s="2">
        <v>45618</v>
      </c>
      <c r="P1731" t="s">
        <v>3381</v>
      </c>
      <c r="Q1731" s="2">
        <v>45623</v>
      </c>
      <c r="R1731" t="s">
        <v>3382</v>
      </c>
      <c r="S1731" t="s">
        <v>2576</v>
      </c>
      <c r="T1731" s="18">
        <v>37</v>
      </c>
      <c r="U1731" t="s">
        <v>8</v>
      </c>
      <c r="V1731" t="s">
        <v>8</v>
      </c>
      <c r="W1731" t="s">
        <v>4</v>
      </c>
      <c r="X1731" t="s">
        <v>3228</v>
      </c>
    </row>
    <row r="1732" spans="1:24" x14ac:dyDescent="0.25">
      <c r="A1732" t="s">
        <v>2880</v>
      </c>
      <c r="B1732" s="2">
        <v>45637</v>
      </c>
      <c r="C1732" t="s">
        <v>246</v>
      </c>
      <c r="D1732" t="s">
        <v>410</v>
      </c>
      <c r="E1732" t="s">
        <v>411</v>
      </c>
      <c r="F1732" t="s">
        <v>4</v>
      </c>
      <c r="G1732" t="s">
        <v>5</v>
      </c>
      <c r="H1732" s="3">
        <v>11035</v>
      </c>
      <c r="I1732" t="s">
        <v>3413</v>
      </c>
      <c r="J1732" t="s">
        <v>413</v>
      </c>
      <c r="K1732" t="s">
        <v>3414</v>
      </c>
      <c r="L1732" t="s">
        <v>3415</v>
      </c>
      <c r="M1732" t="s">
        <v>3291</v>
      </c>
      <c r="N1732" t="s">
        <v>1</v>
      </c>
      <c r="O1732" s="2">
        <v>45631</v>
      </c>
      <c r="P1732" t="s">
        <v>3416</v>
      </c>
      <c r="Q1732" s="2">
        <v>45637</v>
      </c>
      <c r="R1732" t="s">
        <v>3417</v>
      </c>
      <c r="S1732" t="s">
        <v>2496</v>
      </c>
      <c r="T1732" s="17">
        <v>1</v>
      </c>
      <c r="U1732" t="s">
        <v>8</v>
      </c>
      <c r="V1732" t="s">
        <v>8</v>
      </c>
      <c r="W1732" t="s">
        <v>4</v>
      </c>
      <c r="X1732" t="s">
        <v>3228</v>
      </c>
    </row>
    <row r="1733" spans="1:24" x14ac:dyDescent="0.25">
      <c r="A1733" t="s">
        <v>2880</v>
      </c>
      <c r="B1733" s="2">
        <v>45637</v>
      </c>
      <c r="C1733" t="s">
        <v>246</v>
      </c>
      <c r="D1733" t="s">
        <v>410</v>
      </c>
      <c r="E1733" t="s">
        <v>411</v>
      </c>
      <c r="F1733" t="s">
        <v>4</v>
      </c>
      <c r="G1733" t="s">
        <v>5</v>
      </c>
      <c r="H1733" s="3">
        <v>3517.36</v>
      </c>
      <c r="I1733" t="s">
        <v>3418</v>
      </c>
      <c r="J1733" t="s">
        <v>413</v>
      </c>
      <c r="K1733" t="s">
        <v>3419</v>
      </c>
      <c r="L1733" t="s">
        <v>3420</v>
      </c>
      <c r="M1733" t="s">
        <v>3291</v>
      </c>
      <c r="N1733" t="s">
        <v>1</v>
      </c>
      <c r="O1733" s="2">
        <v>45632</v>
      </c>
      <c r="P1733" t="s">
        <v>3421</v>
      </c>
      <c r="Q1733" s="2">
        <v>45637</v>
      </c>
      <c r="R1733" t="s">
        <v>3422</v>
      </c>
      <c r="S1733" t="s">
        <v>2502</v>
      </c>
      <c r="T1733" s="18">
        <v>56</v>
      </c>
      <c r="U1733" t="s">
        <v>8</v>
      </c>
      <c r="V1733" t="s">
        <v>8</v>
      </c>
      <c r="W1733" t="s">
        <v>4</v>
      </c>
      <c r="X1733" t="s">
        <v>3228</v>
      </c>
    </row>
    <row r="1734" spans="1:24" x14ac:dyDescent="0.25">
      <c r="A1734" t="s">
        <v>2880</v>
      </c>
      <c r="B1734" s="2">
        <v>45637</v>
      </c>
      <c r="C1734" t="s">
        <v>246</v>
      </c>
      <c r="D1734" t="s">
        <v>410</v>
      </c>
      <c r="E1734" t="s">
        <v>411</v>
      </c>
      <c r="F1734" t="s">
        <v>4</v>
      </c>
      <c r="G1734" t="s">
        <v>5</v>
      </c>
      <c r="H1734" s="3">
        <v>147.69</v>
      </c>
      <c r="I1734" t="s">
        <v>3418</v>
      </c>
      <c r="J1734" t="s">
        <v>413</v>
      </c>
      <c r="K1734" t="s">
        <v>3419</v>
      </c>
      <c r="L1734" t="s">
        <v>3420</v>
      </c>
      <c r="M1734" t="s">
        <v>3291</v>
      </c>
      <c r="N1734" t="s">
        <v>12</v>
      </c>
      <c r="O1734" s="2">
        <v>45632</v>
      </c>
      <c r="P1734" t="s">
        <v>3421</v>
      </c>
      <c r="Q1734" s="2">
        <v>45637</v>
      </c>
      <c r="R1734" t="s">
        <v>3422</v>
      </c>
      <c r="S1734" t="s">
        <v>2510</v>
      </c>
      <c r="T1734" s="18">
        <v>3</v>
      </c>
      <c r="U1734" t="s">
        <v>8</v>
      </c>
      <c r="V1734" t="s">
        <v>8</v>
      </c>
      <c r="W1734" t="s">
        <v>4</v>
      </c>
      <c r="X1734" t="s">
        <v>3228</v>
      </c>
    </row>
    <row r="1735" spans="1:24" x14ac:dyDescent="0.25">
      <c r="A1735" t="s">
        <v>2880</v>
      </c>
      <c r="B1735" s="2">
        <v>45637</v>
      </c>
      <c r="C1735" t="s">
        <v>246</v>
      </c>
      <c r="D1735" t="s">
        <v>410</v>
      </c>
      <c r="E1735" t="s">
        <v>411</v>
      </c>
      <c r="F1735" t="s">
        <v>4</v>
      </c>
      <c r="G1735" t="s">
        <v>5</v>
      </c>
      <c r="H1735" s="3">
        <v>1833.48</v>
      </c>
      <c r="I1735" t="s">
        <v>3418</v>
      </c>
      <c r="J1735" t="s">
        <v>413</v>
      </c>
      <c r="K1735" t="s">
        <v>3419</v>
      </c>
      <c r="L1735" t="s">
        <v>3420</v>
      </c>
      <c r="M1735" t="s">
        <v>3291</v>
      </c>
      <c r="N1735" t="s">
        <v>17</v>
      </c>
      <c r="O1735" s="2">
        <v>45632</v>
      </c>
      <c r="P1735" t="s">
        <v>3421</v>
      </c>
      <c r="Q1735" s="2">
        <v>45637</v>
      </c>
      <c r="R1735" t="s">
        <v>3422</v>
      </c>
      <c r="S1735" t="s">
        <v>2503</v>
      </c>
      <c r="T1735" s="18">
        <v>18</v>
      </c>
      <c r="U1735" t="s">
        <v>8</v>
      </c>
      <c r="V1735" t="s">
        <v>8</v>
      </c>
      <c r="W1735" t="s">
        <v>4</v>
      </c>
      <c r="X1735" t="s">
        <v>3228</v>
      </c>
    </row>
    <row r="1736" spans="1:24" x14ac:dyDescent="0.25">
      <c r="A1736" t="s">
        <v>2880</v>
      </c>
      <c r="B1736" s="2">
        <v>45637</v>
      </c>
      <c r="C1736" t="s">
        <v>246</v>
      </c>
      <c r="D1736" t="s">
        <v>410</v>
      </c>
      <c r="E1736" t="s">
        <v>411</v>
      </c>
      <c r="F1736" t="s">
        <v>4</v>
      </c>
      <c r="G1736" t="s">
        <v>5</v>
      </c>
      <c r="H1736" s="3">
        <v>183.36</v>
      </c>
      <c r="I1736" t="s">
        <v>3418</v>
      </c>
      <c r="J1736" t="s">
        <v>413</v>
      </c>
      <c r="K1736" t="s">
        <v>3419</v>
      </c>
      <c r="L1736" t="s">
        <v>3420</v>
      </c>
      <c r="M1736" t="s">
        <v>3291</v>
      </c>
      <c r="N1736" t="s">
        <v>43</v>
      </c>
      <c r="O1736" s="2">
        <v>45632</v>
      </c>
      <c r="P1736" t="s">
        <v>3421</v>
      </c>
      <c r="Q1736" s="2">
        <v>45637</v>
      </c>
      <c r="R1736" t="s">
        <v>3422</v>
      </c>
      <c r="S1736" t="s">
        <v>2509</v>
      </c>
      <c r="T1736" s="18">
        <v>3</v>
      </c>
      <c r="U1736" t="s">
        <v>8</v>
      </c>
      <c r="V1736" t="s">
        <v>8</v>
      </c>
      <c r="W1736" t="s">
        <v>4</v>
      </c>
      <c r="X1736" t="s">
        <v>3228</v>
      </c>
    </row>
    <row r="1737" spans="1:24" x14ac:dyDescent="0.25">
      <c r="A1737" t="s">
        <v>2880</v>
      </c>
      <c r="B1737" s="2">
        <v>45637</v>
      </c>
      <c r="C1737" t="s">
        <v>246</v>
      </c>
      <c r="D1737" t="s">
        <v>410</v>
      </c>
      <c r="E1737" t="s">
        <v>411</v>
      </c>
      <c r="F1737" t="s">
        <v>4</v>
      </c>
      <c r="G1737" t="s">
        <v>5</v>
      </c>
      <c r="H1737" s="3">
        <v>2889.26</v>
      </c>
      <c r="I1737" t="s">
        <v>3423</v>
      </c>
      <c r="J1737" t="s">
        <v>413</v>
      </c>
      <c r="K1737" t="s">
        <v>3424</v>
      </c>
      <c r="L1737" t="s">
        <v>3425</v>
      </c>
      <c r="M1737" t="s">
        <v>3291</v>
      </c>
      <c r="N1737" t="s">
        <v>1</v>
      </c>
      <c r="O1737" s="2">
        <v>45632</v>
      </c>
      <c r="P1737" t="s">
        <v>3426</v>
      </c>
      <c r="Q1737" s="2">
        <v>45637</v>
      </c>
      <c r="R1737" t="s">
        <v>3427</v>
      </c>
      <c r="S1737" t="s">
        <v>2502</v>
      </c>
      <c r="T1737" s="18">
        <v>46</v>
      </c>
      <c r="U1737" t="s">
        <v>8</v>
      </c>
      <c r="V1737" t="s">
        <v>8</v>
      </c>
      <c r="W1737" t="s">
        <v>4</v>
      </c>
      <c r="X1737" t="s">
        <v>3228</v>
      </c>
    </row>
    <row r="1738" spans="1:24" x14ac:dyDescent="0.25">
      <c r="A1738" t="s">
        <v>3433</v>
      </c>
      <c r="B1738" s="9">
        <v>45663</v>
      </c>
      <c r="C1738" t="s">
        <v>1</v>
      </c>
      <c r="D1738" t="s">
        <v>410</v>
      </c>
      <c r="E1738" t="s">
        <v>411</v>
      </c>
      <c r="F1738" t="s">
        <v>4</v>
      </c>
      <c r="G1738" t="s">
        <v>5</v>
      </c>
      <c r="H1738">
        <v>11035</v>
      </c>
      <c r="I1738" t="s">
        <v>3460</v>
      </c>
      <c r="J1738" t="s">
        <v>413</v>
      </c>
      <c r="K1738" t="s">
        <v>3461</v>
      </c>
      <c r="L1738" t="s">
        <v>3462</v>
      </c>
      <c r="M1738" t="s">
        <v>3291</v>
      </c>
      <c r="N1738" t="s">
        <v>1</v>
      </c>
      <c r="O1738" s="9">
        <v>45663</v>
      </c>
      <c r="P1738" t="s">
        <v>3463</v>
      </c>
      <c r="Q1738">
        <v>45663</v>
      </c>
      <c r="R1738" t="s">
        <v>3464</v>
      </c>
      <c r="S1738" t="s">
        <v>2496</v>
      </c>
      <c r="T1738">
        <v>1</v>
      </c>
      <c r="U1738" t="s">
        <v>8</v>
      </c>
      <c r="V1738" t="s">
        <v>8</v>
      </c>
      <c r="W1738" t="s">
        <v>4</v>
      </c>
      <c r="X1738" t="s">
        <v>3228</v>
      </c>
    </row>
    <row r="1739" spans="1:24" x14ac:dyDescent="0.25">
      <c r="A1739" t="s">
        <v>3433</v>
      </c>
      <c r="B1739" s="9">
        <v>45698</v>
      </c>
      <c r="C1739" t="s">
        <v>12</v>
      </c>
      <c r="D1739" t="s">
        <v>410</v>
      </c>
      <c r="E1739" t="s">
        <v>411</v>
      </c>
      <c r="F1739" t="s">
        <v>4</v>
      </c>
      <c r="G1739" t="s">
        <v>5</v>
      </c>
      <c r="H1739">
        <v>59.41</v>
      </c>
      <c r="I1739" t="s">
        <v>3492</v>
      </c>
      <c r="J1739" t="s">
        <v>413</v>
      </c>
      <c r="K1739" t="s">
        <v>3493</v>
      </c>
      <c r="L1739" t="s">
        <v>3494</v>
      </c>
      <c r="M1739" t="s">
        <v>3280</v>
      </c>
      <c r="N1739" t="s">
        <v>1</v>
      </c>
      <c r="O1739" s="9">
        <v>45694</v>
      </c>
      <c r="P1739" t="s">
        <v>3495</v>
      </c>
      <c r="Q1739">
        <v>45698</v>
      </c>
      <c r="R1739" t="s">
        <v>3496</v>
      </c>
      <c r="S1739" t="s">
        <v>2511</v>
      </c>
      <c r="T1739">
        <v>1</v>
      </c>
      <c r="U1739" t="s">
        <v>8</v>
      </c>
      <c r="V1739" t="s">
        <v>8</v>
      </c>
      <c r="W1739" t="s">
        <v>4</v>
      </c>
      <c r="X1739" t="s">
        <v>3228</v>
      </c>
    </row>
    <row r="1740" spans="1:24" x14ac:dyDescent="0.25">
      <c r="A1740" t="s">
        <v>3433</v>
      </c>
      <c r="B1740" s="9">
        <v>45698</v>
      </c>
      <c r="C1740" t="s">
        <v>12</v>
      </c>
      <c r="D1740" t="s">
        <v>410</v>
      </c>
      <c r="E1740" t="s">
        <v>411</v>
      </c>
      <c r="F1740" t="s">
        <v>4</v>
      </c>
      <c r="G1740" t="s">
        <v>5</v>
      </c>
      <c r="H1740">
        <v>3077.69</v>
      </c>
      <c r="I1740" t="s">
        <v>3492</v>
      </c>
      <c r="J1740" t="s">
        <v>413</v>
      </c>
      <c r="K1740" t="s">
        <v>3493</v>
      </c>
      <c r="L1740" t="s">
        <v>3494</v>
      </c>
      <c r="M1740" t="s">
        <v>3280</v>
      </c>
      <c r="N1740" t="s">
        <v>12</v>
      </c>
      <c r="O1740" s="9">
        <v>45694</v>
      </c>
      <c r="P1740" t="s">
        <v>3495</v>
      </c>
      <c r="Q1740">
        <v>45698</v>
      </c>
      <c r="R1740" t="s">
        <v>3496</v>
      </c>
      <c r="S1740" t="s">
        <v>2502</v>
      </c>
      <c r="T1740">
        <v>49</v>
      </c>
      <c r="U1740" t="s">
        <v>8</v>
      </c>
      <c r="V1740" t="s">
        <v>8</v>
      </c>
      <c r="W1740" t="s">
        <v>4</v>
      </c>
      <c r="X1740" t="s">
        <v>3228</v>
      </c>
    </row>
    <row r="1741" spans="1:24" x14ac:dyDescent="0.25">
      <c r="A1741" t="s">
        <v>3433</v>
      </c>
      <c r="B1741" s="9">
        <v>45698</v>
      </c>
      <c r="C1741" t="s">
        <v>12</v>
      </c>
      <c r="D1741" t="s">
        <v>410</v>
      </c>
      <c r="E1741" t="s">
        <v>411</v>
      </c>
      <c r="F1741" t="s">
        <v>4</v>
      </c>
      <c r="G1741" t="s">
        <v>5</v>
      </c>
      <c r="H1741">
        <v>855.68</v>
      </c>
      <c r="I1741" t="s">
        <v>3492</v>
      </c>
      <c r="J1741" t="s">
        <v>413</v>
      </c>
      <c r="K1741" t="s">
        <v>3493</v>
      </c>
      <c r="L1741" t="s">
        <v>3494</v>
      </c>
      <c r="M1741" t="s">
        <v>3280</v>
      </c>
      <c r="N1741" t="s">
        <v>17</v>
      </c>
      <c r="O1741" s="9">
        <v>45694</v>
      </c>
      <c r="P1741" t="s">
        <v>3495</v>
      </c>
      <c r="Q1741">
        <v>45698</v>
      </c>
      <c r="R1741" t="s">
        <v>3496</v>
      </c>
      <c r="S1741" t="s">
        <v>2509</v>
      </c>
      <c r="T1741">
        <v>14</v>
      </c>
      <c r="U1741" t="s">
        <v>8</v>
      </c>
      <c r="V1741" t="s">
        <v>8</v>
      </c>
      <c r="W1741" t="s">
        <v>4</v>
      </c>
      <c r="X1741" t="s">
        <v>3228</v>
      </c>
    </row>
    <row r="1742" spans="1:24" x14ac:dyDescent="0.25">
      <c r="A1742" t="s">
        <v>3433</v>
      </c>
      <c r="B1742" s="9">
        <v>45698</v>
      </c>
      <c r="C1742" t="s">
        <v>12</v>
      </c>
      <c r="D1742" t="s">
        <v>410</v>
      </c>
      <c r="E1742" t="s">
        <v>411</v>
      </c>
      <c r="F1742" t="s">
        <v>4</v>
      </c>
      <c r="G1742" t="s">
        <v>5</v>
      </c>
      <c r="H1742">
        <v>3666.96</v>
      </c>
      <c r="I1742" t="s">
        <v>3492</v>
      </c>
      <c r="J1742" t="s">
        <v>413</v>
      </c>
      <c r="K1742" t="s">
        <v>3493</v>
      </c>
      <c r="L1742" t="s">
        <v>3494</v>
      </c>
      <c r="M1742" t="s">
        <v>3280</v>
      </c>
      <c r="N1742" t="s">
        <v>43</v>
      </c>
      <c r="O1742" s="9">
        <v>45694</v>
      </c>
      <c r="P1742" t="s">
        <v>3495</v>
      </c>
      <c r="Q1742">
        <v>45698</v>
      </c>
      <c r="R1742" t="s">
        <v>3496</v>
      </c>
      <c r="S1742" t="s">
        <v>2503</v>
      </c>
      <c r="T1742">
        <v>36</v>
      </c>
      <c r="U1742" t="s">
        <v>8</v>
      </c>
      <c r="V1742" t="s">
        <v>8</v>
      </c>
      <c r="W1742" t="s">
        <v>4</v>
      </c>
      <c r="X1742" t="s">
        <v>3228</v>
      </c>
    </row>
    <row r="1743" spans="1:24" x14ac:dyDescent="0.25">
      <c r="A1743" t="s">
        <v>3433</v>
      </c>
      <c r="B1743" s="9">
        <v>45698</v>
      </c>
      <c r="C1743" t="s">
        <v>12</v>
      </c>
      <c r="D1743" t="s">
        <v>410</v>
      </c>
      <c r="E1743" t="s">
        <v>411</v>
      </c>
      <c r="F1743" t="s">
        <v>4</v>
      </c>
      <c r="G1743" t="s">
        <v>5</v>
      </c>
      <c r="H1743">
        <v>590.76</v>
      </c>
      <c r="I1743" t="s">
        <v>3492</v>
      </c>
      <c r="J1743" t="s">
        <v>413</v>
      </c>
      <c r="K1743" t="s">
        <v>3493</v>
      </c>
      <c r="L1743" t="s">
        <v>3494</v>
      </c>
      <c r="M1743" t="s">
        <v>3280</v>
      </c>
      <c r="N1743" t="s">
        <v>77</v>
      </c>
      <c r="O1743" s="9">
        <v>45694</v>
      </c>
      <c r="P1743" t="s">
        <v>3495</v>
      </c>
      <c r="Q1743">
        <v>45698</v>
      </c>
      <c r="R1743" t="s">
        <v>3496</v>
      </c>
      <c r="S1743" t="s">
        <v>2510</v>
      </c>
      <c r="T1743">
        <v>12</v>
      </c>
      <c r="U1743" t="s">
        <v>8</v>
      </c>
      <c r="V1743" t="s">
        <v>8</v>
      </c>
      <c r="W1743" t="s">
        <v>4</v>
      </c>
      <c r="X1743" t="s">
        <v>3228</v>
      </c>
    </row>
    <row r="1744" spans="1:24" x14ac:dyDescent="0.25">
      <c r="A1744" t="s">
        <v>3433</v>
      </c>
      <c r="B1744" s="9">
        <v>45698</v>
      </c>
      <c r="C1744" t="s">
        <v>12</v>
      </c>
      <c r="D1744" t="s">
        <v>410</v>
      </c>
      <c r="E1744" t="s">
        <v>411</v>
      </c>
      <c r="F1744" t="s">
        <v>4</v>
      </c>
      <c r="G1744" t="s">
        <v>5</v>
      </c>
      <c r="H1744">
        <v>11.88</v>
      </c>
      <c r="I1744" t="s">
        <v>3492</v>
      </c>
      <c r="J1744" t="s">
        <v>413</v>
      </c>
      <c r="K1744" t="s">
        <v>3493</v>
      </c>
      <c r="L1744" t="s">
        <v>3494</v>
      </c>
      <c r="M1744" t="s">
        <v>3280</v>
      </c>
      <c r="N1744" t="s">
        <v>22</v>
      </c>
      <c r="O1744" s="9">
        <v>45694</v>
      </c>
      <c r="P1744" t="s">
        <v>3495</v>
      </c>
      <c r="Q1744">
        <v>45698</v>
      </c>
      <c r="R1744" t="s">
        <v>3496</v>
      </c>
      <c r="S1744" t="s">
        <v>3497</v>
      </c>
      <c r="T1744">
        <v>1</v>
      </c>
      <c r="U1744" t="s">
        <v>8</v>
      </c>
      <c r="V1744" t="s">
        <v>8</v>
      </c>
      <c r="W1744" t="s">
        <v>4</v>
      </c>
      <c r="X1744" t="s">
        <v>3228</v>
      </c>
    </row>
    <row r="1745" spans="1:24" x14ac:dyDescent="0.25">
      <c r="A1745" t="s">
        <v>3433</v>
      </c>
      <c r="B1745" s="9">
        <v>45698</v>
      </c>
      <c r="C1745" t="s">
        <v>12</v>
      </c>
      <c r="D1745" t="s">
        <v>410</v>
      </c>
      <c r="E1745" t="s">
        <v>411</v>
      </c>
      <c r="F1745" t="s">
        <v>4</v>
      </c>
      <c r="G1745" t="s">
        <v>5</v>
      </c>
      <c r="H1745">
        <v>537</v>
      </c>
      <c r="I1745" t="s">
        <v>3492</v>
      </c>
      <c r="J1745" t="s">
        <v>413</v>
      </c>
      <c r="K1745" t="s">
        <v>3493</v>
      </c>
      <c r="L1745" t="s">
        <v>3494</v>
      </c>
      <c r="M1745" t="s">
        <v>3280</v>
      </c>
      <c r="N1745" t="s">
        <v>72</v>
      </c>
      <c r="O1745" s="9">
        <v>45694</v>
      </c>
      <c r="P1745" t="s">
        <v>3495</v>
      </c>
      <c r="Q1745">
        <v>45698</v>
      </c>
      <c r="R1745" t="s">
        <v>3496</v>
      </c>
      <c r="S1745" t="s">
        <v>2930</v>
      </c>
      <c r="T1745">
        <v>3</v>
      </c>
      <c r="U1745" t="s">
        <v>8</v>
      </c>
      <c r="V1745" t="s">
        <v>8</v>
      </c>
      <c r="W1745" t="s">
        <v>4</v>
      </c>
      <c r="X1745" t="s">
        <v>3228</v>
      </c>
    </row>
    <row r="1746" spans="1:24" x14ac:dyDescent="0.25">
      <c r="A1746" t="s">
        <v>3433</v>
      </c>
      <c r="B1746" s="9">
        <v>45744</v>
      </c>
      <c r="C1746" t="s">
        <v>17</v>
      </c>
      <c r="D1746" t="s">
        <v>410</v>
      </c>
      <c r="E1746" t="s">
        <v>411</v>
      </c>
      <c r="F1746" t="s">
        <v>4</v>
      </c>
      <c r="G1746" t="s">
        <v>5</v>
      </c>
      <c r="H1746">
        <v>11035</v>
      </c>
      <c r="I1746" t="s">
        <v>3531</v>
      </c>
      <c r="J1746" t="s">
        <v>413</v>
      </c>
      <c r="K1746" t="s">
        <v>3532</v>
      </c>
      <c r="L1746" t="s">
        <v>3533</v>
      </c>
      <c r="M1746" t="s">
        <v>3280</v>
      </c>
      <c r="N1746" t="s">
        <v>1</v>
      </c>
      <c r="O1746">
        <v>45727</v>
      </c>
      <c r="P1746" t="s">
        <v>3534</v>
      </c>
      <c r="Q1746">
        <v>45744</v>
      </c>
      <c r="R1746" t="s">
        <v>3535</v>
      </c>
      <c r="S1746" t="s">
        <v>2496</v>
      </c>
      <c r="T1746">
        <v>1</v>
      </c>
      <c r="U1746" t="s">
        <v>8</v>
      </c>
      <c r="V1746" t="s">
        <v>8</v>
      </c>
      <c r="W1746" t="s">
        <v>4</v>
      </c>
      <c r="X1746" t="s">
        <v>3228</v>
      </c>
    </row>
    <row r="1747" spans="1:24" x14ac:dyDescent="0.25">
      <c r="A1747" t="s">
        <v>3433</v>
      </c>
      <c r="B1747" s="9">
        <v>45756</v>
      </c>
      <c r="C1747" t="s">
        <v>43</v>
      </c>
      <c r="D1747" t="s">
        <v>410</v>
      </c>
      <c r="E1747" t="s">
        <v>411</v>
      </c>
      <c r="F1747" t="s">
        <v>4</v>
      </c>
      <c r="G1747" t="s">
        <v>5</v>
      </c>
      <c r="H1747">
        <v>509.1</v>
      </c>
      <c r="I1747" t="s">
        <v>3574</v>
      </c>
      <c r="J1747" t="s">
        <v>413</v>
      </c>
      <c r="K1747" t="s">
        <v>3575</v>
      </c>
      <c r="L1747" t="s">
        <v>3576</v>
      </c>
      <c r="M1747" t="s">
        <v>21</v>
      </c>
      <c r="N1747" t="s">
        <v>1</v>
      </c>
      <c r="O1747">
        <v>45754</v>
      </c>
      <c r="P1747" t="s">
        <v>3577</v>
      </c>
      <c r="Q1747">
        <v>45756</v>
      </c>
      <c r="R1747" t="s">
        <v>3578</v>
      </c>
      <c r="S1747" t="s">
        <v>3053</v>
      </c>
      <c r="T1747">
        <v>15</v>
      </c>
      <c r="U1747" t="s">
        <v>8</v>
      </c>
      <c r="V1747" t="s">
        <v>8</v>
      </c>
      <c r="W1747" t="s">
        <v>4</v>
      </c>
      <c r="X1747" t="s">
        <v>3228</v>
      </c>
    </row>
    <row r="1748" spans="1:24" x14ac:dyDescent="0.25">
      <c r="A1748" t="s">
        <v>3433</v>
      </c>
      <c r="B1748" s="9">
        <v>45756</v>
      </c>
      <c r="C1748" t="s">
        <v>43</v>
      </c>
      <c r="D1748" t="s">
        <v>410</v>
      </c>
      <c r="E1748" t="s">
        <v>411</v>
      </c>
      <c r="F1748" t="s">
        <v>4</v>
      </c>
      <c r="G1748" t="s">
        <v>5</v>
      </c>
      <c r="H1748">
        <v>127.35</v>
      </c>
      <c r="I1748" t="s">
        <v>3574</v>
      </c>
      <c r="J1748" t="s">
        <v>413</v>
      </c>
      <c r="K1748" t="s">
        <v>3575</v>
      </c>
      <c r="L1748" t="s">
        <v>3576</v>
      </c>
      <c r="M1748" t="s">
        <v>21</v>
      </c>
      <c r="N1748" t="s">
        <v>12</v>
      </c>
      <c r="O1748">
        <v>45754</v>
      </c>
      <c r="P1748" t="s">
        <v>3577</v>
      </c>
      <c r="Q1748">
        <v>45756</v>
      </c>
      <c r="R1748" t="s">
        <v>3578</v>
      </c>
      <c r="S1748" t="s">
        <v>2576</v>
      </c>
      <c r="T1748">
        <v>3</v>
      </c>
      <c r="U1748" t="s">
        <v>8</v>
      </c>
      <c r="V1748" t="s">
        <v>8</v>
      </c>
      <c r="W1748" t="s">
        <v>4</v>
      </c>
      <c r="X1748" t="s">
        <v>3228</v>
      </c>
    </row>
    <row r="1749" spans="1:24" x14ac:dyDescent="0.25">
      <c r="A1749" t="s">
        <v>3433</v>
      </c>
      <c r="B1749" s="9">
        <v>45761</v>
      </c>
      <c r="C1749" t="s">
        <v>43</v>
      </c>
      <c r="D1749" t="s">
        <v>410</v>
      </c>
      <c r="E1749" t="s">
        <v>411</v>
      </c>
      <c r="F1749" t="s">
        <v>4</v>
      </c>
      <c r="G1749" t="s">
        <v>5</v>
      </c>
      <c r="H1749">
        <v>11035</v>
      </c>
      <c r="I1749" t="s">
        <v>3579</v>
      </c>
      <c r="J1749" t="s">
        <v>413</v>
      </c>
      <c r="K1749" t="s">
        <v>3580</v>
      </c>
      <c r="L1749" t="s">
        <v>3581</v>
      </c>
      <c r="M1749" t="s">
        <v>3280</v>
      </c>
      <c r="N1749" t="s">
        <v>1</v>
      </c>
      <c r="O1749">
        <v>45758</v>
      </c>
      <c r="P1749" t="s">
        <v>3582</v>
      </c>
      <c r="Q1749">
        <v>45761</v>
      </c>
      <c r="R1749" t="s">
        <v>3583</v>
      </c>
      <c r="S1749" t="s">
        <v>2496</v>
      </c>
      <c r="T1749">
        <v>1</v>
      </c>
      <c r="U1749" t="s">
        <v>8</v>
      </c>
      <c r="V1749" t="s">
        <v>8</v>
      </c>
      <c r="W1749" t="s">
        <v>4</v>
      </c>
      <c r="X1749" t="s">
        <v>3228</v>
      </c>
    </row>
    <row r="1750" spans="1:24" x14ac:dyDescent="0.25">
      <c r="A1750" t="s">
        <v>3433</v>
      </c>
      <c r="B1750" s="9">
        <v>45761</v>
      </c>
      <c r="C1750" t="s">
        <v>43</v>
      </c>
      <c r="D1750" t="s">
        <v>410</v>
      </c>
      <c r="E1750" t="s">
        <v>411</v>
      </c>
      <c r="F1750" t="s">
        <v>4</v>
      </c>
      <c r="G1750" t="s">
        <v>5</v>
      </c>
      <c r="H1750">
        <v>2198.35</v>
      </c>
      <c r="I1750" t="s">
        <v>3584</v>
      </c>
      <c r="J1750" t="s">
        <v>413</v>
      </c>
      <c r="K1750" t="s">
        <v>3585</v>
      </c>
      <c r="L1750" t="s">
        <v>3586</v>
      </c>
      <c r="M1750" t="s">
        <v>3550</v>
      </c>
      <c r="N1750" t="s">
        <v>1</v>
      </c>
      <c r="O1750">
        <v>45754</v>
      </c>
      <c r="P1750" t="s">
        <v>3587</v>
      </c>
      <c r="Q1750">
        <v>45761</v>
      </c>
      <c r="R1750" t="s">
        <v>3588</v>
      </c>
      <c r="S1750" t="s">
        <v>2502</v>
      </c>
      <c r="T1750">
        <v>35</v>
      </c>
      <c r="U1750" t="s">
        <v>8</v>
      </c>
      <c r="V1750" t="s">
        <v>8</v>
      </c>
      <c r="W1750" t="s">
        <v>4</v>
      </c>
      <c r="X1750" t="s">
        <v>3228</v>
      </c>
    </row>
    <row r="1751" spans="1:24" x14ac:dyDescent="0.25">
      <c r="A1751" t="s">
        <v>3433</v>
      </c>
      <c r="B1751" s="9">
        <v>45761</v>
      </c>
      <c r="C1751" t="s">
        <v>43</v>
      </c>
      <c r="D1751" t="s">
        <v>410</v>
      </c>
      <c r="E1751" t="s">
        <v>411</v>
      </c>
      <c r="F1751" t="s">
        <v>4</v>
      </c>
      <c r="G1751" t="s">
        <v>5</v>
      </c>
      <c r="H1751">
        <v>393.84</v>
      </c>
      <c r="I1751" t="s">
        <v>3584</v>
      </c>
      <c r="J1751" t="s">
        <v>413</v>
      </c>
      <c r="K1751" t="s">
        <v>3585</v>
      </c>
      <c r="L1751" t="s">
        <v>3586</v>
      </c>
      <c r="M1751" t="s">
        <v>3550</v>
      </c>
      <c r="N1751" t="s">
        <v>12</v>
      </c>
      <c r="O1751">
        <v>45754</v>
      </c>
      <c r="P1751" t="s">
        <v>3587</v>
      </c>
      <c r="Q1751">
        <v>45761</v>
      </c>
      <c r="R1751" t="s">
        <v>3588</v>
      </c>
      <c r="S1751" t="s">
        <v>2510</v>
      </c>
      <c r="T1751">
        <v>8</v>
      </c>
      <c r="U1751" t="s">
        <v>8</v>
      </c>
      <c r="V1751" t="s">
        <v>8</v>
      </c>
      <c r="W1751" t="s">
        <v>4</v>
      </c>
      <c r="X1751" t="s">
        <v>3228</v>
      </c>
    </row>
    <row r="1752" spans="1:24" x14ac:dyDescent="0.25">
      <c r="A1752" t="s">
        <v>3433</v>
      </c>
      <c r="B1752" s="9">
        <v>45761</v>
      </c>
      <c r="C1752" t="s">
        <v>43</v>
      </c>
      <c r="D1752" t="s">
        <v>410</v>
      </c>
      <c r="E1752" t="s">
        <v>411</v>
      </c>
      <c r="F1752" t="s">
        <v>4</v>
      </c>
      <c r="G1752" t="s">
        <v>5</v>
      </c>
      <c r="H1752">
        <v>358</v>
      </c>
      <c r="I1752" t="s">
        <v>3584</v>
      </c>
      <c r="J1752" t="s">
        <v>413</v>
      </c>
      <c r="K1752" t="s">
        <v>3585</v>
      </c>
      <c r="L1752" t="s">
        <v>3586</v>
      </c>
      <c r="M1752" t="s">
        <v>3550</v>
      </c>
      <c r="N1752" t="s">
        <v>17</v>
      </c>
      <c r="O1752">
        <v>45754</v>
      </c>
      <c r="P1752" t="s">
        <v>3587</v>
      </c>
      <c r="Q1752">
        <v>45761</v>
      </c>
      <c r="R1752" t="s">
        <v>3588</v>
      </c>
      <c r="S1752" t="s">
        <v>2930</v>
      </c>
      <c r="T1752">
        <v>2</v>
      </c>
      <c r="U1752" t="s">
        <v>8</v>
      </c>
      <c r="V1752" t="s">
        <v>8</v>
      </c>
      <c r="W1752" t="s">
        <v>4</v>
      </c>
      <c r="X1752" t="s">
        <v>3228</v>
      </c>
    </row>
    <row r="1753" spans="1:24" x14ac:dyDescent="0.25">
      <c r="A1753" t="s">
        <v>3433</v>
      </c>
      <c r="B1753" s="9">
        <v>45761</v>
      </c>
      <c r="C1753" t="s">
        <v>43</v>
      </c>
      <c r="D1753" t="s">
        <v>410</v>
      </c>
      <c r="E1753" t="s">
        <v>411</v>
      </c>
      <c r="F1753" t="s">
        <v>4</v>
      </c>
      <c r="G1753" t="s">
        <v>5</v>
      </c>
      <c r="H1753">
        <v>458.38</v>
      </c>
      <c r="I1753" t="s">
        <v>3584</v>
      </c>
      <c r="J1753" t="s">
        <v>413</v>
      </c>
      <c r="K1753" t="s">
        <v>3585</v>
      </c>
      <c r="L1753" t="s">
        <v>3586</v>
      </c>
      <c r="M1753" t="s">
        <v>3550</v>
      </c>
      <c r="N1753" t="s">
        <v>43</v>
      </c>
      <c r="O1753">
        <v>45754</v>
      </c>
      <c r="P1753" t="s">
        <v>3587</v>
      </c>
      <c r="Q1753">
        <v>45761</v>
      </c>
      <c r="R1753" t="s">
        <v>3588</v>
      </c>
      <c r="S1753" t="s">
        <v>2578</v>
      </c>
      <c r="T1753">
        <v>1</v>
      </c>
      <c r="U1753" t="s">
        <v>8</v>
      </c>
      <c r="V1753" t="s">
        <v>8</v>
      </c>
      <c r="W1753" t="s">
        <v>4</v>
      </c>
      <c r="X1753" t="s">
        <v>3228</v>
      </c>
    </row>
    <row r="1754" spans="1:24" x14ac:dyDescent="0.25">
      <c r="A1754" t="s">
        <v>3433</v>
      </c>
      <c r="B1754" s="9">
        <v>45761</v>
      </c>
      <c r="C1754" t="s">
        <v>43</v>
      </c>
      <c r="D1754" t="s">
        <v>410</v>
      </c>
      <c r="E1754" t="s">
        <v>411</v>
      </c>
      <c r="F1754" t="s">
        <v>4</v>
      </c>
      <c r="G1754" t="s">
        <v>5</v>
      </c>
      <c r="H1754">
        <v>733.44</v>
      </c>
      <c r="I1754" t="s">
        <v>3584</v>
      </c>
      <c r="J1754" t="s">
        <v>413</v>
      </c>
      <c r="K1754" t="s">
        <v>3585</v>
      </c>
      <c r="L1754" t="s">
        <v>3586</v>
      </c>
      <c r="M1754" t="s">
        <v>3550</v>
      </c>
      <c r="N1754" t="s">
        <v>77</v>
      </c>
      <c r="O1754">
        <v>45754</v>
      </c>
      <c r="P1754" t="s">
        <v>3587</v>
      </c>
      <c r="Q1754">
        <v>45761</v>
      </c>
      <c r="R1754" t="s">
        <v>3588</v>
      </c>
      <c r="S1754" t="s">
        <v>2509</v>
      </c>
      <c r="T1754">
        <v>12</v>
      </c>
      <c r="U1754" t="s">
        <v>8</v>
      </c>
      <c r="V1754" t="s">
        <v>8</v>
      </c>
      <c r="W1754" t="s">
        <v>4</v>
      </c>
      <c r="X1754" t="s">
        <v>3228</v>
      </c>
    </row>
    <row r="1755" spans="1:24" x14ac:dyDescent="0.25">
      <c r="A1755" t="s">
        <v>3433</v>
      </c>
      <c r="B1755" s="9">
        <v>45761</v>
      </c>
      <c r="C1755" t="s">
        <v>43</v>
      </c>
      <c r="D1755" t="s">
        <v>410</v>
      </c>
      <c r="E1755" t="s">
        <v>411</v>
      </c>
      <c r="F1755" t="s">
        <v>4</v>
      </c>
      <c r="G1755" t="s">
        <v>5</v>
      </c>
      <c r="H1755">
        <v>1935.34</v>
      </c>
      <c r="I1755" t="s">
        <v>3584</v>
      </c>
      <c r="J1755" t="s">
        <v>413</v>
      </c>
      <c r="K1755" t="s">
        <v>3585</v>
      </c>
      <c r="L1755" t="s">
        <v>3586</v>
      </c>
      <c r="M1755" t="s">
        <v>3550</v>
      </c>
      <c r="N1755" t="s">
        <v>22</v>
      </c>
      <c r="O1755">
        <v>45754</v>
      </c>
      <c r="P1755" t="s">
        <v>3587</v>
      </c>
      <c r="Q1755">
        <v>45761</v>
      </c>
      <c r="R1755" t="s">
        <v>3588</v>
      </c>
      <c r="S1755" t="s">
        <v>2503</v>
      </c>
      <c r="T1755">
        <v>19</v>
      </c>
      <c r="U1755" t="s">
        <v>8</v>
      </c>
      <c r="V1755" t="s">
        <v>8</v>
      </c>
      <c r="W1755" t="s">
        <v>4</v>
      </c>
      <c r="X1755" t="s">
        <v>3228</v>
      </c>
    </row>
    <row r="1756" spans="1:24" x14ac:dyDescent="0.25">
      <c r="A1756" t="s">
        <v>3433</v>
      </c>
      <c r="B1756" s="9">
        <v>45772</v>
      </c>
      <c r="C1756" t="s">
        <v>43</v>
      </c>
      <c r="D1756" t="s">
        <v>673</v>
      </c>
      <c r="E1756" t="s">
        <v>674</v>
      </c>
      <c r="F1756" t="s">
        <v>4</v>
      </c>
      <c r="G1756" t="s">
        <v>5</v>
      </c>
      <c r="H1756">
        <v>1000</v>
      </c>
      <c r="I1756" t="s">
        <v>3589</v>
      </c>
      <c r="J1756" t="s">
        <v>413</v>
      </c>
      <c r="K1756" t="s">
        <v>8</v>
      </c>
      <c r="L1756" t="s">
        <v>3590</v>
      </c>
      <c r="M1756" t="s">
        <v>29</v>
      </c>
      <c r="N1756" t="s">
        <v>1</v>
      </c>
      <c r="O1756">
        <v>45763</v>
      </c>
      <c r="P1756" t="s">
        <v>3591</v>
      </c>
      <c r="Q1756">
        <v>45772</v>
      </c>
      <c r="R1756" t="s">
        <v>3592</v>
      </c>
      <c r="S1756" t="s">
        <v>8</v>
      </c>
      <c r="T1756">
        <v>0</v>
      </c>
      <c r="U1756" t="s">
        <v>8</v>
      </c>
      <c r="V1756" t="s">
        <v>8</v>
      </c>
      <c r="W1756" t="s">
        <v>4</v>
      </c>
      <c r="X1756" t="s">
        <v>674</v>
      </c>
    </row>
    <row r="1757" spans="1:24" x14ac:dyDescent="0.25">
      <c r="A1757" t="s">
        <v>3433</v>
      </c>
      <c r="B1757" s="2">
        <v>45793</v>
      </c>
      <c r="C1757" t="s">
        <v>77</v>
      </c>
      <c r="D1757" t="s">
        <v>410</v>
      </c>
      <c r="E1757" t="s">
        <v>411</v>
      </c>
      <c r="F1757" t="s">
        <v>4</v>
      </c>
      <c r="G1757" t="s">
        <v>5</v>
      </c>
      <c r="H1757" s="3">
        <v>11035</v>
      </c>
      <c r="I1757" t="s">
        <v>3608</v>
      </c>
      <c r="J1757" t="s">
        <v>413</v>
      </c>
      <c r="K1757" t="s">
        <v>3609</v>
      </c>
      <c r="L1757" t="s">
        <v>3610</v>
      </c>
      <c r="M1757" t="s">
        <v>21</v>
      </c>
      <c r="N1757" t="s">
        <v>1</v>
      </c>
      <c r="O1757" s="2">
        <v>45791</v>
      </c>
      <c r="P1757" t="s">
        <v>3611</v>
      </c>
      <c r="Q1757" s="2">
        <v>45793</v>
      </c>
      <c r="R1757" t="s">
        <v>3612</v>
      </c>
      <c r="S1757" t="s">
        <v>2496</v>
      </c>
      <c r="T1757" s="17">
        <v>1</v>
      </c>
      <c r="U1757" t="s">
        <v>8</v>
      </c>
      <c r="V1757" t="s">
        <v>8</v>
      </c>
      <c r="W1757" t="s">
        <v>4</v>
      </c>
      <c r="X1757" t="s">
        <v>3228</v>
      </c>
    </row>
    <row r="1758" spans="1:24" x14ac:dyDescent="0.25">
      <c r="A1758" t="s">
        <v>3433</v>
      </c>
      <c r="B1758" s="2">
        <v>45804</v>
      </c>
      <c r="C1758" t="s">
        <v>77</v>
      </c>
      <c r="D1758" t="s">
        <v>410</v>
      </c>
      <c r="E1758" t="s">
        <v>411</v>
      </c>
      <c r="F1758" t="s">
        <v>4</v>
      </c>
      <c r="G1758" t="s">
        <v>5</v>
      </c>
      <c r="H1758" s="3">
        <v>9900</v>
      </c>
      <c r="I1758" t="s">
        <v>3613</v>
      </c>
      <c r="J1758" t="s">
        <v>413</v>
      </c>
      <c r="K1758" t="s">
        <v>8</v>
      </c>
      <c r="L1758" t="s">
        <v>3614</v>
      </c>
      <c r="M1758" t="s">
        <v>21</v>
      </c>
      <c r="N1758" t="s">
        <v>1</v>
      </c>
      <c r="O1758" s="2">
        <v>45691</v>
      </c>
      <c r="P1758" t="s">
        <v>3615</v>
      </c>
      <c r="Q1758" s="2">
        <v>45804</v>
      </c>
      <c r="R1758" t="s">
        <v>3616</v>
      </c>
      <c r="S1758" t="s">
        <v>8</v>
      </c>
      <c r="T1758" s="17">
        <v>0</v>
      </c>
      <c r="U1758" t="s">
        <v>8</v>
      </c>
      <c r="V1758" t="s">
        <v>8</v>
      </c>
      <c r="W1758" t="s">
        <v>4</v>
      </c>
      <c r="X1758" t="s">
        <v>3228</v>
      </c>
    </row>
    <row r="1759" spans="1:24" x14ac:dyDescent="0.25">
      <c r="A1759" t="s">
        <v>3433</v>
      </c>
      <c r="B1759" s="2">
        <v>45811</v>
      </c>
      <c r="C1759" t="s">
        <v>22</v>
      </c>
      <c r="D1759" t="s">
        <v>410</v>
      </c>
      <c r="E1759" t="s">
        <v>411</v>
      </c>
      <c r="F1759" t="s">
        <v>4</v>
      </c>
      <c r="G1759" t="s">
        <v>5</v>
      </c>
      <c r="H1759" s="3">
        <v>11035</v>
      </c>
      <c r="I1759" t="s">
        <v>3648</v>
      </c>
      <c r="J1759" t="s">
        <v>413</v>
      </c>
      <c r="K1759" t="s">
        <v>3649</v>
      </c>
      <c r="L1759" t="s">
        <v>3650</v>
      </c>
      <c r="M1759" t="s">
        <v>2493</v>
      </c>
      <c r="N1759" t="s">
        <v>1</v>
      </c>
      <c r="O1759" s="2">
        <v>45810</v>
      </c>
      <c r="P1759" t="s">
        <v>3651</v>
      </c>
      <c r="Q1759" s="2">
        <v>45811</v>
      </c>
      <c r="R1759" t="s">
        <v>3652</v>
      </c>
      <c r="S1759" t="s">
        <v>2496</v>
      </c>
      <c r="T1759" s="17">
        <v>1</v>
      </c>
      <c r="U1759" t="s">
        <v>8</v>
      </c>
      <c r="V1759" t="s">
        <v>8</v>
      </c>
      <c r="W1759" t="s">
        <v>4</v>
      </c>
      <c r="X1759" t="s">
        <v>3228</v>
      </c>
    </row>
    <row r="1760" spans="1:24" x14ac:dyDescent="0.25">
      <c r="A1760" t="s">
        <v>3433</v>
      </c>
      <c r="B1760" s="9">
        <v>45842</v>
      </c>
      <c r="C1760" t="s">
        <v>72</v>
      </c>
      <c r="D1760" t="s">
        <v>410</v>
      </c>
      <c r="E1760" t="s">
        <v>411</v>
      </c>
      <c r="F1760" t="s">
        <v>4</v>
      </c>
      <c r="G1760" t="s">
        <v>5</v>
      </c>
      <c r="H1760">
        <v>11035</v>
      </c>
      <c r="I1760" t="s">
        <v>3681</v>
      </c>
      <c r="J1760" t="s">
        <v>413</v>
      </c>
      <c r="K1760" t="s">
        <v>3682</v>
      </c>
      <c r="L1760" t="s">
        <v>3683</v>
      </c>
      <c r="M1760" t="s">
        <v>3280</v>
      </c>
      <c r="N1760" t="s">
        <v>1</v>
      </c>
      <c r="O1760">
        <v>45840</v>
      </c>
      <c r="P1760" t="s">
        <v>3684</v>
      </c>
      <c r="Q1760">
        <v>45842</v>
      </c>
      <c r="R1760" t="s">
        <v>3685</v>
      </c>
      <c r="S1760" t="s">
        <v>2496</v>
      </c>
      <c r="T1760">
        <v>1</v>
      </c>
      <c r="U1760" t="s">
        <v>8</v>
      </c>
      <c r="V1760" t="s">
        <v>8</v>
      </c>
      <c r="W1760" t="s">
        <v>4</v>
      </c>
      <c r="X1760" t="s">
        <v>3228</v>
      </c>
    </row>
    <row r="1761" spans="1:24" x14ac:dyDescent="0.25">
      <c r="A1761" t="s">
        <v>3433</v>
      </c>
      <c r="B1761" s="9">
        <v>45842</v>
      </c>
      <c r="C1761" t="s">
        <v>72</v>
      </c>
      <c r="D1761" t="s">
        <v>410</v>
      </c>
      <c r="E1761" t="s">
        <v>411</v>
      </c>
      <c r="F1761" t="s">
        <v>4</v>
      </c>
      <c r="G1761" t="s">
        <v>5</v>
      </c>
      <c r="H1761">
        <v>237.58</v>
      </c>
      <c r="I1761" t="s">
        <v>3686</v>
      </c>
      <c r="J1761" t="s">
        <v>413</v>
      </c>
      <c r="K1761" t="s">
        <v>3687</v>
      </c>
      <c r="L1761" t="s">
        <v>3688</v>
      </c>
      <c r="M1761" t="s">
        <v>21</v>
      </c>
      <c r="N1761" t="s">
        <v>1</v>
      </c>
      <c r="O1761">
        <v>45840</v>
      </c>
      <c r="P1761" t="s">
        <v>3689</v>
      </c>
      <c r="Q1761">
        <v>45842</v>
      </c>
      <c r="R1761" t="s">
        <v>3690</v>
      </c>
      <c r="S1761" t="s">
        <v>3053</v>
      </c>
      <c r="T1761">
        <v>7</v>
      </c>
      <c r="U1761" t="s">
        <v>8</v>
      </c>
      <c r="V1761" t="s">
        <v>8</v>
      </c>
      <c r="W1761" t="s">
        <v>4</v>
      </c>
      <c r="X1761" t="s">
        <v>3228</v>
      </c>
    </row>
    <row r="1762" spans="1:24" x14ac:dyDescent="0.25">
      <c r="A1762" t="s">
        <v>3433</v>
      </c>
      <c r="B1762" s="9">
        <v>45842</v>
      </c>
      <c r="C1762" t="s">
        <v>72</v>
      </c>
      <c r="D1762" t="s">
        <v>410</v>
      </c>
      <c r="E1762" t="s">
        <v>411</v>
      </c>
      <c r="F1762" t="s">
        <v>4</v>
      </c>
      <c r="G1762" t="s">
        <v>5</v>
      </c>
      <c r="H1762">
        <v>3226.2</v>
      </c>
      <c r="I1762" t="s">
        <v>3686</v>
      </c>
      <c r="J1762" t="s">
        <v>413</v>
      </c>
      <c r="K1762" t="s">
        <v>3687</v>
      </c>
      <c r="L1762" t="s">
        <v>3688</v>
      </c>
      <c r="M1762" t="s">
        <v>21</v>
      </c>
      <c r="N1762" t="s">
        <v>12</v>
      </c>
      <c r="O1762">
        <v>45840</v>
      </c>
      <c r="P1762" t="s">
        <v>3689</v>
      </c>
      <c r="Q1762">
        <v>45842</v>
      </c>
      <c r="R1762" t="s">
        <v>3690</v>
      </c>
      <c r="S1762" t="s">
        <v>2576</v>
      </c>
      <c r="T1762">
        <v>76</v>
      </c>
      <c r="U1762" t="s">
        <v>8</v>
      </c>
      <c r="V1762" t="s">
        <v>8</v>
      </c>
      <c r="W1762" t="s">
        <v>4</v>
      </c>
      <c r="X1762" t="s">
        <v>3228</v>
      </c>
    </row>
    <row r="1763" spans="1:24" x14ac:dyDescent="0.25">
      <c r="A1763" t="s">
        <v>3433</v>
      </c>
      <c r="B1763" s="9">
        <v>45842</v>
      </c>
      <c r="C1763" t="s">
        <v>72</v>
      </c>
      <c r="D1763" t="s">
        <v>410</v>
      </c>
      <c r="E1763" t="s">
        <v>411</v>
      </c>
      <c r="F1763" t="s">
        <v>4</v>
      </c>
      <c r="G1763" t="s">
        <v>5</v>
      </c>
      <c r="H1763">
        <v>3266.12</v>
      </c>
      <c r="I1763" t="s">
        <v>3691</v>
      </c>
      <c r="J1763" t="s">
        <v>413</v>
      </c>
      <c r="K1763" t="s">
        <v>3692</v>
      </c>
      <c r="L1763" t="s">
        <v>3693</v>
      </c>
      <c r="M1763" t="s">
        <v>21</v>
      </c>
      <c r="N1763" t="s">
        <v>1</v>
      </c>
      <c r="O1763">
        <v>45840</v>
      </c>
      <c r="P1763" t="s">
        <v>3694</v>
      </c>
      <c r="Q1763">
        <v>45842</v>
      </c>
      <c r="R1763" t="s">
        <v>3695</v>
      </c>
      <c r="S1763" t="s">
        <v>2502</v>
      </c>
      <c r="T1763">
        <v>52</v>
      </c>
      <c r="U1763" t="s">
        <v>8</v>
      </c>
      <c r="V1763" t="s">
        <v>8</v>
      </c>
      <c r="W1763" t="s">
        <v>4</v>
      </c>
      <c r="X1763" t="s">
        <v>3228</v>
      </c>
    </row>
    <row r="1764" spans="1:24" x14ac:dyDescent="0.25">
      <c r="A1764" t="s">
        <v>3433</v>
      </c>
      <c r="B1764" s="9">
        <v>45842</v>
      </c>
      <c r="C1764" t="s">
        <v>72</v>
      </c>
      <c r="D1764" t="s">
        <v>410</v>
      </c>
      <c r="E1764" t="s">
        <v>411</v>
      </c>
      <c r="F1764" t="s">
        <v>4</v>
      </c>
      <c r="G1764" t="s">
        <v>5</v>
      </c>
      <c r="H1764">
        <v>1161.28</v>
      </c>
      <c r="I1764" t="s">
        <v>3691</v>
      </c>
      <c r="J1764" t="s">
        <v>413</v>
      </c>
      <c r="K1764" t="s">
        <v>3692</v>
      </c>
      <c r="L1764" t="s">
        <v>3693</v>
      </c>
      <c r="M1764" t="s">
        <v>21</v>
      </c>
      <c r="N1764" t="s">
        <v>12</v>
      </c>
      <c r="O1764">
        <v>45840</v>
      </c>
      <c r="P1764" t="s">
        <v>3694</v>
      </c>
      <c r="Q1764">
        <v>45842</v>
      </c>
      <c r="R1764" t="s">
        <v>3695</v>
      </c>
      <c r="S1764" t="s">
        <v>2509</v>
      </c>
      <c r="T1764">
        <v>19</v>
      </c>
      <c r="U1764" t="s">
        <v>8</v>
      </c>
      <c r="V1764" t="s">
        <v>8</v>
      </c>
      <c r="W1764" t="s">
        <v>4</v>
      </c>
      <c r="X1764" t="s">
        <v>3228</v>
      </c>
    </row>
    <row r="1765" spans="1:24" x14ac:dyDescent="0.25">
      <c r="A1765" t="s">
        <v>3433</v>
      </c>
      <c r="B1765" s="9">
        <v>45842</v>
      </c>
      <c r="C1765" t="s">
        <v>72</v>
      </c>
      <c r="D1765" t="s">
        <v>410</v>
      </c>
      <c r="E1765" t="s">
        <v>411</v>
      </c>
      <c r="F1765" t="s">
        <v>4</v>
      </c>
      <c r="G1765" t="s">
        <v>5</v>
      </c>
      <c r="H1765">
        <v>4074.4</v>
      </c>
      <c r="I1765" t="s">
        <v>3691</v>
      </c>
      <c r="J1765" t="s">
        <v>413</v>
      </c>
      <c r="K1765" t="s">
        <v>3692</v>
      </c>
      <c r="L1765" t="s">
        <v>3693</v>
      </c>
      <c r="M1765" t="s">
        <v>21</v>
      </c>
      <c r="N1765" t="s">
        <v>17</v>
      </c>
      <c r="O1765">
        <v>45840</v>
      </c>
      <c r="P1765" t="s">
        <v>3694</v>
      </c>
      <c r="Q1765">
        <v>45842</v>
      </c>
      <c r="R1765" t="s">
        <v>3695</v>
      </c>
      <c r="S1765" t="s">
        <v>2503</v>
      </c>
      <c r="T1765">
        <v>40</v>
      </c>
      <c r="U1765" t="s">
        <v>8</v>
      </c>
      <c r="V1765" t="s">
        <v>8</v>
      </c>
      <c r="W1765" t="s">
        <v>4</v>
      </c>
      <c r="X1765" t="s">
        <v>3228</v>
      </c>
    </row>
    <row r="1766" spans="1:24" x14ac:dyDescent="0.25">
      <c r="A1766" t="s">
        <v>3433</v>
      </c>
      <c r="B1766" s="9">
        <v>45842</v>
      </c>
      <c r="C1766" t="s">
        <v>72</v>
      </c>
      <c r="D1766" t="s">
        <v>410</v>
      </c>
      <c r="E1766" t="s">
        <v>411</v>
      </c>
      <c r="F1766" t="s">
        <v>4</v>
      </c>
      <c r="G1766" t="s">
        <v>5</v>
      </c>
      <c r="H1766">
        <v>458.38</v>
      </c>
      <c r="I1766" t="s">
        <v>3691</v>
      </c>
      <c r="J1766" t="s">
        <v>413</v>
      </c>
      <c r="K1766" t="s">
        <v>3692</v>
      </c>
      <c r="L1766" t="s">
        <v>3693</v>
      </c>
      <c r="M1766" t="s">
        <v>21</v>
      </c>
      <c r="N1766" t="s">
        <v>43</v>
      </c>
      <c r="O1766">
        <v>45840</v>
      </c>
      <c r="P1766" t="s">
        <v>3694</v>
      </c>
      <c r="Q1766">
        <v>45842</v>
      </c>
      <c r="R1766" t="s">
        <v>3695</v>
      </c>
      <c r="S1766" t="s">
        <v>2578</v>
      </c>
      <c r="T1766">
        <v>1</v>
      </c>
      <c r="U1766" t="s">
        <v>8</v>
      </c>
      <c r="V1766" t="s">
        <v>8</v>
      </c>
      <c r="W1766" t="s">
        <v>4</v>
      </c>
      <c r="X1766" t="s">
        <v>3228</v>
      </c>
    </row>
    <row r="1767" spans="1:24" x14ac:dyDescent="0.25">
      <c r="A1767" t="s">
        <v>3433</v>
      </c>
      <c r="B1767" s="9">
        <v>45842</v>
      </c>
      <c r="C1767" t="s">
        <v>72</v>
      </c>
      <c r="D1767" t="s">
        <v>410</v>
      </c>
      <c r="E1767" t="s">
        <v>411</v>
      </c>
      <c r="F1767" t="s">
        <v>4</v>
      </c>
      <c r="G1767" t="s">
        <v>5</v>
      </c>
      <c r="H1767">
        <v>590.76</v>
      </c>
      <c r="I1767" t="s">
        <v>3691</v>
      </c>
      <c r="J1767" t="s">
        <v>413</v>
      </c>
      <c r="K1767" t="s">
        <v>3692</v>
      </c>
      <c r="L1767" t="s">
        <v>3693</v>
      </c>
      <c r="M1767" t="s">
        <v>21</v>
      </c>
      <c r="N1767" t="s">
        <v>77</v>
      </c>
      <c r="O1767">
        <v>45840</v>
      </c>
      <c r="P1767" t="s">
        <v>3694</v>
      </c>
      <c r="Q1767">
        <v>45842</v>
      </c>
      <c r="R1767" t="s">
        <v>3695</v>
      </c>
      <c r="S1767" t="s">
        <v>2510</v>
      </c>
      <c r="T1767">
        <v>12</v>
      </c>
      <c r="U1767" t="s">
        <v>8</v>
      </c>
      <c r="V1767" t="s">
        <v>8</v>
      </c>
      <c r="W1767" t="s">
        <v>4</v>
      </c>
      <c r="X1767" t="s">
        <v>3228</v>
      </c>
    </row>
    <row r="1768" spans="1:24" x14ac:dyDescent="0.25">
      <c r="A1768" t="s">
        <v>3433</v>
      </c>
      <c r="B1768" s="9">
        <v>45842</v>
      </c>
      <c r="C1768" t="s">
        <v>72</v>
      </c>
      <c r="D1768" t="s">
        <v>410</v>
      </c>
      <c r="E1768" t="s">
        <v>411</v>
      </c>
      <c r="F1768" t="s">
        <v>4</v>
      </c>
      <c r="G1768" t="s">
        <v>5</v>
      </c>
      <c r="H1768">
        <v>179</v>
      </c>
      <c r="I1768" t="s">
        <v>3691</v>
      </c>
      <c r="J1768" t="s">
        <v>413</v>
      </c>
      <c r="K1768" t="s">
        <v>3692</v>
      </c>
      <c r="L1768" t="s">
        <v>3693</v>
      </c>
      <c r="M1768" t="s">
        <v>21</v>
      </c>
      <c r="N1768" t="s">
        <v>22</v>
      </c>
      <c r="O1768">
        <v>45840</v>
      </c>
      <c r="P1768" t="s">
        <v>3694</v>
      </c>
      <c r="Q1768">
        <v>45842</v>
      </c>
      <c r="R1768" t="s">
        <v>3695</v>
      </c>
      <c r="S1768" t="s">
        <v>2930</v>
      </c>
      <c r="T1768">
        <v>1</v>
      </c>
      <c r="U1768" t="s">
        <v>8</v>
      </c>
      <c r="V1768" t="s">
        <v>8</v>
      </c>
      <c r="W1768" t="s">
        <v>4</v>
      </c>
      <c r="X1768" t="s">
        <v>3228</v>
      </c>
    </row>
    <row r="1769" spans="1:24" x14ac:dyDescent="0.25">
      <c r="A1769" t="s">
        <v>3433</v>
      </c>
      <c r="B1769" s="9">
        <v>45842</v>
      </c>
      <c r="C1769" t="s">
        <v>72</v>
      </c>
      <c r="D1769" t="s">
        <v>410</v>
      </c>
      <c r="E1769" t="s">
        <v>411</v>
      </c>
      <c r="F1769" t="s">
        <v>4</v>
      </c>
      <c r="G1769" t="s">
        <v>5</v>
      </c>
      <c r="H1769">
        <v>2198.35</v>
      </c>
      <c r="I1769" t="s">
        <v>3696</v>
      </c>
      <c r="J1769" t="s">
        <v>413</v>
      </c>
      <c r="K1769" t="s">
        <v>3697</v>
      </c>
      <c r="L1769" t="s">
        <v>3698</v>
      </c>
      <c r="M1769" t="s">
        <v>21</v>
      </c>
      <c r="N1769" t="s">
        <v>1</v>
      </c>
      <c r="O1769">
        <v>45840</v>
      </c>
      <c r="P1769" t="s">
        <v>3699</v>
      </c>
      <c r="Q1769">
        <v>45842</v>
      </c>
      <c r="R1769" t="s">
        <v>3700</v>
      </c>
      <c r="S1769" t="s">
        <v>2502</v>
      </c>
      <c r="T1769">
        <v>35</v>
      </c>
      <c r="U1769" t="s">
        <v>8</v>
      </c>
      <c r="V1769" t="s">
        <v>8</v>
      </c>
      <c r="W1769" t="s">
        <v>4</v>
      </c>
      <c r="X1769" t="s">
        <v>3228</v>
      </c>
    </row>
    <row r="1770" spans="1:24" x14ac:dyDescent="0.25">
      <c r="A1770" t="s">
        <v>3433</v>
      </c>
      <c r="B1770" s="9">
        <v>45842</v>
      </c>
      <c r="C1770" t="s">
        <v>72</v>
      </c>
      <c r="D1770" t="s">
        <v>410</v>
      </c>
      <c r="E1770" t="s">
        <v>411</v>
      </c>
      <c r="F1770" t="s">
        <v>4</v>
      </c>
      <c r="G1770" t="s">
        <v>5</v>
      </c>
      <c r="H1770">
        <v>977.92</v>
      </c>
      <c r="I1770" t="s">
        <v>3696</v>
      </c>
      <c r="J1770" t="s">
        <v>413</v>
      </c>
      <c r="K1770" t="s">
        <v>3697</v>
      </c>
      <c r="L1770" t="s">
        <v>3698</v>
      </c>
      <c r="M1770" t="s">
        <v>21</v>
      </c>
      <c r="N1770" t="s">
        <v>12</v>
      </c>
      <c r="O1770">
        <v>45840</v>
      </c>
      <c r="P1770" t="s">
        <v>3699</v>
      </c>
      <c r="Q1770">
        <v>45842</v>
      </c>
      <c r="R1770" t="s">
        <v>3700</v>
      </c>
      <c r="S1770" t="s">
        <v>2509</v>
      </c>
      <c r="T1770">
        <v>16</v>
      </c>
      <c r="U1770" t="s">
        <v>8</v>
      </c>
      <c r="V1770" t="s">
        <v>8</v>
      </c>
      <c r="W1770" t="s">
        <v>4</v>
      </c>
      <c r="X1770" t="s">
        <v>3228</v>
      </c>
    </row>
    <row r="1771" spans="1:24" x14ac:dyDescent="0.25">
      <c r="A1771" t="s">
        <v>3433</v>
      </c>
      <c r="B1771" s="9">
        <v>45842</v>
      </c>
      <c r="C1771" t="s">
        <v>72</v>
      </c>
      <c r="D1771" t="s">
        <v>410</v>
      </c>
      <c r="E1771" t="s">
        <v>411</v>
      </c>
      <c r="F1771" t="s">
        <v>4</v>
      </c>
      <c r="G1771" t="s">
        <v>5</v>
      </c>
      <c r="H1771">
        <v>1935.34</v>
      </c>
      <c r="I1771" t="s">
        <v>3696</v>
      </c>
      <c r="J1771" t="s">
        <v>413</v>
      </c>
      <c r="K1771" t="s">
        <v>3697</v>
      </c>
      <c r="L1771" t="s">
        <v>3698</v>
      </c>
      <c r="M1771" t="s">
        <v>21</v>
      </c>
      <c r="N1771" t="s">
        <v>17</v>
      </c>
      <c r="O1771">
        <v>45840</v>
      </c>
      <c r="P1771" t="s">
        <v>3699</v>
      </c>
      <c r="Q1771">
        <v>45842</v>
      </c>
      <c r="R1771" t="s">
        <v>3700</v>
      </c>
      <c r="S1771" t="s">
        <v>2503</v>
      </c>
      <c r="T1771">
        <v>19</v>
      </c>
      <c r="U1771" t="s">
        <v>8</v>
      </c>
      <c r="V1771" t="s">
        <v>8</v>
      </c>
      <c r="W1771" t="s">
        <v>4</v>
      </c>
      <c r="X1771" t="s">
        <v>3228</v>
      </c>
    </row>
    <row r="1772" spans="1:24" x14ac:dyDescent="0.25">
      <c r="A1772" t="s">
        <v>3433</v>
      </c>
      <c r="B1772" s="9">
        <v>45842</v>
      </c>
      <c r="C1772" t="s">
        <v>72</v>
      </c>
      <c r="D1772" t="s">
        <v>410</v>
      </c>
      <c r="E1772" t="s">
        <v>411</v>
      </c>
      <c r="F1772" t="s">
        <v>4</v>
      </c>
      <c r="G1772" t="s">
        <v>5</v>
      </c>
      <c r="H1772">
        <v>541.53</v>
      </c>
      <c r="I1772" t="s">
        <v>3696</v>
      </c>
      <c r="J1772" t="s">
        <v>413</v>
      </c>
      <c r="K1772" t="s">
        <v>3697</v>
      </c>
      <c r="L1772" t="s">
        <v>3698</v>
      </c>
      <c r="M1772" t="s">
        <v>21</v>
      </c>
      <c r="N1772" t="s">
        <v>43</v>
      </c>
      <c r="O1772">
        <v>45840</v>
      </c>
      <c r="P1772" t="s">
        <v>3699</v>
      </c>
      <c r="Q1772">
        <v>45842</v>
      </c>
      <c r="R1772" t="s">
        <v>3700</v>
      </c>
      <c r="S1772" t="s">
        <v>2510</v>
      </c>
      <c r="T1772">
        <v>11</v>
      </c>
      <c r="U1772" t="s">
        <v>8</v>
      </c>
      <c r="V1772" t="s">
        <v>8</v>
      </c>
      <c r="W1772" t="s">
        <v>4</v>
      </c>
      <c r="X1772" t="s">
        <v>3228</v>
      </c>
    </row>
    <row r="1773" spans="1:24" x14ac:dyDescent="0.25">
      <c r="A1773" t="s">
        <v>3433</v>
      </c>
      <c r="B1773" s="9">
        <v>45842</v>
      </c>
      <c r="C1773" t="s">
        <v>72</v>
      </c>
      <c r="D1773" t="s">
        <v>410</v>
      </c>
      <c r="E1773" t="s">
        <v>411</v>
      </c>
      <c r="F1773" t="s">
        <v>4</v>
      </c>
      <c r="G1773" t="s">
        <v>5</v>
      </c>
      <c r="H1773">
        <v>80</v>
      </c>
      <c r="I1773" t="s">
        <v>3696</v>
      </c>
      <c r="J1773" t="s">
        <v>413</v>
      </c>
      <c r="K1773" t="s">
        <v>3697</v>
      </c>
      <c r="L1773" t="s">
        <v>3698</v>
      </c>
      <c r="M1773" t="s">
        <v>21</v>
      </c>
      <c r="N1773" t="s">
        <v>77</v>
      </c>
      <c r="O1773">
        <v>45840</v>
      </c>
      <c r="P1773" t="s">
        <v>3699</v>
      </c>
      <c r="Q1773">
        <v>45842</v>
      </c>
      <c r="R1773" t="s">
        <v>3700</v>
      </c>
      <c r="S1773" t="s">
        <v>3173</v>
      </c>
      <c r="T1773">
        <v>1</v>
      </c>
      <c r="U1773" t="s">
        <v>8</v>
      </c>
      <c r="V1773" t="s">
        <v>8</v>
      </c>
      <c r="W1773" t="s">
        <v>4</v>
      </c>
      <c r="X1773" t="s">
        <v>3228</v>
      </c>
    </row>
    <row r="1774" spans="1:24" x14ac:dyDescent="0.25">
      <c r="A1774" t="s">
        <v>3433</v>
      </c>
      <c r="B1774" s="9">
        <v>45842</v>
      </c>
      <c r="C1774" t="s">
        <v>72</v>
      </c>
      <c r="D1774" t="s">
        <v>410</v>
      </c>
      <c r="E1774" t="s">
        <v>411</v>
      </c>
      <c r="F1774" t="s">
        <v>4</v>
      </c>
      <c r="G1774" t="s">
        <v>5</v>
      </c>
      <c r="H1774">
        <v>85</v>
      </c>
      <c r="I1774" t="s">
        <v>3696</v>
      </c>
      <c r="J1774" t="s">
        <v>413</v>
      </c>
      <c r="K1774" t="s">
        <v>3697</v>
      </c>
      <c r="L1774" t="s">
        <v>3698</v>
      </c>
      <c r="M1774" t="s">
        <v>21</v>
      </c>
      <c r="N1774" t="s">
        <v>22</v>
      </c>
      <c r="O1774">
        <v>45840</v>
      </c>
      <c r="P1774" t="s">
        <v>3699</v>
      </c>
      <c r="Q1774">
        <v>45842</v>
      </c>
      <c r="R1774" t="s">
        <v>3700</v>
      </c>
      <c r="S1774" t="s">
        <v>3174</v>
      </c>
      <c r="T1774">
        <v>1</v>
      </c>
      <c r="U1774" t="s">
        <v>8</v>
      </c>
      <c r="V1774" t="s">
        <v>8</v>
      </c>
      <c r="W1774" t="s">
        <v>4</v>
      </c>
      <c r="X1774" t="s">
        <v>3228</v>
      </c>
    </row>
    <row r="1775" spans="1:24" x14ac:dyDescent="0.25">
      <c r="A1775" t="s">
        <v>3433</v>
      </c>
      <c r="B1775" s="9">
        <v>45843</v>
      </c>
      <c r="C1775" t="s">
        <v>72</v>
      </c>
      <c r="D1775" t="s">
        <v>410</v>
      </c>
      <c r="E1775" t="s">
        <v>411</v>
      </c>
      <c r="F1775" t="s">
        <v>4</v>
      </c>
      <c r="G1775" t="s">
        <v>5</v>
      </c>
      <c r="H1775">
        <v>3183.75</v>
      </c>
      <c r="I1775" t="s">
        <v>3701</v>
      </c>
      <c r="J1775" t="s">
        <v>413</v>
      </c>
      <c r="K1775" t="s">
        <v>3702</v>
      </c>
      <c r="L1775" t="s">
        <v>3703</v>
      </c>
      <c r="M1775" t="s">
        <v>21</v>
      </c>
      <c r="N1775" t="s">
        <v>1</v>
      </c>
      <c r="O1775">
        <v>45840</v>
      </c>
      <c r="P1775" t="s">
        <v>3704</v>
      </c>
      <c r="Q1775">
        <v>45843</v>
      </c>
      <c r="R1775" t="s">
        <v>3705</v>
      </c>
      <c r="S1775" t="s">
        <v>2576</v>
      </c>
      <c r="T1775">
        <v>75</v>
      </c>
      <c r="U1775" t="s">
        <v>8</v>
      </c>
      <c r="V1775" t="s">
        <v>8</v>
      </c>
      <c r="W1775" t="s">
        <v>4</v>
      </c>
      <c r="X1775" t="s">
        <v>3228</v>
      </c>
    </row>
    <row r="1776" spans="1:24" x14ac:dyDescent="0.25">
      <c r="A1776" t="s">
        <v>3433</v>
      </c>
      <c r="B1776" s="9">
        <v>45849</v>
      </c>
      <c r="C1776" t="s">
        <v>72</v>
      </c>
      <c r="D1776" t="s">
        <v>410</v>
      </c>
      <c r="E1776" t="s">
        <v>411</v>
      </c>
      <c r="F1776" t="s">
        <v>4</v>
      </c>
      <c r="G1776" t="s">
        <v>5</v>
      </c>
      <c r="H1776">
        <v>11035</v>
      </c>
      <c r="I1776" t="s">
        <v>3706</v>
      </c>
      <c r="J1776" t="s">
        <v>413</v>
      </c>
      <c r="K1776" t="s">
        <v>3707</v>
      </c>
      <c r="L1776" t="s">
        <v>3708</v>
      </c>
      <c r="M1776" t="s">
        <v>21</v>
      </c>
      <c r="N1776" t="s">
        <v>1</v>
      </c>
      <c r="O1776">
        <v>45692</v>
      </c>
      <c r="P1776" t="s">
        <v>3709</v>
      </c>
      <c r="Q1776">
        <v>45849</v>
      </c>
      <c r="R1776" t="s">
        <v>3710</v>
      </c>
      <c r="S1776" t="s">
        <v>2496</v>
      </c>
      <c r="T1776">
        <v>1</v>
      </c>
      <c r="U1776" t="s">
        <v>8</v>
      </c>
      <c r="V1776" t="s">
        <v>8</v>
      </c>
      <c r="W1776" t="s">
        <v>4</v>
      </c>
      <c r="X1776" t="s">
        <v>3228</v>
      </c>
    </row>
    <row r="1777" spans="1:24" x14ac:dyDescent="0.25">
      <c r="A1777" t="s">
        <v>3433</v>
      </c>
      <c r="B1777" s="9">
        <v>45877</v>
      </c>
      <c r="C1777" t="s">
        <v>82</v>
      </c>
      <c r="D1777" t="s">
        <v>410</v>
      </c>
      <c r="E1777" t="s">
        <v>411</v>
      </c>
      <c r="F1777" t="s">
        <v>4</v>
      </c>
      <c r="G1777" t="s">
        <v>5</v>
      </c>
      <c r="H1777">
        <v>11035</v>
      </c>
      <c r="I1777" t="s">
        <v>3782</v>
      </c>
      <c r="J1777" t="s">
        <v>413</v>
      </c>
      <c r="K1777" t="s">
        <v>3783</v>
      </c>
      <c r="L1777" t="s">
        <v>3784</v>
      </c>
      <c r="M1777" t="s">
        <v>21</v>
      </c>
      <c r="N1777" t="s">
        <v>1</v>
      </c>
      <c r="O1777">
        <v>45874</v>
      </c>
      <c r="P1777" t="s">
        <v>3785</v>
      </c>
      <c r="Q1777">
        <v>45877</v>
      </c>
      <c r="R1777" t="s">
        <v>3786</v>
      </c>
      <c r="S1777" t="s">
        <v>2496</v>
      </c>
      <c r="T1777">
        <v>1</v>
      </c>
      <c r="U1777" t="s">
        <v>8</v>
      </c>
      <c r="V1777" t="s">
        <v>8</v>
      </c>
      <c r="W1777" t="s">
        <v>4</v>
      </c>
      <c r="X1777" t="s">
        <v>3228</v>
      </c>
    </row>
    <row r="1778" spans="1:24" x14ac:dyDescent="0.25">
      <c r="A1778" t="s">
        <v>3433</v>
      </c>
      <c r="B1778" s="9">
        <v>45887</v>
      </c>
      <c r="C1778" t="s">
        <v>82</v>
      </c>
      <c r="D1778" t="s">
        <v>673</v>
      </c>
      <c r="E1778" t="s">
        <v>674</v>
      </c>
      <c r="F1778" t="s">
        <v>4</v>
      </c>
      <c r="G1778" t="s">
        <v>5</v>
      </c>
      <c r="H1778">
        <v>701.97</v>
      </c>
      <c r="I1778" t="s">
        <v>3787</v>
      </c>
      <c r="J1778" t="s">
        <v>413</v>
      </c>
      <c r="K1778" t="s">
        <v>8</v>
      </c>
      <c r="L1778" t="s">
        <v>3788</v>
      </c>
      <c r="M1778" t="s">
        <v>29</v>
      </c>
      <c r="N1778" t="s">
        <v>1</v>
      </c>
      <c r="O1778">
        <v>45805</v>
      </c>
      <c r="P1778" t="s">
        <v>3789</v>
      </c>
      <c r="Q1778">
        <v>45887</v>
      </c>
      <c r="R1778" t="s">
        <v>3790</v>
      </c>
      <c r="S1778" t="s">
        <v>8</v>
      </c>
      <c r="T1778">
        <v>0</v>
      </c>
      <c r="U1778" t="s">
        <v>8</v>
      </c>
      <c r="V1778" t="s">
        <v>8</v>
      </c>
      <c r="W1778" t="s">
        <v>4</v>
      </c>
      <c r="X1778" t="s">
        <v>674</v>
      </c>
    </row>
    <row r="1779" spans="1:24" x14ac:dyDescent="0.25">
      <c r="A1779" t="s">
        <v>3433</v>
      </c>
      <c r="B1779" s="9">
        <v>45903</v>
      </c>
      <c r="C1779" t="s">
        <v>87</v>
      </c>
      <c r="D1779" t="s">
        <v>410</v>
      </c>
      <c r="E1779" t="s">
        <v>411</v>
      </c>
      <c r="F1779" t="s">
        <v>4</v>
      </c>
      <c r="G1779" t="s">
        <v>5</v>
      </c>
      <c r="H1779">
        <v>11035</v>
      </c>
      <c r="I1779" t="s">
        <v>3849</v>
      </c>
      <c r="J1779" t="s">
        <v>413</v>
      </c>
      <c r="K1779" t="s">
        <v>3850</v>
      </c>
      <c r="L1779" t="s">
        <v>3851</v>
      </c>
      <c r="M1779" t="s">
        <v>2493</v>
      </c>
      <c r="N1779" t="s">
        <v>1</v>
      </c>
      <c r="O1779">
        <v>45901</v>
      </c>
      <c r="P1779" t="s">
        <v>3852</v>
      </c>
      <c r="Q1779">
        <v>45903</v>
      </c>
      <c r="R1779" t="s">
        <v>3853</v>
      </c>
      <c r="S1779" t="s">
        <v>2496</v>
      </c>
      <c r="T1779">
        <v>1</v>
      </c>
      <c r="U1779" t="s">
        <v>8</v>
      </c>
      <c r="V1779" t="s">
        <v>8</v>
      </c>
      <c r="W1779" t="s">
        <v>4</v>
      </c>
      <c r="X1779" t="s">
        <v>3228</v>
      </c>
    </row>
    <row r="1780" spans="1:24" x14ac:dyDescent="0.25">
      <c r="A1780" t="s">
        <v>3433</v>
      </c>
      <c r="B1780" s="9">
        <v>45909</v>
      </c>
      <c r="C1780" t="s">
        <v>87</v>
      </c>
      <c r="D1780" t="s">
        <v>47</v>
      </c>
      <c r="E1780" t="s">
        <v>48</v>
      </c>
      <c r="F1780" t="s">
        <v>4</v>
      </c>
      <c r="G1780" t="s">
        <v>5</v>
      </c>
      <c r="H1780" s="21">
        <v>20566.669999999998</v>
      </c>
      <c r="I1780" t="s">
        <v>3854</v>
      </c>
      <c r="J1780" t="s">
        <v>413</v>
      </c>
      <c r="K1780" t="s">
        <v>8</v>
      </c>
      <c r="L1780" t="s">
        <v>3855</v>
      </c>
      <c r="M1780" t="s">
        <v>3856</v>
      </c>
      <c r="N1780" t="s">
        <v>1</v>
      </c>
      <c r="O1780">
        <v>45904</v>
      </c>
      <c r="P1780" t="s">
        <v>3857</v>
      </c>
      <c r="Q1780">
        <v>45909</v>
      </c>
      <c r="R1780" t="s">
        <v>3858</v>
      </c>
      <c r="S1780" t="s">
        <v>8</v>
      </c>
      <c r="T1780">
        <v>0</v>
      </c>
      <c r="U1780" t="s">
        <v>8</v>
      </c>
      <c r="V1780" t="s">
        <v>8</v>
      </c>
      <c r="W1780" t="s">
        <v>4</v>
      </c>
      <c r="X1780" t="s">
        <v>3403</v>
      </c>
    </row>
    <row r="1781" spans="1:24" x14ac:dyDescent="0.25">
      <c r="A1781" t="s">
        <v>3433</v>
      </c>
      <c r="B1781" s="9">
        <v>45915</v>
      </c>
      <c r="C1781" t="s">
        <v>87</v>
      </c>
      <c r="D1781" t="s">
        <v>410</v>
      </c>
      <c r="E1781" t="s">
        <v>411</v>
      </c>
      <c r="F1781" t="s">
        <v>4</v>
      </c>
      <c r="G1781" t="s">
        <v>5</v>
      </c>
      <c r="H1781">
        <v>59.41</v>
      </c>
      <c r="I1781" t="s">
        <v>3859</v>
      </c>
      <c r="J1781" t="s">
        <v>413</v>
      </c>
      <c r="K1781" t="s">
        <v>3860</v>
      </c>
      <c r="L1781" t="s">
        <v>3861</v>
      </c>
      <c r="M1781" t="s">
        <v>21</v>
      </c>
      <c r="N1781" t="s">
        <v>1</v>
      </c>
      <c r="O1781">
        <v>45912</v>
      </c>
      <c r="P1781" t="s">
        <v>3862</v>
      </c>
      <c r="Q1781">
        <v>45915</v>
      </c>
      <c r="R1781" t="s">
        <v>3863</v>
      </c>
      <c r="S1781" t="s">
        <v>2511</v>
      </c>
      <c r="T1781">
        <v>1</v>
      </c>
      <c r="U1781" t="s">
        <v>8</v>
      </c>
      <c r="V1781" t="s">
        <v>8</v>
      </c>
      <c r="W1781" t="s">
        <v>4</v>
      </c>
      <c r="X1781" t="s">
        <v>3228</v>
      </c>
    </row>
    <row r="1782" spans="1:24" x14ac:dyDescent="0.25">
      <c r="A1782" t="s">
        <v>3433</v>
      </c>
      <c r="B1782" s="9">
        <v>45915</v>
      </c>
      <c r="C1782" t="s">
        <v>87</v>
      </c>
      <c r="D1782" t="s">
        <v>410</v>
      </c>
      <c r="E1782" t="s">
        <v>411</v>
      </c>
      <c r="F1782" t="s">
        <v>4</v>
      </c>
      <c r="G1782" t="s">
        <v>5</v>
      </c>
      <c r="H1782">
        <v>3266.12</v>
      </c>
      <c r="I1782" t="s">
        <v>3859</v>
      </c>
      <c r="J1782" t="s">
        <v>413</v>
      </c>
      <c r="K1782" t="s">
        <v>3860</v>
      </c>
      <c r="L1782" t="s">
        <v>3861</v>
      </c>
      <c r="M1782" t="s">
        <v>21</v>
      </c>
      <c r="N1782" t="s">
        <v>12</v>
      </c>
      <c r="O1782">
        <v>45912</v>
      </c>
      <c r="P1782" t="s">
        <v>3862</v>
      </c>
      <c r="Q1782">
        <v>45915</v>
      </c>
      <c r="R1782" t="s">
        <v>3863</v>
      </c>
      <c r="S1782" t="s">
        <v>2502</v>
      </c>
      <c r="T1782">
        <v>52</v>
      </c>
      <c r="U1782" t="s">
        <v>8</v>
      </c>
      <c r="V1782" t="s">
        <v>8</v>
      </c>
      <c r="W1782" t="s">
        <v>4</v>
      </c>
      <c r="X1782" t="s">
        <v>3228</v>
      </c>
    </row>
    <row r="1783" spans="1:24" x14ac:dyDescent="0.25">
      <c r="A1783" t="s">
        <v>3433</v>
      </c>
      <c r="B1783" s="9">
        <v>45915</v>
      </c>
      <c r="C1783" t="s">
        <v>87</v>
      </c>
      <c r="D1783" t="s">
        <v>410</v>
      </c>
      <c r="E1783" t="s">
        <v>411</v>
      </c>
      <c r="F1783" t="s">
        <v>4</v>
      </c>
      <c r="G1783" t="s">
        <v>5</v>
      </c>
      <c r="H1783">
        <v>916.76</v>
      </c>
      <c r="I1783" t="s">
        <v>3859</v>
      </c>
      <c r="J1783" t="s">
        <v>413</v>
      </c>
      <c r="K1783" t="s">
        <v>3860</v>
      </c>
      <c r="L1783" t="s">
        <v>3861</v>
      </c>
      <c r="M1783" t="s">
        <v>21</v>
      </c>
      <c r="N1783" t="s">
        <v>17</v>
      </c>
      <c r="O1783">
        <v>45912</v>
      </c>
      <c r="P1783" t="s">
        <v>3862</v>
      </c>
      <c r="Q1783">
        <v>45915</v>
      </c>
      <c r="R1783" t="s">
        <v>3863</v>
      </c>
      <c r="S1783" t="s">
        <v>2578</v>
      </c>
      <c r="T1783">
        <v>2</v>
      </c>
      <c r="U1783" t="s">
        <v>8</v>
      </c>
      <c r="V1783" t="s">
        <v>8</v>
      </c>
      <c r="W1783" t="s">
        <v>4</v>
      </c>
      <c r="X1783" t="s">
        <v>3228</v>
      </c>
    </row>
    <row r="1784" spans="1:24" x14ac:dyDescent="0.25">
      <c r="A1784" t="s">
        <v>3433</v>
      </c>
      <c r="B1784" s="9">
        <v>45915</v>
      </c>
      <c r="C1784" t="s">
        <v>87</v>
      </c>
      <c r="D1784" t="s">
        <v>410</v>
      </c>
      <c r="E1784" t="s">
        <v>411</v>
      </c>
      <c r="F1784" t="s">
        <v>4</v>
      </c>
      <c r="G1784" t="s">
        <v>5</v>
      </c>
      <c r="H1784">
        <v>590.76</v>
      </c>
      <c r="I1784" t="s">
        <v>3859</v>
      </c>
      <c r="J1784" t="s">
        <v>413</v>
      </c>
      <c r="K1784" t="s">
        <v>3860</v>
      </c>
      <c r="L1784" t="s">
        <v>3861</v>
      </c>
      <c r="M1784" t="s">
        <v>21</v>
      </c>
      <c r="N1784" t="s">
        <v>43</v>
      </c>
      <c r="O1784">
        <v>45912</v>
      </c>
      <c r="P1784" t="s">
        <v>3862</v>
      </c>
      <c r="Q1784">
        <v>45915</v>
      </c>
      <c r="R1784" t="s">
        <v>3863</v>
      </c>
      <c r="S1784" t="s">
        <v>2510</v>
      </c>
      <c r="T1784">
        <v>12</v>
      </c>
      <c r="U1784" t="s">
        <v>8</v>
      </c>
      <c r="V1784" t="s">
        <v>8</v>
      </c>
      <c r="W1784" t="s">
        <v>4</v>
      </c>
      <c r="X1784" t="s">
        <v>3228</v>
      </c>
    </row>
    <row r="1785" spans="1:24" x14ac:dyDescent="0.25">
      <c r="A1785" t="s">
        <v>3433</v>
      </c>
      <c r="B1785" s="9">
        <v>45915</v>
      </c>
      <c r="C1785" t="s">
        <v>87</v>
      </c>
      <c r="D1785" t="s">
        <v>410</v>
      </c>
      <c r="E1785" t="s">
        <v>411</v>
      </c>
      <c r="F1785" t="s">
        <v>4</v>
      </c>
      <c r="G1785" t="s">
        <v>5</v>
      </c>
      <c r="H1785">
        <v>179</v>
      </c>
      <c r="I1785" t="s">
        <v>3859</v>
      </c>
      <c r="J1785" t="s">
        <v>413</v>
      </c>
      <c r="K1785" t="s">
        <v>3860</v>
      </c>
      <c r="L1785" t="s">
        <v>3861</v>
      </c>
      <c r="M1785" t="s">
        <v>21</v>
      </c>
      <c r="N1785" t="s">
        <v>77</v>
      </c>
      <c r="O1785">
        <v>45912</v>
      </c>
      <c r="P1785" t="s">
        <v>3862</v>
      </c>
      <c r="Q1785">
        <v>45915</v>
      </c>
      <c r="R1785" t="s">
        <v>3863</v>
      </c>
      <c r="S1785" t="s">
        <v>2930</v>
      </c>
      <c r="T1785">
        <v>1</v>
      </c>
      <c r="U1785" t="s">
        <v>8</v>
      </c>
      <c r="V1785" t="s">
        <v>8</v>
      </c>
      <c r="W1785" t="s">
        <v>4</v>
      </c>
      <c r="X1785" t="s">
        <v>3228</v>
      </c>
    </row>
    <row r="1786" spans="1:24" x14ac:dyDescent="0.25">
      <c r="A1786" t="s">
        <v>3433</v>
      </c>
      <c r="B1786" s="9">
        <v>45915</v>
      </c>
      <c r="C1786" t="s">
        <v>87</v>
      </c>
      <c r="D1786" t="s">
        <v>410</v>
      </c>
      <c r="E1786" t="s">
        <v>411</v>
      </c>
      <c r="F1786" t="s">
        <v>4</v>
      </c>
      <c r="G1786" t="s">
        <v>5</v>
      </c>
      <c r="H1786">
        <v>475.16</v>
      </c>
      <c r="I1786" t="s">
        <v>3864</v>
      </c>
      <c r="J1786" t="s">
        <v>413</v>
      </c>
      <c r="K1786" t="s">
        <v>3865</v>
      </c>
      <c r="L1786" t="s">
        <v>3866</v>
      </c>
      <c r="M1786" t="s">
        <v>21</v>
      </c>
      <c r="N1786" t="s">
        <v>1</v>
      </c>
      <c r="O1786">
        <v>45912</v>
      </c>
      <c r="P1786" t="s">
        <v>3867</v>
      </c>
      <c r="Q1786">
        <v>45915</v>
      </c>
      <c r="R1786" t="s">
        <v>3868</v>
      </c>
      <c r="S1786" t="s">
        <v>3053</v>
      </c>
      <c r="T1786">
        <v>14</v>
      </c>
      <c r="U1786" t="s">
        <v>8</v>
      </c>
      <c r="V1786" t="s">
        <v>8</v>
      </c>
      <c r="W1786" t="s">
        <v>4</v>
      </c>
      <c r="X1786" t="s">
        <v>3228</v>
      </c>
    </row>
    <row r="1787" spans="1:24" x14ac:dyDescent="0.25">
      <c r="A1787" t="s">
        <v>3433</v>
      </c>
      <c r="B1787" s="9">
        <v>45915</v>
      </c>
      <c r="C1787" t="s">
        <v>87</v>
      </c>
      <c r="D1787" t="s">
        <v>410</v>
      </c>
      <c r="E1787" t="s">
        <v>411</v>
      </c>
      <c r="F1787" t="s">
        <v>4</v>
      </c>
      <c r="G1787" t="s">
        <v>5</v>
      </c>
      <c r="H1787">
        <v>3183.75</v>
      </c>
      <c r="I1787" t="s">
        <v>3864</v>
      </c>
      <c r="J1787" t="s">
        <v>413</v>
      </c>
      <c r="K1787" t="s">
        <v>3865</v>
      </c>
      <c r="L1787" t="s">
        <v>3866</v>
      </c>
      <c r="M1787" t="s">
        <v>21</v>
      </c>
      <c r="N1787" t="s">
        <v>12</v>
      </c>
      <c r="O1787">
        <v>45912</v>
      </c>
      <c r="P1787" t="s">
        <v>3867</v>
      </c>
      <c r="Q1787">
        <v>45915</v>
      </c>
      <c r="R1787" t="s">
        <v>3868</v>
      </c>
      <c r="S1787" t="s">
        <v>2576</v>
      </c>
      <c r="T1787">
        <v>75</v>
      </c>
      <c r="U1787" t="s">
        <v>8</v>
      </c>
      <c r="V1787" t="s">
        <v>8</v>
      </c>
      <c r="W1787" t="s">
        <v>4</v>
      </c>
      <c r="X1787" t="s">
        <v>3228</v>
      </c>
    </row>
    <row r="1788" spans="1:24" x14ac:dyDescent="0.25">
      <c r="A1788" t="s">
        <v>3433</v>
      </c>
      <c r="B1788" s="9">
        <v>45915</v>
      </c>
      <c r="C1788" t="s">
        <v>87</v>
      </c>
      <c r="D1788" t="s">
        <v>410</v>
      </c>
      <c r="E1788" t="s">
        <v>411</v>
      </c>
      <c r="F1788" t="s">
        <v>4</v>
      </c>
      <c r="G1788" t="s">
        <v>5</v>
      </c>
      <c r="H1788">
        <v>54.33</v>
      </c>
      <c r="I1788" t="s">
        <v>3869</v>
      </c>
      <c r="J1788" t="s">
        <v>413</v>
      </c>
      <c r="K1788" t="s">
        <v>3870</v>
      </c>
      <c r="L1788" t="s">
        <v>3871</v>
      </c>
      <c r="M1788" t="s">
        <v>21</v>
      </c>
      <c r="N1788" t="s">
        <v>1</v>
      </c>
      <c r="O1788">
        <v>45912</v>
      </c>
      <c r="P1788" t="s">
        <v>3872</v>
      </c>
      <c r="Q1788">
        <v>45915</v>
      </c>
      <c r="R1788" t="s">
        <v>3873</v>
      </c>
      <c r="S1788" t="s">
        <v>3268</v>
      </c>
      <c r="T1788">
        <v>1</v>
      </c>
      <c r="U1788" t="s">
        <v>8</v>
      </c>
      <c r="V1788" t="s">
        <v>8</v>
      </c>
      <c r="W1788" t="s">
        <v>4</v>
      </c>
      <c r="X1788" t="s">
        <v>3228</v>
      </c>
    </row>
    <row r="1789" spans="1:24" x14ac:dyDescent="0.25">
      <c r="A1789" t="s">
        <v>3433</v>
      </c>
      <c r="B1789" s="9">
        <v>45915</v>
      </c>
      <c r="C1789" t="s">
        <v>87</v>
      </c>
      <c r="D1789" t="s">
        <v>410</v>
      </c>
      <c r="E1789" t="s">
        <v>411</v>
      </c>
      <c r="F1789" t="s">
        <v>4</v>
      </c>
      <c r="G1789" t="s">
        <v>5</v>
      </c>
      <c r="H1789">
        <v>672.32</v>
      </c>
      <c r="I1789" t="s">
        <v>3869</v>
      </c>
      <c r="J1789" t="s">
        <v>413</v>
      </c>
      <c r="K1789" t="s">
        <v>3870</v>
      </c>
      <c r="L1789" t="s">
        <v>3871</v>
      </c>
      <c r="M1789" t="s">
        <v>21</v>
      </c>
      <c r="N1789" t="s">
        <v>12</v>
      </c>
      <c r="O1789">
        <v>45912</v>
      </c>
      <c r="P1789" t="s">
        <v>3872</v>
      </c>
      <c r="Q1789">
        <v>45915</v>
      </c>
      <c r="R1789" t="s">
        <v>3873</v>
      </c>
      <c r="S1789" t="s">
        <v>2509</v>
      </c>
      <c r="T1789">
        <v>11</v>
      </c>
      <c r="U1789" t="s">
        <v>8</v>
      </c>
      <c r="V1789" t="s">
        <v>8</v>
      </c>
      <c r="W1789" t="s">
        <v>4</v>
      </c>
      <c r="X1789" t="s">
        <v>3228</v>
      </c>
    </row>
    <row r="1790" spans="1:24" x14ac:dyDescent="0.25">
      <c r="A1790" t="s">
        <v>3433</v>
      </c>
      <c r="B1790" s="9">
        <v>45915</v>
      </c>
      <c r="C1790" t="s">
        <v>87</v>
      </c>
      <c r="D1790" t="s">
        <v>410</v>
      </c>
      <c r="E1790" t="s">
        <v>411</v>
      </c>
      <c r="F1790" t="s">
        <v>4</v>
      </c>
      <c r="G1790" t="s">
        <v>5</v>
      </c>
      <c r="H1790">
        <v>6315.32</v>
      </c>
      <c r="I1790" t="s">
        <v>3869</v>
      </c>
      <c r="J1790" t="s">
        <v>413</v>
      </c>
      <c r="K1790" t="s">
        <v>3870</v>
      </c>
      <c r="L1790" t="s">
        <v>3871</v>
      </c>
      <c r="M1790" t="s">
        <v>21</v>
      </c>
      <c r="N1790" t="s">
        <v>17</v>
      </c>
      <c r="O1790">
        <v>45912</v>
      </c>
      <c r="P1790" t="s">
        <v>3872</v>
      </c>
      <c r="Q1790">
        <v>45915</v>
      </c>
      <c r="R1790" t="s">
        <v>3873</v>
      </c>
      <c r="S1790" t="s">
        <v>2503</v>
      </c>
      <c r="T1790">
        <v>62</v>
      </c>
      <c r="U1790" t="s">
        <v>8</v>
      </c>
      <c r="V1790" t="s">
        <v>8</v>
      </c>
      <c r="W1790" t="s">
        <v>4</v>
      </c>
      <c r="X1790" t="s">
        <v>3228</v>
      </c>
    </row>
    <row r="1791" spans="1:24" x14ac:dyDescent="0.25">
      <c r="A1791" t="s">
        <v>3433</v>
      </c>
      <c r="B1791">
        <v>45939</v>
      </c>
      <c r="C1791" t="s">
        <v>30</v>
      </c>
      <c r="D1791" t="s">
        <v>410</v>
      </c>
      <c r="E1791" t="s">
        <v>411</v>
      </c>
      <c r="F1791" t="s">
        <v>4</v>
      </c>
      <c r="G1791" t="s">
        <v>5</v>
      </c>
      <c r="H1791">
        <v>11035</v>
      </c>
      <c r="I1791" t="s">
        <v>3907</v>
      </c>
      <c r="J1791" t="s">
        <v>413</v>
      </c>
      <c r="K1791" t="s">
        <v>3908</v>
      </c>
      <c r="L1791" t="s">
        <v>3909</v>
      </c>
      <c r="M1791" t="s">
        <v>21</v>
      </c>
      <c r="N1791" t="s">
        <v>1</v>
      </c>
      <c r="O1791">
        <v>45931</v>
      </c>
      <c r="P1791" t="s">
        <v>3910</v>
      </c>
      <c r="Q1791">
        <v>45939</v>
      </c>
      <c r="R1791" t="s">
        <v>3911</v>
      </c>
      <c r="S1791" t="s">
        <v>2496</v>
      </c>
      <c r="T1791">
        <v>1</v>
      </c>
      <c r="U1791" t="s">
        <v>8</v>
      </c>
      <c r="V1791" t="s">
        <v>8</v>
      </c>
      <c r="W1791" t="s">
        <v>4</v>
      </c>
      <c r="X1791" t="s">
        <v>3228</v>
      </c>
    </row>
    <row r="1792" spans="1:24" outlineLevel="2" x14ac:dyDescent="0.25">
      <c r="A1792" t="s">
        <v>3912</v>
      </c>
      <c r="B1792" s="2">
        <v>46038</v>
      </c>
      <c r="C1792" t="s">
        <v>1</v>
      </c>
      <c r="D1792" t="s">
        <v>390</v>
      </c>
      <c r="E1792" t="s">
        <v>391</v>
      </c>
      <c r="F1792" t="s">
        <v>4</v>
      </c>
      <c r="G1792" t="s">
        <v>5</v>
      </c>
      <c r="H1792" s="3">
        <v>441.22</v>
      </c>
      <c r="I1792" t="s">
        <v>3961</v>
      </c>
      <c r="J1792" t="s">
        <v>413</v>
      </c>
      <c r="K1792" t="s">
        <v>3962</v>
      </c>
      <c r="L1792" t="s">
        <v>3963</v>
      </c>
      <c r="M1792" t="s">
        <v>3886</v>
      </c>
      <c r="N1792" t="s">
        <v>1</v>
      </c>
      <c r="O1792" s="2">
        <v>46035</v>
      </c>
      <c r="P1792" t="s">
        <v>3964</v>
      </c>
      <c r="Q1792" s="2">
        <v>46038</v>
      </c>
      <c r="R1792" t="s">
        <v>3965</v>
      </c>
      <c r="S1792" t="s">
        <v>3053</v>
      </c>
      <c r="T1792" s="18">
        <v>13</v>
      </c>
      <c r="U1792" t="s">
        <v>8</v>
      </c>
      <c r="V1792" t="s">
        <v>8</v>
      </c>
      <c r="W1792" t="s">
        <v>4</v>
      </c>
      <c r="X1792" t="s">
        <v>3134</v>
      </c>
    </row>
    <row r="1793" spans="1:24" outlineLevel="2" x14ac:dyDescent="0.25">
      <c r="A1793" t="s">
        <v>3912</v>
      </c>
      <c r="B1793" s="2">
        <v>46038</v>
      </c>
      <c r="C1793" t="s">
        <v>1</v>
      </c>
      <c r="D1793" t="s">
        <v>390</v>
      </c>
      <c r="E1793" t="s">
        <v>391</v>
      </c>
      <c r="F1793" t="s">
        <v>4</v>
      </c>
      <c r="G1793" t="s">
        <v>5</v>
      </c>
      <c r="H1793" s="3">
        <v>3438.45</v>
      </c>
      <c r="I1793" t="s">
        <v>3961</v>
      </c>
      <c r="J1793" t="s">
        <v>413</v>
      </c>
      <c r="K1793" t="s">
        <v>3962</v>
      </c>
      <c r="L1793" t="s">
        <v>3963</v>
      </c>
      <c r="M1793" t="s">
        <v>3886</v>
      </c>
      <c r="N1793" t="s">
        <v>12</v>
      </c>
      <c r="O1793" s="2">
        <v>46035</v>
      </c>
      <c r="P1793" t="s">
        <v>3964</v>
      </c>
      <c r="Q1793" s="2">
        <v>46038</v>
      </c>
      <c r="R1793" t="s">
        <v>3965</v>
      </c>
      <c r="S1793" t="s">
        <v>2576</v>
      </c>
      <c r="T1793" s="18">
        <v>81</v>
      </c>
      <c r="U1793" t="s">
        <v>8</v>
      </c>
      <c r="V1793" t="s">
        <v>8</v>
      </c>
      <c r="W1793" t="s">
        <v>4</v>
      </c>
      <c r="X1793" t="s">
        <v>3134</v>
      </c>
    </row>
    <row r="1794" spans="1:24" outlineLevel="2" x14ac:dyDescent="0.25">
      <c r="A1794" t="s">
        <v>3912</v>
      </c>
      <c r="B1794" s="2">
        <v>46041</v>
      </c>
      <c r="C1794" t="s">
        <v>1</v>
      </c>
      <c r="D1794" t="s">
        <v>410</v>
      </c>
      <c r="E1794" t="s">
        <v>411</v>
      </c>
      <c r="F1794" t="s">
        <v>4</v>
      </c>
      <c r="G1794" t="s">
        <v>5</v>
      </c>
      <c r="H1794" s="3">
        <v>3140.5</v>
      </c>
      <c r="I1794" t="s">
        <v>3966</v>
      </c>
      <c r="J1794" t="s">
        <v>413</v>
      </c>
      <c r="K1794" t="s">
        <v>3967</v>
      </c>
      <c r="L1794" t="s">
        <v>3968</v>
      </c>
      <c r="M1794" t="s">
        <v>21</v>
      </c>
      <c r="N1794" t="s">
        <v>1</v>
      </c>
      <c r="O1794" s="2">
        <v>46037</v>
      </c>
      <c r="P1794" t="s">
        <v>3969</v>
      </c>
      <c r="Q1794" s="2">
        <v>46041</v>
      </c>
      <c r="R1794" t="s">
        <v>3970</v>
      </c>
      <c r="S1794" t="s">
        <v>2502</v>
      </c>
      <c r="T1794" s="18">
        <v>50</v>
      </c>
      <c r="U1794" t="s">
        <v>8</v>
      </c>
      <c r="V1794" t="s">
        <v>8</v>
      </c>
      <c r="W1794" t="s">
        <v>4</v>
      </c>
      <c r="X1794" t="s">
        <v>3228</v>
      </c>
    </row>
    <row r="1795" spans="1:24" outlineLevel="2" x14ac:dyDescent="0.25">
      <c r="A1795" t="s">
        <v>3912</v>
      </c>
      <c r="B1795" s="2">
        <v>46041</v>
      </c>
      <c r="C1795" t="s">
        <v>1</v>
      </c>
      <c r="D1795" t="s">
        <v>410</v>
      </c>
      <c r="E1795" t="s">
        <v>411</v>
      </c>
      <c r="F1795" t="s">
        <v>4</v>
      </c>
      <c r="G1795" t="s">
        <v>5</v>
      </c>
      <c r="H1795" s="3">
        <v>1935.34</v>
      </c>
      <c r="I1795" t="s">
        <v>3966</v>
      </c>
      <c r="J1795" t="s">
        <v>413</v>
      </c>
      <c r="K1795" t="s">
        <v>3967</v>
      </c>
      <c r="L1795" t="s">
        <v>3968</v>
      </c>
      <c r="M1795" t="s">
        <v>21</v>
      </c>
      <c r="N1795" t="s">
        <v>12</v>
      </c>
      <c r="O1795" s="2">
        <v>46037</v>
      </c>
      <c r="P1795" t="s">
        <v>3969</v>
      </c>
      <c r="Q1795" s="2">
        <v>46041</v>
      </c>
      <c r="R1795" t="s">
        <v>3970</v>
      </c>
      <c r="S1795" t="s">
        <v>2503</v>
      </c>
      <c r="T1795" s="18">
        <v>19</v>
      </c>
      <c r="U1795" t="s">
        <v>8</v>
      </c>
      <c r="V1795" t="s">
        <v>8</v>
      </c>
      <c r="W1795" t="s">
        <v>4</v>
      </c>
      <c r="X1795" t="s">
        <v>3228</v>
      </c>
    </row>
    <row r="1796" spans="1:24" outlineLevel="2" x14ac:dyDescent="0.25">
      <c r="A1796" t="s">
        <v>3912</v>
      </c>
      <c r="B1796" s="2">
        <v>46041</v>
      </c>
      <c r="C1796" t="s">
        <v>1</v>
      </c>
      <c r="D1796" t="s">
        <v>410</v>
      </c>
      <c r="E1796" t="s">
        <v>411</v>
      </c>
      <c r="F1796" t="s">
        <v>4</v>
      </c>
      <c r="G1796" t="s">
        <v>5</v>
      </c>
      <c r="H1796" s="3">
        <v>541.53</v>
      </c>
      <c r="I1796" t="s">
        <v>3966</v>
      </c>
      <c r="J1796" t="s">
        <v>413</v>
      </c>
      <c r="K1796" t="s">
        <v>3967</v>
      </c>
      <c r="L1796" t="s">
        <v>3968</v>
      </c>
      <c r="M1796" t="s">
        <v>21</v>
      </c>
      <c r="N1796" t="s">
        <v>17</v>
      </c>
      <c r="O1796" s="2">
        <v>46037</v>
      </c>
      <c r="P1796" t="s">
        <v>3969</v>
      </c>
      <c r="Q1796" s="2">
        <v>46041</v>
      </c>
      <c r="R1796" t="s">
        <v>3970</v>
      </c>
      <c r="S1796" t="s">
        <v>2510</v>
      </c>
      <c r="T1796" s="18">
        <v>11</v>
      </c>
      <c r="U1796" t="s">
        <v>8</v>
      </c>
      <c r="V1796" t="s">
        <v>8</v>
      </c>
      <c r="W1796" t="s">
        <v>4</v>
      </c>
      <c r="X1796" t="s">
        <v>3228</v>
      </c>
    </row>
    <row r="1797" spans="1:24" outlineLevel="2" x14ac:dyDescent="0.25">
      <c r="A1797" t="s">
        <v>3912</v>
      </c>
      <c r="B1797" s="2">
        <v>46041</v>
      </c>
      <c r="C1797" t="s">
        <v>1</v>
      </c>
      <c r="D1797" t="s">
        <v>410</v>
      </c>
      <c r="E1797" t="s">
        <v>411</v>
      </c>
      <c r="F1797" t="s">
        <v>4</v>
      </c>
      <c r="G1797" t="s">
        <v>5</v>
      </c>
      <c r="H1797" s="3">
        <v>11035</v>
      </c>
      <c r="I1797" t="s">
        <v>3971</v>
      </c>
      <c r="J1797" t="s">
        <v>413</v>
      </c>
      <c r="K1797" t="s">
        <v>3972</v>
      </c>
      <c r="L1797" t="s">
        <v>3973</v>
      </c>
      <c r="M1797" t="s">
        <v>21</v>
      </c>
      <c r="N1797" t="s">
        <v>1</v>
      </c>
      <c r="O1797" s="2">
        <v>46037</v>
      </c>
      <c r="P1797" t="s">
        <v>3974</v>
      </c>
      <c r="Q1797" s="2">
        <v>46041</v>
      </c>
      <c r="R1797" t="s">
        <v>3975</v>
      </c>
      <c r="S1797" t="s">
        <v>2496</v>
      </c>
      <c r="T1797" s="17">
        <v>1</v>
      </c>
      <c r="U1797" t="s">
        <v>8</v>
      </c>
      <c r="V1797" t="s">
        <v>8</v>
      </c>
      <c r="W1797" t="s">
        <v>4</v>
      </c>
      <c r="X1797" t="s">
        <v>3228</v>
      </c>
    </row>
    <row r="1798" spans="1:24" outlineLevel="2" x14ac:dyDescent="0.25">
      <c r="A1798" t="s">
        <v>3912</v>
      </c>
      <c r="B1798" s="2">
        <v>46041</v>
      </c>
      <c r="C1798" t="s">
        <v>1</v>
      </c>
      <c r="D1798" t="s">
        <v>410</v>
      </c>
      <c r="E1798" t="s">
        <v>411</v>
      </c>
      <c r="F1798" t="s">
        <v>4</v>
      </c>
      <c r="G1798" t="s">
        <v>5</v>
      </c>
      <c r="H1798" s="3">
        <v>2122.5</v>
      </c>
      <c r="I1798" t="s">
        <v>3976</v>
      </c>
      <c r="J1798" t="s">
        <v>413</v>
      </c>
      <c r="K1798" t="s">
        <v>3977</v>
      </c>
      <c r="L1798" t="s">
        <v>3978</v>
      </c>
      <c r="M1798" t="s">
        <v>21</v>
      </c>
      <c r="N1798" t="s">
        <v>1</v>
      </c>
      <c r="O1798" s="2">
        <v>46037</v>
      </c>
      <c r="P1798" t="s">
        <v>3979</v>
      </c>
      <c r="Q1798" s="2">
        <v>46041</v>
      </c>
      <c r="R1798" t="s">
        <v>3980</v>
      </c>
      <c r="S1798" t="s">
        <v>2576</v>
      </c>
      <c r="T1798" s="18">
        <v>50</v>
      </c>
      <c r="U1798" t="s">
        <v>8</v>
      </c>
      <c r="V1798" t="s">
        <v>8</v>
      </c>
      <c r="W1798" t="s">
        <v>4</v>
      </c>
      <c r="X1798" t="s">
        <v>3228</v>
      </c>
    </row>
    <row r="1799" spans="1:24" outlineLevel="2" x14ac:dyDescent="0.25">
      <c r="A1799" t="s">
        <v>3912</v>
      </c>
      <c r="B1799" s="2">
        <v>46041</v>
      </c>
      <c r="C1799" t="s">
        <v>1</v>
      </c>
      <c r="D1799" t="s">
        <v>410</v>
      </c>
      <c r="E1799" t="s">
        <v>411</v>
      </c>
      <c r="F1799" t="s">
        <v>4</v>
      </c>
      <c r="G1799" t="s">
        <v>5</v>
      </c>
      <c r="H1799" s="3">
        <v>3266.12</v>
      </c>
      <c r="I1799" t="s">
        <v>3981</v>
      </c>
      <c r="J1799" t="s">
        <v>413</v>
      </c>
      <c r="K1799" t="s">
        <v>3982</v>
      </c>
      <c r="L1799" t="s">
        <v>3983</v>
      </c>
      <c r="M1799" t="s">
        <v>21</v>
      </c>
      <c r="N1799" t="s">
        <v>1</v>
      </c>
      <c r="O1799" s="2">
        <v>46037</v>
      </c>
      <c r="P1799" t="s">
        <v>3984</v>
      </c>
      <c r="Q1799" s="2">
        <v>46041</v>
      </c>
      <c r="R1799" t="s">
        <v>3985</v>
      </c>
      <c r="S1799" t="s">
        <v>2502</v>
      </c>
      <c r="T1799" s="18">
        <v>52</v>
      </c>
      <c r="U1799" t="s">
        <v>8</v>
      </c>
      <c r="V1799" t="s">
        <v>8</v>
      </c>
      <c r="W1799" t="s">
        <v>4</v>
      </c>
      <c r="X1799" t="s">
        <v>3228</v>
      </c>
    </row>
    <row r="1800" spans="1:24" outlineLevel="2" x14ac:dyDescent="0.25">
      <c r="A1800" t="s">
        <v>3912</v>
      </c>
      <c r="B1800" s="2">
        <v>46041</v>
      </c>
      <c r="C1800" t="s">
        <v>1</v>
      </c>
      <c r="D1800" t="s">
        <v>410</v>
      </c>
      <c r="E1800" t="s">
        <v>411</v>
      </c>
      <c r="F1800" t="s">
        <v>4</v>
      </c>
      <c r="G1800" t="s">
        <v>5</v>
      </c>
      <c r="H1800" s="3">
        <v>1222.32</v>
      </c>
      <c r="I1800" t="s">
        <v>3981</v>
      </c>
      <c r="J1800" t="s">
        <v>413</v>
      </c>
      <c r="K1800" t="s">
        <v>3982</v>
      </c>
      <c r="L1800" t="s">
        <v>3983</v>
      </c>
      <c r="M1800" t="s">
        <v>21</v>
      </c>
      <c r="N1800" t="s">
        <v>12</v>
      </c>
      <c r="O1800" s="2">
        <v>46037</v>
      </c>
      <c r="P1800" t="s">
        <v>3984</v>
      </c>
      <c r="Q1800" s="2">
        <v>46041</v>
      </c>
      <c r="R1800" t="s">
        <v>3985</v>
      </c>
      <c r="S1800" t="s">
        <v>2503</v>
      </c>
      <c r="T1800" s="18">
        <v>12</v>
      </c>
      <c r="U1800" t="s">
        <v>8</v>
      </c>
      <c r="V1800" t="s">
        <v>8</v>
      </c>
      <c r="W1800" t="s">
        <v>4</v>
      </c>
      <c r="X1800" t="s">
        <v>3228</v>
      </c>
    </row>
    <row r="1801" spans="1:24" outlineLevel="2" x14ac:dyDescent="0.25">
      <c r="A1801" t="s">
        <v>3912</v>
      </c>
      <c r="B1801" s="2">
        <v>46041</v>
      </c>
      <c r="C1801" t="s">
        <v>1</v>
      </c>
      <c r="D1801" t="s">
        <v>410</v>
      </c>
      <c r="E1801" t="s">
        <v>411</v>
      </c>
      <c r="F1801" t="s">
        <v>4</v>
      </c>
      <c r="G1801" t="s">
        <v>5</v>
      </c>
      <c r="H1801" s="3">
        <v>458.38</v>
      </c>
      <c r="I1801" t="s">
        <v>3981</v>
      </c>
      <c r="J1801" t="s">
        <v>413</v>
      </c>
      <c r="K1801" t="s">
        <v>3982</v>
      </c>
      <c r="L1801" t="s">
        <v>3983</v>
      </c>
      <c r="M1801" t="s">
        <v>21</v>
      </c>
      <c r="N1801" t="s">
        <v>17</v>
      </c>
      <c r="O1801" s="2">
        <v>46037</v>
      </c>
      <c r="P1801" t="s">
        <v>3984</v>
      </c>
      <c r="Q1801" s="2">
        <v>46041</v>
      </c>
      <c r="R1801" t="s">
        <v>3985</v>
      </c>
      <c r="S1801" t="s">
        <v>2578</v>
      </c>
      <c r="T1801" s="18">
        <v>1</v>
      </c>
      <c r="U1801" t="s">
        <v>8</v>
      </c>
      <c r="V1801" t="s">
        <v>8</v>
      </c>
      <c r="W1801" t="s">
        <v>4</v>
      </c>
      <c r="X1801" t="s">
        <v>3228</v>
      </c>
    </row>
    <row r="1802" spans="1:24" outlineLevel="2" x14ac:dyDescent="0.25">
      <c r="A1802" t="s">
        <v>3912</v>
      </c>
      <c r="B1802" s="2">
        <v>46041</v>
      </c>
      <c r="C1802" t="s">
        <v>1</v>
      </c>
      <c r="D1802" t="s">
        <v>410</v>
      </c>
      <c r="E1802" t="s">
        <v>411</v>
      </c>
      <c r="F1802" t="s">
        <v>4</v>
      </c>
      <c r="G1802" t="s">
        <v>5</v>
      </c>
      <c r="H1802" s="3">
        <v>196.92</v>
      </c>
      <c r="I1802" t="s">
        <v>3981</v>
      </c>
      <c r="J1802" t="s">
        <v>413</v>
      </c>
      <c r="K1802" t="s">
        <v>3982</v>
      </c>
      <c r="L1802" t="s">
        <v>3983</v>
      </c>
      <c r="M1802" t="s">
        <v>21</v>
      </c>
      <c r="N1802" t="s">
        <v>43</v>
      </c>
      <c r="O1802" s="2">
        <v>46037</v>
      </c>
      <c r="P1802" t="s">
        <v>3984</v>
      </c>
      <c r="Q1802" s="2">
        <v>46041</v>
      </c>
      <c r="R1802" t="s">
        <v>3985</v>
      </c>
      <c r="S1802" t="s">
        <v>2510</v>
      </c>
      <c r="T1802" s="18">
        <v>4</v>
      </c>
      <c r="U1802" t="s">
        <v>8</v>
      </c>
      <c r="V1802" t="s">
        <v>8</v>
      </c>
      <c r="W1802" t="s">
        <v>4</v>
      </c>
      <c r="X1802" t="s">
        <v>3228</v>
      </c>
    </row>
    <row r="1803" spans="1:24" outlineLevel="2" x14ac:dyDescent="0.25">
      <c r="A1803" t="s">
        <v>3912</v>
      </c>
      <c r="B1803" s="2">
        <v>46041</v>
      </c>
      <c r="C1803" t="s">
        <v>1</v>
      </c>
      <c r="D1803" t="s">
        <v>390</v>
      </c>
      <c r="E1803" t="s">
        <v>391</v>
      </c>
      <c r="F1803" t="s">
        <v>4</v>
      </c>
      <c r="G1803" t="s">
        <v>5</v>
      </c>
      <c r="H1803" s="3">
        <v>3141.3</v>
      </c>
      <c r="I1803" t="s">
        <v>3986</v>
      </c>
      <c r="J1803" t="s">
        <v>413</v>
      </c>
      <c r="K1803" t="s">
        <v>3987</v>
      </c>
      <c r="L1803" t="s">
        <v>3988</v>
      </c>
      <c r="M1803" t="s">
        <v>21</v>
      </c>
      <c r="N1803" t="s">
        <v>1</v>
      </c>
      <c r="O1803" s="2">
        <v>46037</v>
      </c>
      <c r="P1803" t="s">
        <v>3989</v>
      </c>
      <c r="Q1803" s="2">
        <v>46041</v>
      </c>
      <c r="R1803" t="s">
        <v>3990</v>
      </c>
      <c r="S1803" t="s">
        <v>2576</v>
      </c>
      <c r="T1803" s="18">
        <v>74</v>
      </c>
      <c r="U1803" t="s">
        <v>8</v>
      </c>
      <c r="V1803" t="s">
        <v>8</v>
      </c>
      <c r="W1803" t="s">
        <v>4</v>
      </c>
      <c r="X1803" t="s">
        <v>3134</v>
      </c>
    </row>
    <row r="1804" spans="1:24" outlineLevel="2" x14ac:dyDescent="0.25">
      <c r="A1804" t="s">
        <v>3912</v>
      </c>
      <c r="B1804" s="2">
        <v>46069</v>
      </c>
      <c r="C1804" t="s">
        <v>12</v>
      </c>
      <c r="D1804" t="s">
        <v>410</v>
      </c>
      <c r="E1804" t="s">
        <v>411</v>
      </c>
      <c r="F1804" t="s">
        <v>4</v>
      </c>
      <c r="G1804" t="s">
        <v>5</v>
      </c>
      <c r="H1804" s="3">
        <v>849</v>
      </c>
      <c r="I1804" t="s">
        <v>3991</v>
      </c>
      <c r="J1804" t="s">
        <v>413</v>
      </c>
      <c r="K1804" t="s">
        <v>3992</v>
      </c>
      <c r="L1804" t="s">
        <v>3993</v>
      </c>
      <c r="M1804" t="s">
        <v>3886</v>
      </c>
      <c r="N1804" t="s">
        <v>1</v>
      </c>
      <c r="O1804" s="2">
        <v>46065</v>
      </c>
      <c r="P1804" t="s">
        <v>3994</v>
      </c>
      <c r="Q1804" s="2">
        <v>46069</v>
      </c>
      <c r="R1804" t="s">
        <v>3995</v>
      </c>
      <c r="S1804" t="s">
        <v>2576</v>
      </c>
      <c r="T1804" s="18">
        <v>20</v>
      </c>
      <c r="U1804" t="s">
        <v>8</v>
      </c>
      <c r="V1804" t="s">
        <v>8</v>
      </c>
      <c r="W1804" t="s">
        <v>4</v>
      </c>
      <c r="X1804" t="s">
        <v>3228</v>
      </c>
    </row>
    <row r="1805" spans="1:24" outlineLevel="2" x14ac:dyDescent="0.25">
      <c r="A1805" t="s">
        <v>3912</v>
      </c>
      <c r="B1805" s="2">
        <v>46069</v>
      </c>
      <c r="C1805" t="s">
        <v>12</v>
      </c>
      <c r="D1805" t="s">
        <v>410</v>
      </c>
      <c r="E1805" t="s">
        <v>411</v>
      </c>
      <c r="F1805" t="s">
        <v>4</v>
      </c>
      <c r="G1805" t="s">
        <v>5</v>
      </c>
      <c r="H1805" s="3">
        <v>2826.45</v>
      </c>
      <c r="I1805" t="s">
        <v>3996</v>
      </c>
      <c r="J1805" t="s">
        <v>413</v>
      </c>
      <c r="K1805" t="s">
        <v>3997</v>
      </c>
      <c r="L1805" t="s">
        <v>3998</v>
      </c>
      <c r="M1805" t="s">
        <v>3886</v>
      </c>
      <c r="N1805" t="s">
        <v>1</v>
      </c>
      <c r="O1805" s="2">
        <v>46065</v>
      </c>
      <c r="P1805" t="s">
        <v>3999</v>
      </c>
      <c r="Q1805" s="2">
        <v>46069</v>
      </c>
      <c r="R1805" t="s">
        <v>4000</v>
      </c>
      <c r="S1805" t="s">
        <v>2502</v>
      </c>
      <c r="T1805" s="18">
        <v>45</v>
      </c>
      <c r="U1805" t="s">
        <v>8</v>
      </c>
      <c r="V1805" t="s">
        <v>8</v>
      </c>
      <c r="W1805" t="s">
        <v>4</v>
      </c>
      <c r="X1805" t="s">
        <v>3228</v>
      </c>
    </row>
    <row r="1806" spans="1:24" outlineLevel="2" x14ac:dyDescent="0.25">
      <c r="A1806" t="s">
        <v>3912</v>
      </c>
      <c r="B1806" s="2">
        <v>46069</v>
      </c>
      <c r="C1806" t="s">
        <v>12</v>
      </c>
      <c r="D1806" t="s">
        <v>410</v>
      </c>
      <c r="E1806" t="s">
        <v>411</v>
      </c>
      <c r="F1806" t="s">
        <v>4</v>
      </c>
      <c r="G1806" t="s">
        <v>5</v>
      </c>
      <c r="H1806" s="3">
        <v>2750.22</v>
      </c>
      <c r="I1806" t="s">
        <v>3996</v>
      </c>
      <c r="J1806" t="s">
        <v>413</v>
      </c>
      <c r="K1806" t="s">
        <v>3997</v>
      </c>
      <c r="L1806" t="s">
        <v>3998</v>
      </c>
      <c r="M1806" t="s">
        <v>3886</v>
      </c>
      <c r="N1806" t="s">
        <v>12</v>
      </c>
      <c r="O1806" s="2">
        <v>46065</v>
      </c>
      <c r="P1806" t="s">
        <v>3999</v>
      </c>
      <c r="Q1806" s="2">
        <v>46069</v>
      </c>
      <c r="R1806" t="s">
        <v>4000</v>
      </c>
      <c r="S1806" t="s">
        <v>2503</v>
      </c>
      <c r="T1806" s="18">
        <v>27</v>
      </c>
      <c r="U1806" t="s">
        <v>8</v>
      </c>
      <c r="V1806" t="s">
        <v>8</v>
      </c>
      <c r="W1806" t="s">
        <v>4</v>
      </c>
      <c r="X1806" t="s">
        <v>3228</v>
      </c>
    </row>
    <row r="1807" spans="1:24" outlineLevel="2" x14ac:dyDescent="0.25">
      <c r="A1807" t="s">
        <v>3912</v>
      </c>
      <c r="B1807" s="2">
        <v>46069</v>
      </c>
      <c r="C1807" t="s">
        <v>12</v>
      </c>
      <c r="D1807" t="s">
        <v>410</v>
      </c>
      <c r="E1807" t="s">
        <v>411</v>
      </c>
      <c r="F1807" t="s">
        <v>4</v>
      </c>
      <c r="G1807" t="s">
        <v>5</v>
      </c>
      <c r="H1807" s="3">
        <v>21.6</v>
      </c>
      <c r="I1807" t="s">
        <v>3996</v>
      </c>
      <c r="J1807" t="s">
        <v>413</v>
      </c>
      <c r="K1807" t="s">
        <v>3997</v>
      </c>
      <c r="L1807" t="s">
        <v>3998</v>
      </c>
      <c r="M1807" t="s">
        <v>3886</v>
      </c>
      <c r="N1807" t="s">
        <v>17</v>
      </c>
      <c r="O1807" s="2">
        <v>46065</v>
      </c>
      <c r="P1807" t="s">
        <v>3999</v>
      </c>
      <c r="Q1807" s="2">
        <v>46069</v>
      </c>
      <c r="R1807" t="s">
        <v>4000</v>
      </c>
      <c r="S1807" t="s">
        <v>4001</v>
      </c>
      <c r="T1807" s="18">
        <v>2</v>
      </c>
      <c r="U1807" t="s">
        <v>8</v>
      </c>
      <c r="V1807" t="s">
        <v>8</v>
      </c>
      <c r="W1807" t="s">
        <v>4</v>
      </c>
      <c r="X1807" t="s">
        <v>3228</v>
      </c>
    </row>
    <row r="1808" spans="1:24" outlineLevel="2" x14ac:dyDescent="0.25">
      <c r="A1808" t="s">
        <v>3912</v>
      </c>
      <c r="B1808" s="2">
        <v>46069</v>
      </c>
      <c r="C1808" t="s">
        <v>12</v>
      </c>
      <c r="D1808" t="s">
        <v>410</v>
      </c>
      <c r="E1808" t="s">
        <v>411</v>
      </c>
      <c r="F1808" t="s">
        <v>4</v>
      </c>
      <c r="G1808" t="s">
        <v>5</v>
      </c>
      <c r="H1808" s="3">
        <v>147.69</v>
      </c>
      <c r="I1808" t="s">
        <v>3996</v>
      </c>
      <c r="J1808" t="s">
        <v>413</v>
      </c>
      <c r="K1808" t="s">
        <v>3997</v>
      </c>
      <c r="L1808" t="s">
        <v>3998</v>
      </c>
      <c r="M1808" t="s">
        <v>3886</v>
      </c>
      <c r="N1808" t="s">
        <v>43</v>
      </c>
      <c r="O1808" s="2">
        <v>46065</v>
      </c>
      <c r="P1808" t="s">
        <v>3999</v>
      </c>
      <c r="Q1808" s="2">
        <v>46069</v>
      </c>
      <c r="R1808" t="s">
        <v>4000</v>
      </c>
      <c r="S1808" t="s">
        <v>2510</v>
      </c>
      <c r="T1808" s="18">
        <v>3</v>
      </c>
      <c r="U1808" t="s">
        <v>8</v>
      </c>
      <c r="V1808" t="s">
        <v>8</v>
      </c>
      <c r="W1808" t="s">
        <v>4</v>
      </c>
      <c r="X1808" t="s">
        <v>3228</v>
      </c>
    </row>
    <row r="1809" spans="1:24" outlineLevel="2" x14ac:dyDescent="0.25">
      <c r="A1809" t="s">
        <v>3912</v>
      </c>
      <c r="B1809" s="2">
        <v>46071</v>
      </c>
      <c r="C1809" t="s">
        <v>12</v>
      </c>
      <c r="D1809" t="s">
        <v>390</v>
      </c>
      <c r="E1809" t="s">
        <v>391</v>
      </c>
      <c r="F1809" t="s">
        <v>4</v>
      </c>
      <c r="G1809" t="s">
        <v>5</v>
      </c>
      <c r="H1809" s="3">
        <v>11035</v>
      </c>
      <c r="I1809" t="s">
        <v>4002</v>
      </c>
      <c r="J1809" t="s">
        <v>413</v>
      </c>
      <c r="K1809" t="s">
        <v>4003</v>
      </c>
      <c r="L1809" t="s">
        <v>4004</v>
      </c>
      <c r="M1809" t="s">
        <v>3280</v>
      </c>
      <c r="N1809" t="s">
        <v>1</v>
      </c>
      <c r="O1809" s="2">
        <v>46056</v>
      </c>
      <c r="P1809" t="s">
        <v>4005</v>
      </c>
      <c r="Q1809" s="2">
        <v>46071</v>
      </c>
      <c r="R1809" t="s">
        <v>4006</v>
      </c>
      <c r="S1809" t="s">
        <v>2496</v>
      </c>
      <c r="T1809" s="17">
        <v>1</v>
      </c>
      <c r="U1809" t="s">
        <v>8</v>
      </c>
      <c r="V1809" t="s">
        <v>8</v>
      </c>
      <c r="W1809" t="s">
        <v>4</v>
      </c>
      <c r="X1809" t="s">
        <v>3134</v>
      </c>
    </row>
    <row r="1810" spans="1:24" x14ac:dyDescent="0.25">
      <c r="A1810" t="s">
        <v>3912</v>
      </c>
      <c r="B1810" s="2">
        <v>46090</v>
      </c>
      <c r="C1810" t="s">
        <v>17</v>
      </c>
      <c r="D1810" t="s">
        <v>410</v>
      </c>
      <c r="E1810" t="s">
        <v>411</v>
      </c>
      <c r="F1810" t="s">
        <v>4</v>
      </c>
      <c r="G1810" t="s">
        <v>5</v>
      </c>
      <c r="H1810" s="3">
        <v>11035</v>
      </c>
      <c r="I1810" t="s">
        <v>4053</v>
      </c>
      <c r="J1810" t="s">
        <v>413</v>
      </c>
      <c r="K1810" t="s">
        <v>4054</v>
      </c>
      <c r="L1810" t="s">
        <v>4055</v>
      </c>
      <c r="M1810" t="s">
        <v>3886</v>
      </c>
      <c r="N1810" t="s">
        <v>1</v>
      </c>
      <c r="O1810" s="2">
        <v>46084</v>
      </c>
      <c r="P1810" t="s">
        <v>4056</v>
      </c>
      <c r="Q1810" s="2">
        <v>46090</v>
      </c>
      <c r="R1810" t="s">
        <v>4057</v>
      </c>
      <c r="S1810" t="s">
        <v>2496</v>
      </c>
      <c r="T1810" s="17">
        <v>1</v>
      </c>
      <c r="U1810" t="s">
        <v>8</v>
      </c>
      <c r="V1810" t="s">
        <v>8</v>
      </c>
      <c r="W1810" t="s">
        <v>4</v>
      </c>
      <c r="X1810" t="s">
        <v>3228</v>
      </c>
    </row>
    <row r="1811" spans="1:24" x14ac:dyDescent="0.25">
      <c r="A1811" t="s">
        <v>3912</v>
      </c>
      <c r="B1811" s="9">
        <v>46127</v>
      </c>
      <c r="C1811" t="s">
        <v>43</v>
      </c>
      <c r="D1811" t="s">
        <v>410</v>
      </c>
      <c r="E1811" t="s">
        <v>411</v>
      </c>
      <c r="F1811" t="s">
        <v>4</v>
      </c>
      <c r="G1811" t="s">
        <v>5</v>
      </c>
      <c r="H1811">
        <v>11035</v>
      </c>
      <c r="I1811" t="s">
        <v>4074</v>
      </c>
      <c r="J1811" t="s">
        <v>413</v>
      </c>
      <c r="K1811" t="s">
        <v>4075</v>
      </c>
      <c r="L1811" t="s">
        <v>4076</v>
      </c>
      <c r="M1811" t="s">
        <v>2493</v>
      </c>
      <c r="N1811" t="s">
        <v>1</v>
      </c>
      <c r="O1811" s="9">
        <v>46119</v>
      </c>
      <c r="P1811" t="s">
        <v>4077</v>
      </c>
      <c r="Q1811" s="9">
        <v>46127</v>
      </c>
      <c r="R1811" t="s">
        <v>4078</v>
      </c>
      <c r="S1811" t="s">
        <v>2496</v>
      </c>
      <c r="T1811">
        <v>1</v>
      </c>
      <c r="U1811" t="s">
        <v>8</v>
      </c>
      <c r="V1811" t="s">
        <v>8</v>
      </c>
      <c r="W1811" t="s">
        <v>4</v>
      </c>
      <c r="X1811" t="s">
        <v>3228</v>
      </c>
    </row>
    <row r="1812" spans="1:24" x14ac:dyDescent="0.25">
      <c r="A1812" t="s">
        <v>3912</v>
      </c>
      <c r="B1812" s="9">
        <v>46127</v>
      </c>
      <c r="C1812" t="s">
        <v>43</v>
      </c>
      <c r="D1812" t="s">
        <v>410</v>
      </c>
      <c r="E1812" t="s">
        <v>411</v>
      </c>
      <c r="F1812" t="s">
        <v>4</v>
      </c>
      <c r="G1812" t="s">
        <v>5</v>
      </c>
      <c r="H1812">
        <v>21704.2</v>
      </c>
      <c r="I1812" t="s">
        <v>4079</v>
      </c>
      <c r="J1812" t="s">
        <v>413</v>
      </c>
      <c r="K1812" t="s">
        <v>8</v>
      </c>
      <c r="L1812" t="s">
        <v>4080</v>
      </c>
      <c r="M1812" t="s">
        <v>446</v>
      </c>
      <c r="N1812" t="s">
        <v>1</v>
      </c>
      <c r="O1812" s="9">
        <v>46059</v>
      </c>
      <c r="P1812" t="s">
        <v>4081</v>
      </c>
      <c r="Q1812" s="9">
        <v>46127</v>
      </c>
      <c r="R1812" t="s">
        <v>4082</v>
      </c>
      <c r="S1812" t="s">
        <v>8</v>
      </c>
      <c r="T1812">
        <v>0</v>
      </c>
      <c r="U1812" t="s">
        <v>8</v>
      </c>
      <c r="V1812" t="s">
        <v>8</v>
      </c>
      <c r="W1812" t="s">
        <v>4</v>
      </c>
      <c r="X1812" t="s">
        <v>3228</v>
      </c>
    </row>
    <row r="1813" spans="1:24" x14ac:dyDescent="0.25">
      <c r="A1813" t="s">
        <v>3912</v>
      </c>
      <c r="B1813" s="9">
        <v>46154</v>
      </c>
      <c r="C1813" t="s">
        <v>77</v>
      </c>
      <c r="D1813" t="s">
        <v>410</v>
      </c>
      <c r="E1813" t="s">
        <v>411</v>
      </c>
      <c r="F1813" t="s">
        <v>4</v>
      </c>
      <c r="G1813" t="s">
        <v>5</v>
      </c>
      <c r="H1813">
        <v>3517.36</v>
      </c>
      <c r="I1813" t="s">
        <v>4114</v>
      </c>
      <c r="J1813" t="s">
        <v>413</v>
      </c>
      <c r="K1813" t="s">
        <v>4115</v>
      </c>
      <c r="L1813" t="s">
        <v>4116</v>
      </c>
      <c r="M1813" t="s">
        <v>3280</v>
      </c>
      <c r="N1813" t="s">
        <v>1</v>
      </c>
      <c r="O1813" s="9">
        <v>46146</v>
      </c>
      <c r="P1813" t="s">
        <v>4117</v>
      </c>
      <c r="Q1813" s="9">
        <v>46154</v>
      </c>
      <c r="R1813" t="s">
        <v>4118</v>
      </c>
      <c r="S1813" t="s">
        <v>2502</v>
      </c>
      <c r="T1813">
        <v>56</v>
      </c>
      <c r="U1813" t="s">
        <v>8</v>
      </c>
      <c r="V1813" t="s">
        <v>8</v>
      </c>
      <c r="W1813" t="s">
        <v>4</v>
      </c>
      <c r="X1813" t="s">
        <v>3228</v>
      </c>
    </row>
    <row r="1814" spans="1:24" x14ac:dyDescent="0.25">
      <c r="A1814" t="s">
        <v>3912</v>
      </c>
      <c r="B1814" s="9">
        <v>46154</v>
      </c>
      <c r="C1814" t="s">
        <v>77</v>
      </c>
      <c r="D1814" t="s">
        <v>410</v>
      </c>
      <c r="E1814" t="s">
        <v>411</v>
      </c>
      <c r="F1814" t="s">
        <v>4</v>
      </c>
      <c r="G1814" t="s">
        <v>5</v>
      </c>
      <c r="H1814">
        <v>1100.1600000000001</v>
      </c>
      <c r="I1814" t="s">
        <v>4114</v>
      </c>
      <c r="J1814" t="s">
        <v>413</v>
      </c>
      <c r="K1814" t="s">
        <v>4115</v>
      </c>
      <c r="L1814" t="s">
        <v>4116</v>
      </c>
      <c r="M1814" t="s">
        <v>3280</v>
      </c>
      <c r="N1814" t="s">
        <v>12</v>
      </c>
      <c r="O1814" s="9">
        <v>46146</v>
      </c>
      <c r="P1814" t="s">
        <v>4117</v>
      </c>
      <c r="Q1814" s="9">
        <v>46154</v>
      </c>
      <c r="R1814" t="s">
        <v>4118</v>
      </c>
      <c r="S1814" t="s">
        <v>2509</v>
      </c>
      <c r="T1814">
        <v>18</v>
      </c>
      <c r="U1814" t="s">
        <v>8</v>
      </c>
      <c r="V1814" t="s">
        <v>8</v>
      </c>
      <c r="W1814" t="s">
        <v>4</v>
      </c>
      <c r="X1814" t="s">
        <v>3228</v>
      </c>
    </row>
    <row r="1815" spans="1:24" x14ac:dyDescent="0.25">
      <c r="A1815" t="s">
        <v>3912</v>
      </c>
      <c r="B1815" s="9">
        <v>46154</v>
      </c>
      <c r="C1815" t="s">
        <v>77</v>
      </c>
      <c r="D1815" t="s">
        <v>410</v>
      </c>
      <c r="E1815" t="s">
        <v>411</v>
      </c>
      <c r="F1815" t="s">
        <v>4</v>
      </c>
      <c r="G1815" t="s">
        <v>5</v>
      </c>
      <c r="H1815">
        <v>5500.44</v>
      </c>
      <c r="I1815" t="s">
        <v>4114</v>
      </c>
      <c r="J1815" t="s">
        <v>413</v>
      </c>
      <c r="K1815" t="s">
        <v>4115</v>
      </c>
      <c r="L1815" t="s">
        <v>4116</v>
      </c>
      <c r="M1815" t="s">
        <v>3280</v>
      </c>
      <c r="N1815" t="s">
        <v>17</v>
      </c>
      <c r="O1815" s="9">
        <v>46146</v>
      </c>
      <c r="P1815" t="s">
        <v>4117</v>
      </c>
      <c r="Q1815" s="9">
        <v>46154</v>
      </c>
      <c r="R1815" t="s">
        <v>4118</v>
      </c>
      <c r="S1815" t="s">
        <v>2503</v>
      </c>
      <c r="T1815">
        <v>54</v>
      </c>
      <c r="U1815" t="s">
        <v>8</v>
      </c>
      <c r="V1815" t="s">
        <v>8</v>
      </c>
      <c r="W1815" t="s">
        <v>4</v>
      </c>
      <c r="X1815" t="s">
        <v>3228</v>
      </c>
    </row>
    <row r="1816" spans="1:24" x14ac:dyDescent="0.25">
      <c r="A1816" t="s">
        <v>3912</v>
      </c>
      <c r="B1816" s="9">
        <v>46154</v>
      </c>
      <c r="C1816" t="s">
        <v>77</v>
      </c>
      <c r="D1816" t="s">
        <v>410</v>
      </c>
      <c r="E1816" t="s">
        <v>411</v>
      </c>
      <c r="F1816" t="s">
        <v>4</v>
      </c>
      <c r="G1816" t="s">
        <v>5</v>
      </c>
      <c r="H1816">
        <v>738.45</v>
      </c>
      <c r="I1816" t="s">
        <v>4114</v>
      </c>
      <c r="J1816" t="s">
        <v>413</v>
      </c>
      <c r="K1816" t="s">
        <v>4115</v>
      </c>
      <c r="L1816" t="s">
        <v>4116</v>
      </c>
      <c r="M1816" t="s">
        <v>3280</v>
      </c>
      <c r="N1816" t="s">
        <v>43</v>
      </c>
      <c r="O1816" s="9">
        <v>46146</v>
      </c>
      <c r="P1816" t="s">
        <v>4117</v>
      </c>
      <c r="Q1816" s="9">
        <v>46154</v>
      </c>
      <c r="R1816" t="s">
        <v>4118</v>
      </c>
      <c r="S1816" t="s">
        <v>2510</v>
      </c>
      <c r="T1816">
        <v>15</v>
      </c>
      <c r="U1816" t="s">
        <v>8</v>
      </c>
      <c r="V1816" t="s">
        <v>8</v>
      </c>
      <c r="W1816" t="s">
        <v>4</v>
      </c>
      <c r="X1816" t="s">
        <v>3228</v>
      </c>
    </row>
    <row r="1817" spans="1:24" x14ac:dyDescent="0.25">
      <c r="A1817" t="s">
        <v>3912</v>
      </c>
      <c r="B1817" s="9">
        <v>46155</v>
      </c>
      <c r="C1817" t="s">
        <v>77</v>
      </c>
      <c r="D1817" t="s">
        <v>410</v>
      </c>
      <c r="E1817" t="s">
        <v>411</v>
      </c>
      <c r="F1817" t="s">
        <v>4</v>
      </c>
      <c r="G1817" t="s">
        <v>5</v>
      </c>
      <c r="H1817">
        <v>11035</v>
      </c>
      <c r="I1817" t="s">
        <v>4119</v>
      </c>
      <c r="J1817" t="s">
        <v>413</v>
      </c>
      <c r="K1817" t="s">
        <v>4120</v>
      </c>
      <c r="L1817" t="s">
        <v>4121</v>
      </c>
      <c r="M1817" t="s">
        <v>3280</v>
      </c>
      <c r="N1817" t="s">
        <v>1</v>
      </c>
      <c r="O1817" s="9">
        <v>46146</v>
      </c>
      <c r="P1817" t="s">
        <v>4122</v>
      </c>
      <c r="Q1817" s="9">
        <v>46155</v>
      </c>
      <c r="R1817" t="s">
        <v>4123</v>
      </c>
      <c r="S1817" t="s">
        <v>2496</v>
      </c>
      <c r="T1817">
        <v>1</v>
      </c>
      <c r="U1817" t="s">
        <v>8</v>
      </c>
      <c r="V1817" t="s">
        <v>8</v>
      </c>
      <c r="W1817" t="s">
        <v>4</v>
      </c>
      <c r="X1817" t="s">
        <v>3228</v>
      </c>
    </row>
    <row r="1818" spans="1:24" x14ac:dyDescent="0.25">
      <c r="A1818" t="s">
        <v>3912</v>
      </c>
      <c r="B1818" s="2">
        <v>46180</v>
      </c>
      <c r="C1818" t="s">
        <v>22</v>
      </c>
      <c r="D1818" t="s">
        <v>410</v>
      </c>
      <c r="E1818" t="s">
        <v>411</v>
      </c>
      <c r="F1818" t="s">
        <v>4</v>
      </c>
      <c r="G1818" t="s">
        <v>5</v>
      </c>
      <c r="H1818" s="3">
        <v>1633.06</v>
      </c>
      <c r="I1818" t="s">
        <v>4165</v>
      </c>
      <c r="J1818" t="s">
        <v>413</v>
      </c>
      <c r="K1818" t="s">
        <v>4166</v>
      </c>
      <c r="L1818" t="s">
        <v>4167</v>
      </c>
      <c r="M1818" t="s">
        <v>3886</v>
      </c>
      <c r="N1818" t="s">
        <v>1</v>
      </c>
      <c r="O1818" s="2">
        <v>46157</v>
      </c>
      <c r="P1818" t="s">
        <v>4168</v>
      </c>
      <c r="Q1818" s="2">
        <v>46180</v>
      </c>
      <c r="R1818" t="s">
        <v>4169</v>
      </c>
      <c r="S1818" t="s">
        <v>2502</v>
      </c>
      <c r="T1818" s="17">
        <v>1</v>
      </c>
      <c r="U1818" t="s">
        <v>8</v>
      </c>
      <c r="V1818" t="s">
        <v>8</v>
      </c>
      <c r="W1818" t="s">
        <v>4</v>
      </c>
      <c r="X1818" t="s">
        <v>3228</v>
      </c>
    </row>
    <row r="1819" spans="1:24" x14ac:dyDescent="0.25">
      <c r="A1819" t="s">
        <v>3912</v>
      </c>
      <c r="B1819" s="2">
        <v>46180</v>
      </c>
      <c r="C1819" t="s">
        <v>22</v>
      </c>
      <c r="D1819" t="s">
        <v>410</v>
      </c>
      <c r="E1819" t="s">
        <v>411</v>
      </c>
      <c r="F1819" t="s">
        <v>4</v>
      </c>
      <c r="G1819" t="s">
        <v>5</v>
      </c>
      <c r="H1819" s="3">
        <v>794.56</v>
      </c>
      <c r="I1819" t="s">
        <v>4165</v>
      </c>
      <c r="J1819" t="s">
        <v>413</v>
      </c>
      <c r="K1819" t="s">
        <v>4166</v>
      </c>
      <c r="L1819" t="s">
        <v>4167</v>
      </c>
      <c r="M1819" t="s">
        <v>3886</v>
      </c>
      <c r="N1819" t="s">
        <v>12</v>
      </c>
      <c r="O1819" s="2">
        <v>46157</v>
      </c>
      <c r="P1819" t="s">
        <v>4168</v>
      </c>
      <c r="Q1819" s="2">
        <v>46180</v>
      </c>
      <c r="R1819" t="s">
        <v>4169</v>
      </c>
      <c r="S1819" t="s">
        <v>2509</v>
      </c>
      <c r="T1819" s="18">
        <v>1</v>
      </c>
      <c r="U1819" t="s">
        <v>8</v>
      </c>
      <c r="V1819" t="s">
        <v>8</v>
      </c>
      <c r="W1819" t="s">
        <v>4</v>
      </c>
      <c r="X1819" t="s">
        <v>3228</v>
      </c>
    </row>
    <row r="1820" spans="1:24" x14ac:dyDescent="0.25">
      <c r="A1820" t="s">
        <v>3912</v>
      </c>
      <c r="B1820" s="2">
        <v>46180</v>
      </c>
      <c r="C1820" t="s">
        <v>22</v>
      </c>
      <c r="D1820" t="s">
        <v>410</v>
      </c>
      <c r="E1820" t="s">
        <v>411</v>
      </c>
      <c r="F1820" t="s">
        <v>4</v>
      </c>
      <c r="G1820" t="s">
        <v>5</v>
      </c>
      <c r="H1820" s="3">
        <v>1935.34</v>
      </c>
      <c r="I1820" t="s">
        <v>4165</v>
      </c>
      <c r="J1820" t="s">
        <v>413</v>
      </c>
      <c r="K1820" t="s">
        <v>4166</v>
      </c>
      <c r="L1820" t="s">
        <v>4167</v>
      </c>
      <c r="M1820" t="s">
        <v>3886</v>
      </c>
      <c r="N1820" t="s">
        <v>17</v>
      </c>
      <c r="O1820" s="2">
        <v>46157</v>
      </c>
      <c r="P1820" t="s">
        <v>4168</v>
      </c>
      <c r="Q1820" s="2">
        <v>46180</v>
      </c>
      <c r="R1820" t="s">
        <v>4169</v>
      </c>
      <c r="S1820" t="s">
        <v>2503</v>
      </c>
      <c r="T1820" s="18">
        <v>1</v>
      </c>
      <c r="U1820" t="s">
        <v>8</v>
      </c>
      <c r="V1820" t="s">
        <v>8</v>
      </c>
      <c r="W1820" t="s">
        <v>4</v>
      </c>
      <c r="X1820" t="s">
        <v>3228</v>
      </c>
    </row>
    <row r="1821" spans="1:24" x14ac:dyDescent="0.25">
      <c r="A1821" t="s">
        <v>3912</v>
      </c>
      <c r="B1821" s="2">
        <v>46180</v>
      </c>
      <c r="C1821" t="s">
        <v>22</v>
      </c>
      <c r="D1821" t="s">
        <v>410</v>
      </c>
      <c r="E1821" t="s">
        <v>411</v>
      </c>
      <c r="F1821" t="s">
        <v>4</v>
      </c>
      <c r="G1821" t="s">
        <v>5</v>
      </c>
      <c r="H1821" s="3">
        <v>458.38</v>
      </c>
      <c r="I1821" t="s">
        <v>4165</v>
      </c>
      <c r="J1821" t="s">
        <v>413</v>
      </c>
      <c r="K1821" t="s">
        <v>4166</v>
      </c>
      <c r="L1821" t="s">
        <v>4167</v>
      </c>
      <c r="M1821" t="s">
        <v>3886</v>
      </c>
      <c r="N1821" t="s">
        <v>43</v>
      </c>
      <c r="O1821" s="2">
        <v>46157</v>
      </c>
      <c r="P1821" t="s">
        <v>4168</v>
      </c>
      <c r="Q1821" s="2">
        <v>46180</v>
      </c>
      <c r="R1821" t="s">
        <v>4169</v>
      </c>
      <c r="S1821" t="s">
        <v>2578</v>
      </c>
      <c r="T1821" s="18">
        <v>1</v>
      </c>
      <c r="U1821" t="s">
        <v>8</v>
      </c>
      <c r="V1821" t="s">
        <v>8</v>
      </c>
      <c r="W1821" t="s">
        <v>4</v>
      </c>
      <c r="X1821" t="s">
        <v>3228</v>
      </c>
    </row>
    <row r="1822" spans="1:24" x14ac:dyDescent="0.25">
      <c r="A1822" t="s">
        <v>3912</v>
      </c>
      <c r="B1822" s="2">
        <v>46180</v>
      </c>
      <c r="C1822" t="s">
        <v>22</v>
      </c>
      <c r="D1822" t="s">
        <v>410</v>
      </c>
      <c r="E1822" t="s">
        <v>411</v>
      </c>
      <c r="F1822" t="s">
        <v>4</v>
      </c>
      <c r="G1822" t="s">
        <v>5</v>
      </c>
      <c r="H1822" s="3">
        <v>295.38</v>
      </c>
      <c r="I1822" t="s">
        <v>4165</v>
      </c>
      <c r="J1822" t="s">
        <v>413</v>
      </c>
      <c r="K1822" t="s">
        <v>4166</v>
      </c>
      <c r="L1822" t="s">
        <v>4167</v>
      </c>
      <c r="M1822" t="s">
        <v>3886</v>
      </c>
      <c r="N1822" t="s">
        <v>77</v>
      </c>
      <c r="O1822" s="2">
        <v>46157</v>
      </c>
      <c r="P1822" t="s">
        <v>4168</v>
      </c>
      <c r="Q1822" s="2">
        <v>46180</v>
      </c>
      <c r="R1822" t="s">
        <v>4169</v>
      </c>
      <c r="S1822" t="s">
        <v>2510</v>
      </c>
      <c r="T1822" s="18">
        <v>1</v>
      </c>
      <c r="U1822" t="s">
        <v>8</v>
      </c>
      <c r="V1822" t="s">
        <v>8</v>
      </c>
      <c r="W1822" t="s">
        <v>4</v>
      </c>
      <c r="X1822" t="s">
        <v>3228</v>
      </c>
    </row>
    <row r="1823" spans="1:24" x14ac:dyDescent="0.25">
      <c r="A1823" t="s">
        <v>3912</v>
      </c>
      <c r="B1823" s="2">
        <v>46180</v>
      </c>
      <c r="C1823" t="s">
        <v>22</v>
      </c>
      <c r="D1823" t="s">
        <v>410</v>
      </c>
      <c r="E1823" t="s">
        <v>411</v>
      </c>
      <c r="F1823" t="s">
        <v>4</v>
      </c>
      <c r="G1823" t="s">
        <v>5</v>
      </c>
      <c r="H1823" s="3">
        <v>358</v>
      </c>
      <c r="I1823" t="s">
        <v>4165</v>
      </c>
      <c r="J1823" t="s">
        <v>413</v>
      </c>
      <c r="K1823" t="s">
        <v>4166</v>
      </c>
      <c r="L1823" t="s">
        <v>4167</v>
      </c>
      <c r="M1823" t="s">
        <v>3886</v>
      </c>
      <c r="N1823" t="s">
        <v>22</v>
      </c>
      <c r="O1823" s="2">
        <v>46157</v>
      </c>
      <c r="P1823" t="s">
        <v>4168</v>
      </c>
      <c r="Q1823" s="2">
        <v>46180</v>
      </c>
      <c r="R1823" t="s">
        <v>4169</v>
      </c>
      <c r="S1823" t="s">
        <v>2930</v>
      </c>
      <c r="T1823" s="18">
        <v>1</v>
      </c>
      <c r="U1823" t="s">
        <v>8</v>
      </c>
      <c r="V1823" t="s">
        <v>8</v>
      </c>
      <c r="W1823" t="s">
        <v>4</v>
      </c>
      <c r="X1823" t="s">
        <v>3228</v>
      </c>
    </row>
    <row r="1824" spans="1:24" x14ac:dyDescent="0.25">
      <c r="A1824" t="s">
        <v>3912</v>
      </c>
      <c r="B1824" s="2">
        <v>46180</v>
      </c>
      <c r="C1824" t="s">
        <v>22</v>
      </c>
      <c r="D1824" t="s">
        <v>410</v>
      </c>
      <c r="E1824" t="s">
        <v>411</v>
      </c>
      <c r="F1824" t="s">
        <v>4</v>
      </c>
      <c r="G1824" t="s">
        <v>5</v>
      </c>
      <c r="H1824" s="3">
        <v>11.88</v>
      </c>
      <c r="I1824" t="s">
        <v>4165</v>
      </c>
      <c r="J1824" t="s">
        <v>413</v>
      </c>
      <c r="K1824" t="s">
        <v>4166</v>
      </c>
      <c r="L1824" t="s">
        <v>4167</v>
      </c>
      <c r="M1824" t="s">
        <v>3886</v>
      </c>
      <c r="N1824" t="s">
        <v>72</v>
      </c>
      <c r="O1824" s="2">
        <v>46157</v>
      </c>
      <c r="P1824" t="s">
        <v>4168</v>
      </c>
      <c r="Q1824" s="2">
        <v>46180</v>
      </c>
      <c r="R1824" t="s">
        <v>4169</v>
      </c>
      <c r="S1824" t="s">
        <v>3497</v>
      </c>
      <c r="T1824" s="18">
        <v>1</v>
      </c>
      <c r="U1824" t="s">
        <v>8</v>
      </c>
      <c r="V1824" t="s">
        <v>8</v>
      </c>
      <c r="W1824" t="s">
        <v>4</v>
      </c>
      <c r="X1824" t="s">
        <v>3228</v>
      </c>
    </row>
    <row r="1825" spans="1:24" x14ac:dyDescent="0.25">
      <c r="A1825" t="s">
        <v>3912</v>
      </c>
      <c r="B1825" s="2">
        <v>46180</v>
      </c>
      <c r="C1825" t="s">
        <v>22</v>
      </c>
      <c r="D1825" t="s">
        <v>410</v>
      </c>
      <c r="E1825" t="s">
        <v>411</v>
      </c>
      <c r="F1825" t="s">
        <v>4</v>
      </c>
      <c r="G1825" t="s">
        <v>5</v>
      </c>
      <c r="H1825" s="3">
        <v>11.98</v>
      </c>
      <c r="I1825" t="s">
        <v>4165</v>
      </c>
      <c r="J1825" t="s">
        <v>413</v>
      </c>
      <c r="K1825" t="s">
        <v>4170</v>
      </c>
      <c r="L1825" t="s">
        <v>4167</v>
      </c>
      <c r="M1825" t="s">
        <v>3886</v>
      </c>
      <c r="N1825" t="s">
        <v>82</v>
      </c>
      <c r="O1825" s="2">
        <v>46157</v>
      </c>
      <c r="P1825" t="s">
        <v>4168</v>
      </c>
      <c r="Q1825" s="2">
        <v>46180</v>
      </c>
      <c r="R1825" t="s">
        <v>4169</v>
      </c>
      <c r="S1825" t="s">
        <v>4171</v>
      </c>
      <c r="T1825" s="18">
        <v>1</v>
      </c>
      <c r="U1825" t="s">
        <v>8</v>
      </c>
      <c r="V1825" t="s">
        <v>8</v>
      </c>
      <c r="W1825" t="s">
        <v>4</v>
      </c>
      <c r="X1825" t="s">
        <v>3228</v>
      </c>
    </row>
    <row r="1826" spans="1:24" x14ac:dyDescent="0.25">
      <c r="A1826" t="s">
        <v>3912</v>
      </c>
      <c r="B1826" s="2">
        <v>46189</v>
      </c>
      <c r="C1826" t="s">
        <v>22</v>
      </c>
      <c r="D1826" t="s">
        <v>410</v>
      </c>
      <c r="E1826" t="s">
        <v>411</v>
      </c>
      <c r="F1826" t="s">
        <v>4</v>
      </c>
      <c r="G1826" t="s">
        <v>5</v>
      </c>
      <c r="H1826" s="3">
        <v>11035</v>
      </c>
      <c r="I1826" t="s">
        <v>4172</v>
      </c>
      <c r="J1826" t="s">
        <v>413</v>
      </c>
      <c r="K1826" t="s">
        <v>4173</v>
      </c>
      <c r="L1826" t="s">
        <v>4174</v>
      </c>
      <c r="M1826" t="s">
        <v>21</v>
      </c>
      <c r="N1826" t="s">
        <v>1</v>
      </c>
      <c r="O1826" s="2">
        <v>46183</v>
      </c>
      <c r="P1826" t="s">
        <v>4175</v>
      </c>
      <c r="Q1826" s="2">
        <v>46189</v>
      </c>
      <c r="R1826" t="s">
        <v>4176</v>
      </c>
      <c r="S1826" t="s">
        <v>2496</v>
      </c>
      <c r="T1826" s="18">
        <v>1</v>
      </c>
      <c r="U1826" t="s">
        <v>8</v>
      </c>
      <c r="V1826" t="s">
        <v>8</v>
      </c>
      <c r="W1826" t="s">
        <v>4</v>
      </c>
      <c r="X1826" t="s">
        <v>3228</v>
      </c>
    </row>
    <row r="1827" spans="1:24" x14ac:dyDescent="0.25">
      <c r="A1827" t="s">
        <v>3912</v>
      </c>
      <c r="B1827" s="9">
        <v>46218</v>
      </c>
      <c r="C1827" t="s">
        <v>72</v>
      </c>
      <c r="D1827" t="s">
        <v>410</v>
      </c>
      <c r="E1827" t="s">
        <v>411</v>
      </c>
      <c r="F1827" t="s">
        <v>4</v>
      </c>
      <c r="G1827" t="s">
        <v>5</v>
      </c>
      <c r="H1827">
        <v>11035</v>
      </c>
      <c r="I1827" t="s">
        <v>4134</v>
      </c>
      <c r="J1827" t="s">
        <v>413</v>
      </c>
      <c r="K1827" t="s">
        <v>4135</v>
      </c>
      <c r="L1827" t="s">
        <v>4136</v>
      </c>
      <c r="M1827" t="s">
        <v>2493</v>
      </c>
      <c r="N1827" t="s">
        <v>1</v>
      </c>
      <c r="O1827" s="9">
        <v>46205</v>
      </c>
      <c r="P1827" t="s">
        <v>4137</v>
      </c>
      <c r="Q1827" s="9">
        <v>46218</v>
      </c>
      <c r="R1827" t="s">
        <v>4138</v>
      </c>
      <c r="S1827" t="s">
        <v>2496</v>
      </c>
      <c r="T1827">
        <v>1</v>
      </c>
      <c r="U1827" t="s">
        <v>8</v>
      </c>
      <c r="V1827" t="s">
        <v>8</v>
      </c>
      <c r="W1827" t="s">
        <v>4</v>
      </c>
      <c r="X1827" t="s">
        <v>3228</v>
      </c>
    </row>
    <row r="1828" spans="1:24" x14ac:dyDescent="0.25">
      <c r="A1828" t="s">
        <v>3912</v>
      </c>
      <c r="B1828" s="9">
        <v>46226</v>
      </c>
      <c r="C1828" t="s">
        <v>72</v>
      </c>
      <c r="D1828" t="s">
        <v>410</v>
      </c>
      <c r="E1828" t="s">
        <v>411</v>
      </c>
      <c r="F1828" t="s">
        <v>4</v>
      </c>
      <c r="G1828" t="s">
        <v>5</v>
      </c>
      <c r="H1828">
        <v>3141.3</v>
      </c>
      <c r="I1828" t="s">
        <v>4139</v>
      </c>
      <c r="J1828" t="s">
        <v>413</v>
      </c>
      <c r="K1828" t="s">
        <v>4140</v>
      </c>
      <c r="L1828" t="s">
        <v>4141</v>
      </c>
      <c r="M1828" t="s">
        <v>3886</v>
      </c>
      <c r="N1828" t="s">
        <v>1</v>
      </c>
      <c r="O1828" s="9">
        <v>46213</v>
      </c>
      <c r="P1828" t="s">
        <v>4142</v>
      </c>
      <c r="Q1828" s="9">
        <v>46226</v>
      </c>
      <c r="R1828" t="s">
        <v>4143</v>
      </c>
      <c r="S1828" t="s">
        <v>2576</v>
      </c>
      <c r="T1828">
        <v>74</v>
      </c>
      <c r="U1828" t="s">
        <v>8</v>
      </c>
      <c r="V1828" t="s">
        <v>8</v>
      </c>
      <c r="W1828" t="s">
        <v>4</v>
      </c>
      <c r="X1828" t="s">
        <v>3228</v>
      </c>
    </row>
    <row r="1829" spans="1:24" x14ac:dyDescent="0.25">
      <c r="A1829" t="s">
        <v>3912</v>
      </c>
      <c r="B1829" s="9">
        <v>46226</v>
      </c>
      <c r="C1829" t="s">
        <v>72</v>
      </c>
      <c r="D1829" t="s">
        <v>410</v>
      </c>
      <c r="E1829" t="s">
        <v>411</v>
      </c>
      <c r="F1829" t="s">
        <v>4</v>
      </c>
      <c r="G1829" t="s">
        <v>5</v>
      </c>
      <c r="H1829">
        <v>295.38</v>
      </c>
      <c r="I1829" t="s">
        <v>4144</v>
      </c>
      <c r="J1829" t="s">
        <v>413</v>
      </c>
      <c r="K1829" t="s">
        <v>4145</v>
      </c>
      <c r="L1829" t="s">
        <v>4146</v>
      </c>
      <c r="M1829" t="s">
        <v>3886</v>
      </c>
      <c r="N1829" t="s">
        <v>1</v>
      </c>
      <c r="O1829" s="9">
        <v>46213</v>
      </c>
      <c r="P1829" t="s">
        <v>4147</v>
      </c>
      <c r="Q1829" s="9">
        <v>46226</v>
      </c>
      <c r="R1829" t="s">
        <v>4148</v>
      </c>
      <c r="S1829" t="s">
        <v>2510</v>
      </c>
      <c r="T1829">
        <v>6</v>
      </c>
      <c r="U1829" t="s">
        <v>8</v>
      </c>
      <c r="V1829" t="s">
        <v>8</v>
      </c>
      <c r="W1829" t="s">
        <v>4</v>
      </c>
      <c r="X1829" t="s">
        <v>3228</v>
      </c>
    </row>
    <row r="1830" spans="1:24" x14ac:dyDescent="0.25">
      <c r="A1830" t="s">
        <v>3912</v>
      </c>
      <c r="B1830" s="9">
        <v>46226</v>
      </c>
      <c r="C1830" t="s">
        <v>72</v>
      </c>
      <c r="D1830" t="s">
        <v>410</v>
      </c>
      <c r="E1830" t="s">
        <v>411</v>
      </c>
      <c r="F1830" t="s">
        <v>4</v>
      </c>
      <c r="G1830" t="s">
        <v>5</v>
      </c>
      <c r="H1830">
        <v>59.41</v>
      </c>
      <c r="I1830" t="s">
        <v>4144</v>
      </c>
      <c r="J1830" t="s">
        <v>413</v>
      </c>
      <c r="K1830" t="s">
        <v>4145</v>
      </c>
      <c r="L1830" t="s">
        <v>4146</v>
      </c>
      <c r="M1830" t="s">
        <v>3886</v>
      </c>
      <c r="N1830" t="s">
        <v>12</v>
      </c>
      <c r="O1830" s="9">
        <v>46213</v>
      </c>
      <c r="P1830" t="s">
        <v>4147</v>
      </c>
      <c r="Q1830" s="9">
        <v>46226</v>
      </c>
      <c r="R1830" t="s">
        <v>4148</v>
      </c>
      <c r="S1830" t="s">
        <v>2511</v>
      </c>
      <c r="T1830">
        <v>1</v>
      </c>
      <c r="U1830" t="s">
        <v>8</v>
      </c>
      <c r="V1830" t="s">
        <v>8</v>
      </c>
      <c r="W1830" t="s">
        <v>4</v>
      </c>
      <c r="X1830" t="s">
        <v>3228</v>
      </c>
    </row>
    <row r="1831" spans="1:24" x14ac:dyDescent="0.25">
      <c r="A1831" t="s">
        <v>3912</v>
      </c>
      <c r="B1831" s="9">
        <v>46226</v>
      </c>
      <c r="C1831" t="s">
        <v>72</v>
      </c>
      <c r="D1831" t="s">
        <v>410</v>
      </c>
      <c r="E1831" t="s">
        <v>411</v>
      </c>
      <c r="F1831" t="s">
        <v>4</v>
      </c>
      <c r="G1831" t="s">
        <v>5</v>
      </c>
      <c r="H1831">
        <v>3454.55</v>
      </c>
      <c r="I1831" t="s">
        <v>4144</v>
      </c>
      <c r="J1831" t="s">
        <v>413</v>
      </c>
      <c r="K1831" t="s">
        <v>4145</v>
      </c>
      <c r="L1831" t="s">
        <v>4146</v>
      </c>
      <c r="M1831" t="s">
        <v>3886</v>
      </c>
      <c r="N1831" t="s">
        <v>17</v>
      </c>
      <c r="O1831" s="9">
        <v>46213</v>
      </c>
      <c r="P1831" t="s">
        <v>4147</v>
      </c>
      <c r="Q1831" s="9">
        <v>46226</v>
      </c>
      <c r="R1831" t="s">
        <v>4148</v>
      </c>
      <c r="S1831" t="s">
        <v>2502</v>
      </c>
      <c r="T1831">
        <v>55</v>
      </c>
      <c r="U1831" t="s">
        <v>8</v>
      </c>
      <c r="V1831" t="s">
        <v>8</v>
      </c>
      <c r="W1831" t="s">
        <v>4</v>
      </c>
      <c r="X1831" t="s">
        <v>3228</v>
      </c>
    </row>
    <row r="1832" spans="1:24" x14ac:dyDescent="0.25">
      <c r="A1832" t="s">
        <v>3912</v>
      </c>
      <c r="B1832" s="9">
        <v>46226</v>
      </c>
      <c r="C1832" t="s">
        <v>72</v>
      </c>
      <c r="D1832" t="s">
        <v>410</v>
      </c>
      <c r="E1832" t="s">
        <v>411</v>
      </c>
      <c r="F1832" t="s">
        <v>4</v>
      </c>
      <c r="G1832" t="s">
        <v>5</v>
      </c>
      <c r="H1832">
        <v>916.8</v>
      </c>
      <c r="I1832" t="s">
        <v>4144</v>
      </c>
      <c r="J1832" t="s">
        <v>413</v>
      </c>
      <c r="K1832" t="s">
        <v>4145</v>
      </c>
      <c r="L1832" t="s">
        <v>4146</v>
      </c>
      <c r="M1832" t="s">
        <v>3886</v>
      </c>
      <c r="N1832" t="s">
        <v>43</v>
      </c>
      <c r="O1832" s="9">
        <v>46213</v>
      </c>
      <c r="P1832" t="s">
        <v>4147</v>
      </c>
      <c r="Q1832" s="9">
        <v>46226</v>
      </c>
      <c r="R1832" t="s">
        <v>4148</v>
      </c>
      <c r="S1832" t="s">
        <v>2509</v>
      </c>
      <c r="T1832">
        <v>15</v>
      </c>
      <c r="U1832" t="s">
        <v>8</v>
      </c>
      <c r="V1832" t="s">
        <v>8</v>
      </c>
      <c r="W1832" t="s">
        <v>4</v>
      </c>
      <c r="X1832" t="s">
        <v>3228</v>
      </c>
    </row>
    <row r="1833" spans="1:24" x14ac:dyDescent="0.25">
      <c r="A1833" t="s">
        <v>3912</v>
      </c>
      <c r="B1833" s="9">
        <v>46226</v>
      </c>
      <c r="C1833" t="s">
        <v>72</v>
      </c>
      <c r="D1833" t="s">
        <v>410</v>
      </c>
      <c r="E1833" t="s">
        <v>411</v>
      </c>
      <c r="F1833" t="s">
        <v>4</v>
      </c>
      <c r="G1833" t="s">
        <v>5</v>
      </c>
      <c r="H1833">
        <v>5194.8599999999997</v>
      </c>
      <c r="I1833" t="s">
        <v>4144</v>
      </c>
      <c r="J1833" t="s">
        <v>413</v>
      </c>
      <c r="K1833" t="s">
        <v>4145</v>
      </c>
      <c r="L1833" t="s">
        <v>4146</v>
      </c>
      <c r="M1833" t="s">
        <v>3886</v>
      </c>
      <c r="N1833" t="s">
        <v>77</v>
      </c>
      <c r="O1833" s="9">
        <v>46213</v>
      </c>
      <c r="P1833" t="s">
        <v>4147</v>
      </c>
      <c r="Q1833" s="9">
        <v>46226</v>
      </c>
      <c r="R1833" t="s">
        <v>4148</v>
      </c>
      <c r="S1833" t="s">
        <v>2503</v>
      </c>
      <c r="T1833">
        <v>51</v>
      </c>
      <c r="U1833" t="s">
        <v>8</v>
      </c>
      <c r="V1833" t="s">
        <v>8</v>
      </c>
      <c r="W1833" t="s">
        <v>4</v>
      </c>
      <c r="X1833" t="s">
        <v>3228</v>
      </c>
    </row>
    <row r="1834" spans="1:24" x14ac:dyDescent="0.25">
      <c r="A1834" t="s">
        <v>3912</v>
      </c>
      <c r="B1834" s="9">
        <v>46226</v>
      </c>
      <c r="C1834" t="s">
        <v>72</v>
      </c>
      <c r="D1834" t="s">
        <v>410</v>
      </c>
      <c r="E1834" t="s">
        <v>411</v>
      </c>
      <c r="F1834" t="s">
        <v>4</v>
      </c>
      <c r="G1834" t="s">
        <v>5</v>
      </c>
      <c r="H1834">
        <v>916.76</v>
      </c>
      <c r="I1834" t="s">
        <v>4144</v>
      </c>
      <c r="J1834" t="s">
        <v>413</v>
      </c>
      <c r="K1834" t="s">
        <v>4145</v>
      </c>
      <c r="L1834" t="s">
        <v>4146</v>
      </c>
      <c r="M1834" t="s">
        <v>3886</v>
      </c>
      <c r="N1834" t="s">
        <v>22</v>
      </c>
      <c r="O1834" s="9">
        <v>46213</v>
      </c>
      <c r="P1834" t="s">
        <v>4147</v>
      </c>
      <c r="Q1834" s="9">
        <v>46226</v>
      </c>
      <c r="R1834" t="s">
        <v>4148</v>
      </c>
      <c r="S1834" t="s">
        <v>2578</v>
      </c>
      <c r="T1834">
        <v>2</v>
      </c>
      <c r="U1834" t="s">
        <v>8</v>
      </c>
      <c r="V1834" t="s">
        <v>8</v>
      </c>
      <c r="W1834" t="s">
        <v>4</v>
      </c>
      <c r="X1834" t="s">
        <v>3228</v>
      </c>
    </row>
    <row r="1835" spans="1:24" x14ac:dyDescent="0.25">
      <c r="A1835" t="s">
        <v>3912</v>
      </c>
      <c r="B1835" s="9">
        <v>46226</v>
      </c>
      <c r="C1835" t="s">
        <v>72</v>
      </c>
      <c r="D1835" t="s">
        <v>410</v>
      </c>
      <c r="E1835" t="s">
        <v>411</v>
      </c>
      <c r="F1835" t="s">
        <v>4</v>
      </c>
      <c r="G1835" t="s">
        <v>5</v>
      </c>
      <c r="H1835">
        <v>358</v>
      </c>
      <c r="I1835" t="s">
        <v>4144</v>
      </c>
      <c r="J1835" t="s">
        <v>413</v>
      </c>
      <c r="K1835" t="s">
        <v>4145</v>
      </c>
      <c r="L1835" t="s">
        <v>4146</v>
      </c>
      <c r="M1835" t="s">
        <v>3886</v>
      </c>
      <c r="N1835" t="s">
        <v>72</v>
      </c>
      <c r="O1835" s="9">
        <v>46213</v>
      </c>
      <c r="P1835" t="s">
        <v>4147</v>
      </c>
      <c r="Q1835" s="9">
        <v>46226</v>
      </c>
      <c r="R1835" t="s">
        <v>4148</v>
      </c>
      <c r="S1835" t="s">
        <v>2930</v>
      </c>
      <c r="T1835">
        <v>2</v>
      </c>
      <c r="U1835" t="s">
        <v>8</v>
      </c>
      <c r="V1835" t="s">
        <v>8</v>
      </c>
      <c r="W1835" t="s">
        <v>4</v>
      </c>
      <c r="X1835" t="s">
        <v>3228</v>
      </c>
    </row>
    <row r="1836" spans="1:24" x14ac:dyDescent="0.25">
      <c r="A1836" t="s">
        <v>3912</v>
      </c>
      <c r="B1836" s="9">
        <v>46239</v>
      </c>
      <c r="C1836" t="s">
        <v>82</v>
      </c>
      <c r="D1836" t="s">
        <v>410</v>
      </c>
      <c r="E1836" t="s">
        <v>411</v>
      </c>
      <c r="F1836" t="s">
        <v>4</v>
      </c>
      <c r="G1836" t="s">
        <v>5</v>
      </c>
      <c r="H1836">
        <v>11035</v>
      </c>
      <c r="I1836" t="s">
        <v>4182</v>
      </c>
      <c r="J1836" t="s">
        <v>413</v>
      </c>
      <c r="K1836" t="s">
        <v>4183</v>
      </c>
      <c r="L1836" t="s">
        <v>4184</v>
      </c>
      <c r="M1836" t="s">
        <v>3280</v>
      </c>
      <c r="N1836" t="s">
        <v>1</v>
      </c>
      <c r="O1836" s="9">
        <v>46238</v>
      </c>
      <c r="P1836" t="s">
        <v>4185</v>
      </c>
      <c r="Q1836" s="9">
        <v>46239</v>
      </c>
      <c r="R1836" t="s">
        <v>4186</v>
      </c>
      <c r="S1836" t="s">
        <v>2496</v>
      </c>
      <c r="T1836">
        <v>1</v>
      </c>
      <c r="U1836" t="s">
        <v>8</v>
      </c>
      <c r="V1836" t="s">
        <v>8</v>
      </c>
      <c r="W1836" t="s">
        <v>4</v>
      </c>
      <c r="X1836" t="s">
        <v>3228</v>
      </c>
    </row>
    <row r="1837" spans="1:24" x14ac:dyDescent="0.25">
      <c r="A1837" t="s">
        <v>3912</v>
      </c>
      <c r="B1837" s="9">
        <v>46261</v>
      </c>
      <c r="C1837" t="s">
        <v>82</v>
      </c>
      <c r="D1837" t="s">
        <v>410</v>
      </c>
      <c r="E1837" t="s">
        <v>411</v>
      </c>
      <c r="F1837" t="s">
        <v>4</v>
      </c>
      <c r="G1837" t="s">
        <v>5</v>
      </c>
      <c r="H1837">
        <v>88857.1</v>
      </c>
      <c r="I1837" t="s">
        <v>4187</v>
      </c>
      <c r="J1837" t="s">
        <v>413</v>
      </c>
      <c r="K1837" t="s">
        <v>8</v>
      </c>
      <c r="L1837" t="s">
        <v>4188</v>
      </c>
      <c r="M1837" t="s">
        <v>21</v>
      </c>
      <c r="N1837" t="s">
        <v>1</v>
      </c>
      <c r="O1837" s="9">
        <v>46237</v>
      </c>
      <c r="P1837" t="s">
        <v>4189</v>
      </c>
      <c r="Q1837" s="9">
        <v>46261</v>
      </c>
      <c r="R1837" t="s">
        <v>4190</v>
      </c>
      <c r="S1837" t="s">
        <v>8</v>
      </c>
      <c r="T1837">
        <v>0</v>
      </c>
      <c r="U1837" t="s">
        <v>8</v>
      </c>
      <c r="V1837" t="s">
        <v>8</v>
      </c>
      <c r="W1837" t="s">
        <v>4</v>
      </c>
      <c r="X1837" t="s">
        <v>3228</v>
      </c>
    </row>
  </sheetData>
  <autoFilter ref="A1:P1593" xr:uid="{00000000-0001-0000-0000-000000000000}"/>
  <pageMargins left="0.75" right="0.75" top="1" bottom="1" header="0.5" footer="0.5"/>
  <pageSetup paperSize="9" orientation="portrait" horizontalDpi="90" verticalDpi="90" r:id="rId1"/>
  <headerFooter alignWithMargins="0">
    <oddFooter>&amp;R&amp;1#&amp;"Calibri"&amp;22&amp;KFF8939RESTRICTED</oddFooter>
  </headerFooter>
  <customProperties>
    <customPr name="_pios_id" r:id="rId2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73113-B98F-4A7F-AC26-1E4BA21A5D4B}">
  <dimension ref="A1:G5"/>
  <sheetViews>
    <sheetView workbookViewId="0">
      <selection activeCell="C11" sqref="C11"/>
    </sheetView>
  </sheetViews>
  <sheetFormatPr defaultRowHeight="12.5" x14ac:dyDescent="0.25"/>
  <sheetData>
    <row r="1" spans="1:7" x14ac:dyDescent="0.25">
      <c r="A1" s="24" t="str">
        <f>MID("492538 ARPROTEC COM SERV EIRELI EPP",1,6)</f>
        <v>492538</v>
      </c>
      <c r="B1" s="24" t="str">
        <f>MID("492538 ARPROTEC COM SERV EIRELI EPP",7,35)</f>
        <v xml:space="preserve"> ARPROTEC COM SERV EIRELI EPP</v>
      </c>
    </row>
    <row r="2" spans="1:7" x14ac:dyDescent="0.25">
      <c r="A2" s="22">
        <v>673283</v>
      </c>
      <c r="B2" t="s">
        <v>3536</v>
      </c>
      <c r="F2" s="24"/>
      <c r="G2" s="24" t="str">
        <f>MID(A2,8,35)</f>
        <v/>
      </c>
    </row>
    <row r="3" spans="1:7" x14ac:dyDescent="0.25">
      <c r="A3" s="24" t="s">
        <v>3269</v>
      </c>
    </row>
    <row r="4" spans="1:7" x14ac:dyDescent="0.25">
      <c r="A4" t="s">
        <v>3270</v>
      </c>
    </row>
    <row r="5" spans="1:7" x14ac:dyDescent="0.25">
      <c r="A5" t="s">
        <v>3271</v>
      </c>
    </row>
  </sheetData>
  <pageMargins left="0.511811024" right="0.511811024" top="0.78740157499999996" bottom="0.78740157499999996" header="0.31496062000000002" footer="0.31496062000000002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Detalhes1</vt:lpstr>
      <vt:lpstr>RESUMO</vt:lpstr>
      <vt:lpstr>Arprotec</vt:lpstr>
      <vt:lpstr>SEGURPRO</vt:lpstr>
      <vt:lpstr>G4S</vt:lpstr>
      <vt:lpstr>GSS</vt:lpstr>
      <vt:lpstr>CM Couto</vt:lpstr>
      <vt:lpstr>Códigos Fornecedores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Vitor Pinheiro</cp:lastModifiedBy>
  <cp:revision>1</cp:revision>
  <dcterms:created xsi:type="dcterms:W3CDTF">2023-02-13T14:18:39Z</dcterms:created>
  <dcterms:modified xsi:type="dcterms:W3CDTF">2026-09-02T12:02:34Z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76c141-ac86-40e5-abf2-c6f60e474cee_Enabled">
    <vt:lpwstr>true</vt:lpwstr>
  </property>
  <property fmtid="{D5CDD505-2E9C-101B-9397-08002B2CF9AE}" pid="3" name="MSIP_Label_2c76c141-ac86-40e5-abf2-c6f60e474cee_SetDate">
    <vt:lpwstr>2023-03-15T13:13:14Z</vt:lpwstr>
  </property>
  <property fmtid="{D5CDD505-2E9C-101B-9397-08002B2CF9AE}" pid="4" name="MSIP_Label_2c76c141-ac86-40e5-abf2-c6f60e474cee_Method">
    <vt:lpwstr>Standard</vt:lpwstr>
  </property>
  <property fmtid="{D5CDD505-2E9C-101B-9397-08002B2CF9AE}" pid="5" name="MSIP_Label_2c76c141-ac86-40e5-abf2-c6f60e474cee_Name">
    <vt:lpwstr>2c76c141-ac86-40e5-abf2-c6f60e474cee</vt:lpwstr>
  </property>
  <property fmtid="{D5CDD505-2E9C-101B-9397-08002B2CF9AE}" pid="6" name="MSIP_Label_2c76c141-ac86-40e5-abf2-c6f60e474cee_SiteId">
    <vt:lpwstr>fcb2b37b-5da0-466b-9b83-0014b67a7c78</vt:lpwstr>
  </property>
  <property fmtid="{D5CDD505-2E9C-101B-9397-08002B2CF9AE}" pid="7" name="MSIP_Label_2c76c141-ac86-40e5-abf2-c6f60e474cee_ActionId">
    <vt:lpwstr>43fd579f-d5a1-4c30-814c-7406788a5f83</vt:lpwstr>
  </property>
  <property fmtid="{D5CDD505-2E9C-101B-9397-08002B2CF9AE}" pid="8" name="MSIP_Label_2c76c141-ac86-40e5-abf2-c6f60e474cee_ContentBits">
    <vt:lpwstr>2</vt:lpwstr>
  </property>
</Properties>
</file>